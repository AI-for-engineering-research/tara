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ahousen/tara/"/>
    </mc:Choice>
  </mc:AlternateContent>
  <xr:revisionPtr revIDLastSave="0" documentId="13_ncr:1_{869A4881-DBCA-F841-A4E8-0F55ADB4513E}" xr6:coauthVersionLast="47" xr6:coauthVersionMax="47" xr10:uidLastSave="{00000000-0000-0000-0000-000000000000}"/>
  <bookViews>
    <workbookView xWindow="6760" yWindow="660" windowWidth="23640" windowHeight="16660" xr2:uid="{197C302D-0816-D64E-98E4-3FDEF300C568}"/>
  </bookViews>
  <sheets>
    <sheet name="Sheet1" sheetId="1" r:id="rId1"/>
  </sheets>
  <definedNames>
    <definedName name="_xlchart.v1.0" hidden="1">Sheet1!$E$10:$I$10</definedName>
    <definedName name="_xlchart.v1.1" hidden="1">Sheet1!$E$11:$I$11</definedName>
    <definedName name="_xlchart.v1.10" hidden="1">Sheet1!$E$1:$I$1</definedName>
    <definedName name="_xlchart.v1.100" hidden="1">Sheet1!$E$13:$I$13</definedName>
    <definedName name="_xlchart.v1.101" hidden="1">Sheet1!$E$14:$I$14</definedName>
    <definedName name="_xlchart.v1.102" hidden="1">Sheet1!$E$15:$I$15</definedName>
    <definedName name="_xlchart.v1.103" hidden="1">Sheet1!$E$16:$I$16</definedName>
    <definedName name="_xlchart.v1.104" hidden="1">Sheet1!$E$17:$I$17</definedName>
    <definedName name="_xlchart.v1.105" hidden="1">Sheet1!$E$18:$I$18</definedName>
    <definedName name="_xlchart.v1.106" hidden="1">Sheet1!$E$19:$I$19</definedName>
    <definedName name="_xlchart.v1.107" hidden="1">Sheet1!$E$1:$I$1</definedName>
    <definedName name="_xlchart.v1.108" hidden="1">Sheet1!$E$20:$I$20</definedName>
    <definedName name="_xlchart.v1.109" hidden="1">Sheet1!$E$21:$I$21</definedName>
    <definedName name="_xlchart.v1.11" hidden="1">Sheet1!$E$20:$I$20</definedName>
    <definedName name="_xlchart.v1.110" hidden="1">Sheet1!$E$22:$I$22</definedName>
    <definedName name="_xlchart.v1.111" hidden="1">Sheet1!$E$23:$I$23</definedName>
    <definedName name="_xlchart.v1.112" hidden="1">Sheet1!$E$24:$I$24</definedName>
    <definedName name="_xlchart.v1.113" hidden="1">Sheet1!$E$25:$I$25</definedName>
    <definedName name="_xlchart.v1.114" hidden="1">Sheet1!$E$26:$I$26</definedName>
    <definedName name="_xlchart.v1.115" hidden="1">Sheet1!$E$27:$I$27</definedName>
    <definedName name="_xlchart.v1.116" hidden="1">Sheet1!$E$28:$I$28</definedName>
    <definedName name="_xlchart.v1.117" hidden="1">Sheet1!$E$29:$I$29</definedName>
    <definedName name="_xlchart.v1.118" hidden="1">Sheet1!$E$2:$I$2</definedName>
    <definedName name="_xlchart.v1.119" hidden="1">Sheet1!$E$30:$I$30</definedName>
    <definedName name="_xlchart.v1.12" hidden="1">Sheet1!$E$21:$I$21</definedName>
    <definedName name="_xlchart.v1.120" hidden="1">Sheet1!$E$31:$I$31</definedName>
    <definedName name="_xlchart.v1.121" hidden="1">Sheet1!$E$32:$I$32</definedName>
    <definedName name="_xlchart.v1.122" hidden="1">Sheet1!$E$33:$I$33</definedName>
    <definedName name="_xlchart.v1.123" hidden="1">Sheet1!$E$34:$I$34</definedName>
    <definedName name="_xlchart.v1.124" hidden="1">Sheet1!$E$35:$I$35</definedName>
    <definedName name="_xlchart.v1.125" hidden="1">Sheet1!$E$36:$I$36</definedName>
    <definedName name="_xlchart.v1.126" hidden="1">Sheet1!$E$37:$I$37</definedName>
    <definedName name="_xlchart.v1.127" hidden="1">Sheet1!$E$38:$I$38</definedName>
    <definedName name="_xlchart.v1.128" hidden="1">Sheet1!$E$39:$I$39</definedName>
    <definedName name="_xlchart.v1.129" hidden="1">Sheet1!$E$3:$I$3</definedName>
    <definedName name="_xlchart.v1.13" hidden="1">Sheet1!$E$22:$I$22</definedName>
    <definedName name="_xlchart.v1.130" hidden="1">Sheet1!$E$40:$I$40</definedName>
    <definedName name="_xlchart.v1.131" hidden="1">Sheet1!$E$41:$I$41</definedName>
    <definedName name="_xlchart.v1.132" hidden="1">Sheet1!$E$42:$I$42</definedName>
    <definedName name="_xlchart.v1.133" hidden="1">Sheet1!$E$43:$I$43</definedName>
    <definedName name="_xlchart.v1.134" hidden="1">Sheet1!$E$44:$I$44</definedName>
    <definedName name="_xlchart.v1.135" hidden="1">Sheet1!$E$45:$I$45</definedName>
    <definedName name="_xlchart.v1.136" hidden="1">Sheet1!$E$46:$I$46</definedName>
    <definedName name="_xlchart.v1.137" hidden="1">Sheet1!$E$47:$I$47</definedName>
    <definedName name="_xlchart.v1.138" hidden="1">Sheet1!$E$48:$I$48</definedName>
    <definedName name="_xlchart.v1.139" hidden="1">Sheet1!$E$49:$I$49</definedName>
    <definedName name="_xlchart.v1.14" hidden="1">Sheet1!$E$23:$I$23</definedName>
    <definedName name="_xlchart.v1.140" hidden="1">Sheet1!$E$4:$I$4</definedName>
    <definedName name="_xlchart.v1.141" hidden="1">Sheet1!$E$50:$I$50</definedName>
    <definedName name="_xlchart.v1.142" hidden="1">Sheet1!$E$51:$I$51</definedName>
    <definedName name="_xlchart.v1.143" hidden="1">Sheet1!$E$52:$I$52</definedName>
    <definedName name="_xlchart.v1.144" hidden="1">Sheet1!$E$53:$I$53</definedName>
    <definedName name="_xlchart.v1.145" hidden="1">Sheet1!$E$54:$I$54</definedName>
    <definedName name="_xlchart.v1.146" hidden="1">Sheet1!$E$55:$I$55</definedName>
    <definedName name="_xlchart.v1.147" hidden="1">Sheet1!$E$56:$I$56</definedName>
    <definedName name="_xlchart.v1.148" hidden="1">Sheet1!$E$57:$I$57</definedName>
    <definedName name="_xlchart.v1.149" hidden="1">Sheet1!$E$58:$I$58</definedName>
    <definedName name="_xlchart.v1.15" hidden="1">Sheet1!$E$24:$I$24</definedName>
    <definedName name="_xlchart.v1.150" hidden="1">Sheet1!$E$59:$I$59</definedName>
    <definedName name="_xlchart.v1.151" hidden="1">Sheet1!$E$5:$I$5</definedName>
    <definedName name="_xlchart.v1.152" hidden="1">Sheet1!$E$60:$I$60</definedName>
    <definedName name="_xlchart.v1.153" hidden="1">Sheet1!$E$61:$I$61</definedName>
    <definedName name="_xlchart.v1.154" hidden="1">Sheet1!$E$62:$I$62</definedName>
    <definedName name="_xlchart.v1.155" hidden="1">Sheet1!$E$63:$I$63</definedName>
    <definedName name="_xlchart.v1.156" hidden="1">Sheet1!$E$64:$I$64</definedName>
    <definedName name="_xlchart.v1.157" hidden="1">Sheet1!$E$65:$I$65</definedName>
    <definedName name="_xlchart.v1.158" hidden="1">Sheet1!$E$66:$I$66</definedName>
    <definedName name="_xlchart.v1.159" hidden="1">Sheet1!$E$67:$I$67</definedName>
    <definedName name="_xlchart.v1.16" hidden="1">Sheet1!$E$25:$I$25</definedName>
    <definedName name="_xlchart.v1.160" hidden="1">Sheet1!$E$68:$I$68</definedName>
    <definedName name="_xlchart.v1.161" hidden="1">Sheet1!$E$69:$I$69</definedName>
    <definedName name="_xlchart.v1.162" hidden="1">Sheet1!$E$6:$I$6</definedName>
    <definedName name="_xlchart.v1.163" hidden="1">Sheet1!$E$70:$I$70</definedName>
    <definedName name="_xlchart.v1.164" hidden="1">Sheet1!$E$71:$I$71</definedName>
    <definedName name="_xlchart.v1.165" hidden="1">Sheet1!$E$72:$I$72</definedName>
    <definedName name="_xlchart.v1.166" hidden="1">Sheet1!$E$73:$I$73</definedName>
    <definedName name="_xlchart.v1.167" hidden="1">Sheet1!$E$74:$I$74</definedName>
    <definedName name="_xlchart.v1.168" hidden="1">Sheet1!$E$75:$I$75</definedName>
    <definedName name="_xlchart.v1.169" hidden="1">Sheet1!$E$76:$I$76</definedName>
    <definedName name="_xlchart.v1.17" hidden="1">Sheet1!$E$26:$I$26</definedName>
    <definedName name="_xlchart.v1.170" hidden="1">Sheet1!$E$77:$I$77</definedName>
    <definedName name="_xlchart.v1.171" hidden="1">Sheet1!$E$78:$I$78</definedName>
    <definedName name="_xlchart.v1.172" hidden="1">Sheet1!$E$79:$I$79</definedName>
    <definedName name="_xlchart.v1.173" hidden="1">Sheet1!$E$7:$I$7</definedName>
    <definedName name="_xlchart.v1.174" hidden="1">Sheet1!$E$80:$I$80</definedName>
    <definedName name="_xlchart.v1.175" hidden="1">Sheet1!$E$81:$I$81</definedName>
    <definedName name="_xlchart.v1.176" hidden="1">Sheet1!$E$82:$I$82</definedName>
    <definedName name="_xlchart.v1.177" hidden="1">Sheet1!$E$83:$I$83</definedName>
    <definedName name="_xlchart.v1.178" hidden="1">Sheet1!$E$84:$I$84</definedName>
    <definedName name="_xlchart.v1.179" hidden="1">Sheet1!$E$85:$I$85</definedName>
    <definedName name="_xlchart.v1.18" hidden="1">Sheet1!$E$27:$I$27</definedName>
    <definedName name="_xlchart.v1.180" hidden="1">Sheet1!$E$86:$I$86</definedName>
    <definedName name="_xlchart.v1.181" hidden="1">Sheet1!$E$87:$I$87</definedName>
    <definedName name="_xlchart.v1.182" hidden="1">Sheet1!$E$88:$I$88</definedName>
    <definedName name="_xlchart.v1.183" hidden="1">Sheet1!$E$89:$I$89</definedName>
    <definedName name="_xlchart.v1.184" hidden="1">Sheet1!$E$8:$I$8</definedName>
    <definedName name="_xlchart.v1.185" hidden="1">Sheet1!$E$90:$I$90</definedName>
    <definedName name="_xlchart.v1.186" hidden="1">Sheet1!$E$91:$I$91</definedName>
    <definedName name="_xlchart.v1.187" hidden="1">Sheet1!$E$92:$I$92</definedName>
    <definedName name="_xlchart.v1.188" hidden="1">Sheet1!$E$93:$I$93</definedName>
    <definedName name="_xlchart.v1.189" hidden="1">Sheet1!$E$94:$I$94</definedName>
    <definedName name="_xlchart.v1.19" hidden="1">Sheet1!$E$28:$I$28</definedName>
    <definedName name="_xlchart.v1.190" hidden="1">Sheet1!$E$95:$I$95</definedName>
    <definedName name="_xlchart.v1.191" hidden="1">Sheet1!$E$96:$I$96</definedName>
    <definedName name="_xlchart.v1.192" hidden="1">Sheet1!$E$97:$I$97</definedName>
    <definedName name="_xlchart.v1.193" hidden="1">Sheet1!$E$9:$I$9</definedName>
    <definedName name="_xlchart.v1.194" hidden="1">Sheet1!$E$10:$I$10</definedName>
    <definedName name="_xlchart.v1.195" hidden="1">Sheet1!$E$11:$I$11</definedName>
    <definedName name="_xlchart.v1.196" hidden="1">Sheet1!$E$12:$I$12</definedName>
    <definedName name="_xlchart.v1.197" hidden="1">Sheet1!$E$13:$I$13</definedName>
    <definedName name="_xlchart.v1.198" hidden="1">Sheet1!$E$14:$I$14</definedName>
    <definedName name="_xlchart.v1.199" hidden="1">Sheet1!$E$15:$I$15</definedName>
    <definedName name="_xlchart.v1.2" hidden="1">Sheet1!$E$12:$I$12</definedName>
    <definedName name="_xlchart.v1.20" hidden="1">Sheet1!$E$29:$I$29</definedName>
    <definedName name="_xlchart.v1.200" hidden="1">Sheet1!$E$16:$I$16</definedName>
    <definedName name="_xlchart.v1.201" hidden="1">Sheet1!$E$17:$I$17</definedName>
    <definedName name="_xlchart.v1.202" hidden="1">Sheet1!$E$18:$I$18</definedName>
    <definedName name="_xlchart.v1.203" hidden="1">Sheet1!$E$19:$I$19</definedName>
    <definedName name="_xlchart.v1.204" hidden="1">Sheet1!$E$1:$I$1</definedName>
    <definedName name="_xlchart.v1.205" hidden="1">Sheet1!$E$20:$I$20</definedName>
    <definedName name="_xlchart.v1.206" hidden="1">Sheet1!$E$21:$I$21</definedName>
    <definedName name="_xlchart.v1.207" hidden="1">Sheet1!$E$22:$I$22</definedName>
    <definedName name="_xlchart.v1.208" hidden="1">Sheet1!$E$23:$I$23</definedName>
    <definedName name="_xlchart.v1.209" hidden="1">Sheet1!$E$24:$I$24</definedName>
    <definedName name="_xlchart.v1.21" hidden="1">Sheet1!$E$2:$I$2</definedName>
    <definedName name="_xlchart.v1.210" hidden="1">Sheet1!$E$25:$I$25</definedName>
    <definedName name="_xlchart.v1.211" hidden="1">Sheet1!$E$26:$I$26</definedName>
    <definedName name="_xlchart.v1.212" hidden="1">Sheet1!$E$27:$I$27</definedName>
    <definedName name="_xlchart.v1.213" hidden="1">Sheet1!$E$28:$I$28</definedName>
    <definedName name="_xlchart.v1.214" hidden="1">Sheet1!$E$29:$I$29</definedName>
    <definedName name="_xlchart.v1.215" hidden="1">Sheet1!$E$2:$I$2</definedName>
    <definedName name="_xlchart.v1.216" hidden="1">Sheet1!$E$30:$I$30</definedName>
    <definedName name="_xlchart.v1.217" hidden="1">Sheet1!$E$31:$I$31</definedName>
    <definedName name="_xlchart.v1.218" hidden="1">Sheet1!$E$32:$I$32</definedName>
    <definedName name="_xlchart.v1.219" hidden="1">Sheet1!$E$33:$I$33</definedName>
    <definedName name="_xlchart.v1.22" hidden="1">Sheet1!$E$30:$I$30</definedName>
    <definedName name="_xlchart.v1.220" hidden="1">Sheet1!$E$34:$I$34</definedName>
    <definedName name="_xlchart.v1.221" hidden="1">Sheet1!$E$35:$I$35</definedName>
    <definedName name="_xlchart.v1.222" hidden="1">Sheet1!$E$36:$I$36</definedName>
    <definedName name="_xlchart.v1.223" hidden="1">Sheet1!$E$37:$I$37</definedName>
    <definedName name="_xlchart.v1.224" hidden="1">Sheet1!$E$38:$I$38</definedName>
    <definedName name="_xlchart.v1.225" hidden="1">Sheet1!$E$39:$I$39</definedName>
    <definedName name="_xlchart.v1.226" hidden="1">Sheet1!$E$3:$I$3</definedName>
    <definedName name="_xlchart.v1.227" hidden="1">Sheet1!$E$40:$I$40</definedName>
    <definedName name="_xlchart.v1.228" hidden="1">Sheet1!$E$41:$I$41</definedName>
    <definedName name="_xlchart.v1.229" hidden="1">Sheet1!$E$42:$I$42</definedName>
    <definedName name="_xlchart.v1.23" hidden="1">Sheet1!$E$31:$I$31</definedName>
    <definedName name="_xlchart.v1.230" hidden="1">Sheet1!$E$43:$I$43</definedName>
    <definedName name="_xlchart.v1.231" hidden="1">Sheet1!$E$44:$I$44</definedName>
    <definedName name="_xlchart.v1.232" hidden="1">Sheet1!$E$45:$I$45</definedName>
    <definedName name="_xlchart.v1.233" hidden="1">Sheet1!$E$46:$I$46</definedName>
    <definedName name="_xlchart.v1.234" hidden="1">Sheet1!$E$47:$I$47</definedName>
    <definedName name="_xlchart.v1.235" hidden="1">Sheet1!$E$48:$I$48</definedName>
    <definedName name="_xlchart.v1.236" hidden="1">Sheet1!$E$49:$I$49</definedName>
    <definedName name="_xlchart.v1.237" hidden="1">Sheet1!$E$4:$I$4</definedName>
    <definedName name="_xlchart.v1.238" hidden="1">Sheet1!$E$50:$I$50</definedName>
    <definedName name="_xlchart.v1.239" hidden="1">Sheet1!$E$51:$I$51</definedName>
    <definedName name="_xlchart.v1.24" hidden="1">Sheet1!$E$32:$I$32</definedName>
    <definedName name="_xlchart.v1.240" hidden="1">Sheet1!$E$52:$I$52</definedName>
    <definedName name="_xlchart.v1.241" hidden="1">Sheet1!$E$53:$I$53</definedName>
    <definedName name="_xlchart.v1.242" hidden="1">Sheet1!$E$54:$I$54</definedName>
    <definedName name="_xlchart.v1.243" hidden="1">Sheet1!$E$55:$I$55</definedName>
    <definedName name="_xlchart.v1.244" hidden="1">Sheet1!$E$56:$I$56</definedName>
    <definedName name="_xlchart.v1.245" hidden="1">Sheet1!$E$57:$I$57</definedName>
    <definedName name="_xlchart.v1.246" hidden="1">Sheet1!$E$58:$I$58</definedName>
    <definedName name="_xlchart.v1.247" hidden="1">Sheet1!$E$59:$I$59</definedName>
    <definedName name="_xlchart.v1.248" hidden="1">Sheet1!$E$5:$I$5</definedName>
    <definedName name="_xlchart.v1.249" hidden="1">Sheet1!$E$60:$I$60</definedName>
    <definedName name="_xlchart.v1.25" hidden="1">Sheet1!$E$33:$I$33</definedName>
    <definedName name="_xlchart.v1.250" hidden="1">Sheet1!$E$61:$I$61</definedName>
    <definedName name="_xlchart.v1.251" hidden="1">Sheet1!$E$62:$I$62</definedName>
    <definedName name="_xlchart.v1.252" hidden="1">Sheet1!$E$63:$I$63</definedName>
    <definedName name="_xlchart.v1.253" hidden="1">Sheet1!$E$64:$I$64</definedName>
    <definedName name="_xlchart.v1.254" hidden="1">Sheet1!$E$65:$I$65</definedName>
    <definedName name="_xlchart.v1.255" hidden="1">Sheet1!$E$66:$I$66</definedName>
    <definedName name="_xlchart.v1.256" hidden="1">Sheet1!$E$67:$I$67</definedName>
    <definedName name="_xlchart.v1.257" hidden="1">Sheet1!$E$68:$I$68</definedName>
    <definedName name="_xlchart.v1.258" hidden="1">Sheet1!$E$69:$I$69</definedName>
    <definedName name="_xlchart.v1.259" hidden="1">Sheet1!$E$6:$I$6</definedName>
    <definedName name="_xlchart.v1.26" hidden="1">Sheet1!$E$34:$I$34</definedName>
    <definedName name="_xlchart.v1.260" hidden="1">Sheet1!$E$70:$I$70</definedName>
    <definedName name="_xlchart.v1.261" hidden="1">Sheet1!$E$71:$I$71</definedName>
    <definedName name="_xlchart.v1.262" hidden="1">Sheet1!$E$72:$I$72</definedName>
    <definedName name="_xlchart.v1.263" hidden="1">Sheet1!$E$73:$I$73</definedName>
    <definedName name="_xlchart.v1.264" hidden="1">Sheet1!$E$74:$I$74</definedName>
    <definedName name="_xlchart.v1.265" hidden="1">Sheet1!$E$75:$I$75</definedName>
    <definedName name="_xlchart.v1.266" hidden="1">Sheet1!$E$76:$I$76</definedName>
    <definedName name="_xlchart.v1.267" hidden="1">Sheet1!$E$77:$I$77</definedName>
    <definedName name="_xlchart.v1.268" hidden="1">Sheet1!$E$78:$I$78</definedName>
    <definedName name="_xlchart.v1.269" hidden="1">Sheet1!$E$79:$I$79</definedName>
    <definedName name="_xlchart.v1.27" hidden="1">Sheet1!$E$35:$I$35</definedName>
    <definedName name="_xlchart.v1.270" hidden="1">Sheet1!$E$7:$I$7</definedName>
    <definedName name="_xlchart.v1.271" hidden="1">Sheet1!$E$80:$I$80</definedName>
    <definedName name="_xlchart.v1.272" hidden="1">Sheet1!$E$81:$I$81</definedName>
    <definedName name="_xlchart.v1.273" hidden="1">Sheet1!$E$82:$I$82</definedName>
    <definedName name="_xlchart.v1.274" hidden="1">Sheet1!$E$83:$I$83</definedName>
    <definedName name="_xlchart.v1.275" hidden="1">Sheet1!$E$84:$I$84</definedName>
    <definedName name="_xlchart.v1.276" hidden="1">Sheet1!$E$85:$I$85</definedName>
    <definedName name="_xlchart.v1.277" hidden="1">Sheet1!$E$86:$I$86</definedName>
    <definedName name="_xlchart.v1.278" hidden="1">Sheet1!$E$87:$I$87</definedName>
    <definedName name="_xlchart.v1.279" hidden="1">Sheet1!$E$88:$I$88</definedName>
    <definedName name="_xlchart.v1.28" hidden="1">Sheet1!$E$36:$I$36</definedName>
    <definedName name="_xlchart.v1.280" hidden="1">Sheet1!$E$89:$I$89</definedName>
    <definedName name="_xlchart.v1.281" hidden="1">Sheet1!$E$8:$I$8</definedName>
    <definedName name="_xlchart.v1.282" hidden="1">Sheet1!$E$90:$I$90</definedName>
    <definedName name="_xlchart.v1.283" hidden="1">Sheet1!$E$91:$I$91</definedName>
    <definedName name="_xlchart.v1.284" hidden="1">Sheet1!$E$92:$I$92</definedName>
    <definedName name="_xlchart.v1.285" hidden="1">Sheet1!$E$93:$I$93</definedName>
    <definedName name="_xlchart.v1.286" hidden="1">Sheet1!$E$94:$I$94</definedName>
    <definedName name="_xlchart.v1.287" hidden="1">Sheet1!$E$95:$I$95</definedName>
    <definedName name="_xlchart.v1.288" hidden="1">Sheet1!$E$96:$I$96</definedName>
    <definedName name="_xlchart.v1.289" hidden="1">Sheet1!$E$97:$I$97</definedName>
    <definedName name="_xlchart.v1.29" hidden="1">Sheet1!$E$37:$I$37</definedName>
    <definedName name="_xlchart.v1.290" hidden="1">Sheet1!$E$9:$I$9</definedName>
    <definedName name="_xlchart.v1.3" hidden="1">Sheet1!$E$13:$I$13</definedName>
    <definedName name="_xlchart.v1.30" hidden="1">Sheet1!$E$38:$I$38</definedName>
    <definedName name="_xlchart.v1.31" hidden="1">Sheet1!$E$39:$I$39</definedName>
    <definedName name="_xlchart.v1.32" hidden="1">Sheet1!$E$3:$I$3</definedName>
    <definedName name="_xlchart.v1.33" hidden="1">Sheet1!$E$40:$I$40</definedName>
    <definedName name="_xlchart.v1.34" hidden="1">Sheet1!$E$41:$I$41</definedName>
    <definedName name="_xlchart.v1.35" hidden="1">Sheet1!$E$42:$I$42</definedName>
    <definedName name="_xlchart.v1.36" hidden="1">Sheet1!$E$43:$I$43</definedName>
    <definedName name="_xlchart.v1.37" hidden="1">Sheet1!$E$44:$I$44</definedName>
    <definedName name="_xlchart.v1.38" hidden="1">Sheet1!$E$45:$I$45</definedName>
    <definedName name="_xlchart.v1.39" hidden="1">Sheet1!$E$46:$I$46</definedName>
    <definedName name="_xlchart.v1.4" hidden="1">Sheet1!$E$14:$I$14</definedName>
    <definedName name="_xlchart.v1.40" hidden="1">Sheet1!$E$47:$I$47</definedName>
    <definedName name="_xlchart.v1.41" hidden="1">Sheet1!$E$48:$I$48</definedName>
    <definedName name="_xlchart.v1.42" hidden="1">Sheet1!$E$49:$I$49</definedName>
    <definedName name="_xlchart.v1.43" hidden="1">Sheet1!$E$4:$I$4</definedName>
    <definedName name="_xlchart.v1.44" hidden="1">Sheet1!$E$50:$I$50</definedName>
    <definedName name="_xlchart.v1.45" hidden="1">Sheet1!$E$51:$I$51</definedName>
    <definedName name="_xlchart.v1.46" hidden="1">Sheet1!$E$52:$I$52</definedName>
    <definedName name="_xlchart.v1.47" hidden="1">Sheet1!$E$53:$I$53</definedName>
    <definedName name="_xlchart.v1.48" hidden="1">Sheet1!$E$54:$I$54</definedName>
    <definedName name="_xlchart.v1.49" hidden="1">Sheet1!$E$55:$I$55</definedName>
    <definedName name="_xlchart.v1.5" hidden="1">Sheet1!$E$15:$I$15</definedName>
    <definedName name="_xlchart.v1.50" hidden="1">Sheet1!$E$56:$I$56</definedName>
    <definedName name="_xlchart.v1.51" hidden="1">Sheet1!$E$57:$I$57</definedName>
    <definedName name="_xlchart.v1.52" hidden="1">Sheet1!$E$58:$I$58</definedName>
    <definedName name="_xlchart.v1.53" hidden="1">Sheet1!$E$59:$I$59</definedName>
    <definedName name="_xlchart.v1.54" hidden="1">Sheet1!$E$5:$I$5</definedName>
    <definedName name="_xlchart.v1.55" hidden="1">Sheet1!$E$60:$I$60</definedName>
    <definedName name="_xlchart.v1.56" hidden="1">Sheet1!$E$61:$I$61</definedName>
    <definedName name="_xlchart.v1.57" hidden="1">Sheet1!$E$62:$I$62</definedName>
    <definedName name="_xlchart.v1.58" hidden="1">Sheet1!$E$63:$I$63</definedName>
    <definedName name="_xlchart.v1.59" hidden="1">Sheet1!$E$64:$I$64</definedName>
    <definedName name="_xlchart.v1.6" hidden="1">Sheet1!$E$16:$I$16</definedName>
    <definedName name="_xlchart.v1.60" hidden="1">Sheet1!$E$65:$I$65</definedName>
    <definedName name="_xlchart.v1.61" hidden="1">Sheet1!$E$66:$I$66</definedName>
    <definedName name="_xlchart.v1.62" hidden="1">Sheet1!$E$67:$I$67</definedName>
    <definedName name="_xlchart.v1.63" hidden="1">Sheet1!$E$68:$I$68</definedName>
    <definedName name="_xlchart.v1.64" hidden="1">Sheet1!$E$69:$I$69</definedName>
    <definedName name="_xlchart.v1.65" hidden="1">Sheet1!$E$6:$I$6</definedName>
    <definedName name="_xlchart.v1.66" hidden="1">Sheet1!$E$70:$I$70</definedName>
    <definedName name="_xlchart.v1.67" hidden="1">Sheet1!$E$71:$I$71</definedName>
    <definedName name="_xlchart.v1.68" hidden="1">Sheet1!$E$72:$I$72</definedName>
    <definedName name="_xlchart.v1.69" hidden="1">Sheet1!$E$73:$I$73</definedName>
    <definedName name="_xlchart.v1.7" hidden="1">Sheet1!$E$17:$I$17</definedName>
    <definedName name="_xlchart.v1.70" hidden="1">Sheet1!$E$74:$I$74</definedName>
    <definedName name="_xlchart.v1.71" hidden="1">Sheet1!$E$75:$I$75</definedName>
    <definedName name="_xlchart.v1.72" hidden="1">Sheet1!$E$76:$I$76</definedName>
    <definedName name="_xlchart.v1.73" hidden="1">Sheet1!$E$77:$I$77</definedName>
    <definedName name="_xlchart.v1.74" hidden="1">Sheet1!$E$78:$I$78</definedName>
    <definedName name="_xlchart.v1.75" hidden="1">Sheet1!$E$79:$I$79</definedName>
    <definedName name="_xlchart.v1.76" hidden="1">Sheet1!$E$7:$I$7</definedName>
    <definedName name="_xlchart.v1.77" hidden="1">Sheet1!$E$80:$I$80</definedName>
    <definedName name="_xlchart.v1.78" hidden="1">Sheet1!$E$81:$I$81</definedName>
    <definedName name="_xlchart.v1.79" hidden="1">Sheet1!$E$82:$I$82</definedName>
    <definedName name="_xlchart.v1.8" hidden="1">Sheet1!$E$18:$I$18</definedName>
    <definedName name="_xlchart.v1.80" hidden="1">Sheet1!$E$83:$I$83</definedName>
    <definedName name="_xlchart.v1.81" hidden="1">Sheet1!$E$84:$I$84</definedName>
    <definedName name="_xlchart.v1.82" hidden="1">Sheet1!$E$85:$I$85</definedName>
    <definedName name="_xlchart.v1.83" hidden="1">Sheet1!$E$86:$I$86</definedName>
    <definedName name="_xlchart.v1.84" hidden="1">Sheet1!$E$87:$I$87</definedName>
    <definedName name="_xlchart.v1.85" hidden="1">Sheet1!$E$88:$I$88</definedName>
    <definedName name="_xlchart.v1.86" hidden="1">Sheet1!$E$89:$I$89</definedName>
    <definedName name="_xlchart.v1.87" hidden="1">Sheet1!$E$8:$I$8</definedName>
    <definedName name="_xlchart.v1.88" hidden="1">Sheet1!$E$90:$I$90</definedName>
    <definedName name="_xlchart.v1.89" hidden="1">Sheet1!$E$91:$I$91</definedName>
    <definedName name="_xlchart.v1.9" hidden="1">Sheet1!$E$19:$I$19</definedName>
    <definedName name="_xlchart.v1.90" hidden="1">Sheet1!$E$92:$I$92</definedName>
    <definedName name="_xlchart.v1.91" hidden="1">Sheet1!$E$93:$I$93</definedName>
    <definedName name="_xlchart.v1.92" hidden="1">Sheet1!$E$94:$I$94</definedName>
    <definedName name="_xlchart.v1.93" hidden="1">Sheet1!$E$95:$I$95</definedName>
    <definedName name="_xlchart.v1.94" hidden="1">Sheet1!$E$96:$I$96</definedName>
    <definedName name="_xlchart.v1.95" hidden="1">Sheet1!$E$97:$I$97</definedName>
    <definedName name="_xlchart.v1.96" hidden="1">Sheet1!$E$9:$I$9</definedName>
    <definedName name="_xlchart.v1.97" hidden="1">Sheet1!$E$10:$I$10</definedName>
    <definedName name="_xlchart.v1.98" hidden="1">Sheet1!$E$11:$I$11</definedName>
    <definedName name="_xlchart.v1.99" hidden="1">Sheet1!$E$12:$I$12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7" i="1" l="1"/>
  <c r="E88" i="1"/>
  <c r="E89" i="1"/>
  <c r="E90" i="1"/>
  <c r="E91" i="1"/>
  <c r="E92" i="1"/>
  <c r="E93" i="1"/>
  <c r="E94" i="1"/>
  <c r="E95" i="1"/>
  <c r="E96" i="1"/>
  <c r="E97" i="1"/>
  <c r="E86" i="1"/>
  <c r="G60" i="1"/>
  <c r="F60" i="1"/>
  <c r="E60" i="1"/>
  <c r="E72" i="1"/>
  <c r="E61" i="1" s="1"/>
  <c r="G72" i="1"/>
  <c r="G85" i="1" s="1"/>
  <c r="G54" i="1"/>
  <c r="E54" i="1"/>
  <c r="G53" i="1"/>
  <c r="E53" i="1"/>
  <c r="G52" i="1"/>
  <c r="E52" i="1"/>
  <c r="G51" i="1"/>
  <c r="E51" i="1"/>
  <c r="E50" i="1"/>
  <c r="G50" i="1"/>
  <c r="G49" i="1"/>
  <c r="E49" i="1"/>
  <c r="E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1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30" i="1"/>
  <c r="E12" i="1"/>
  <c r="E13" i="1"/>
  <c r="E14" i="1"/>
  <c r="E15" i="1"/>
  <c r="E16" i="1"/>
  <c r="F16" i="1" s="1"/>
  <c r="E17" i="1"/>
  <c r="E18" i="1"/>
  <c r="E19" i="1"/>
  <c r="E20" i="1"/>
  <c r="E21" i="1"/>
  <c r="E22" i="1"/>
  <c r="E23" i="1"/>
  <c r="E24" i="1"/>
  <c r="F24" i="1" s="1"/>
  <c r="E25" i="1"/>
  <c r="E26" i="1"/>
  <c r="E27" i="1"/>
  <c r="E28" i="1"/>
  <c r="E29" i="1"/>
  <c r="E10" i="1"/>
  <c r="F10" i="1" s="1"/>
  <c r="E9" i="1"/>
  <c r="E8" i="1"/>
  <c r="F54" i="1" l="1"/>
  <c r="F42" i="1"/>
  <c r="F34" i="1"/>
  <c r="F30" i="1"/>
  <c r="E64" i="1"/>
  <c r="G64" i="1"/>
  <c r="G65" i="1"/>
  <c r="F72" i="1"/>
  <c r="F85" i="1" s="1"/>
  <c r="G66" i="1"/>
  <c r="G67" i="1"/>
  <c r="G68" i="1"/>
  <c r="E69" i="1"/>
  <c r="G62" i="1"/>
  <c r="G69" i="1"/>
  <c r="G61" i="1"/>
  <c r="F64" i="1"/>
  <c r="E68" i="1"/>
  <c r="E62" i="1"/>
  <c r="G71" i="1"/>
  <c r="E84" i="1"/>
  <c r="F25" i="1"/>
  <c r="F17" i="1"/>
  <c r="F39" i="1"/>
  <c r="F31" i="1"/>
  <c r="E63" i="1"/>
  <c r="G84" i="1"/>
  <c r="E85" i="1"/>
  <c r="F23" i="1"/>
  <c r="F15" i="1"/>
  <c r="G63" i="1"/>
  <c r="G70" i="1"/>
  <c r="F27" i="1"/>
  <c r="F19" i="1"/>
  <c r="F41" i="1"/>
  <c r="F33" i="1"/>
  <c r="F22" i="1"/>
  <c r="F14" i="1"/>
  <c r="F44" i="1"/>
  <c r="F36" i="1"/>
  <c r="F47" i="1"/>
  <c r="F29" i="1"/>
  <c r="F21" i="1"/>
  <c r="F13" i="1"/>
  <c r="F43" i="1"/>
  <c r="F35" i="1"/>
  <c r="F46" i="1"/>
  <c r="F38" i="1"/>
  <c r="F45" i="1"/>
  <c r="F37" i="1"/>
  <c r="F11" i="1"/>
  <c r="F28" i="1"/>
  <c r="F20" i="1"/>
  <c r="F12" i="1"/>
  <c r="F26" i="1"/>
  <c r="F18" i="1"/>
  <c r="F48" i="1"/>
  <c r="F40" i="1"/>
  <c r="F32" i="1"/>
  <c r="F50" i="1"/>
  <c r="F51" i="1"/>
  <c r="F53" i="1"/>
  <c r="F52" i="1"/>
  <c r="F49" i="1"/>
  <c r="F62" i="1" l="1"/>
  <c r="F70" i="1"/>
  <c r="F61" i="1"/>
  <c r="F69" i="1"/>
  <c r="F84" i="1"/>
  <c r="F66" i="1"/>
  <c r="F67" i="1"/>
  <c r="F71" i="1"/>
  <c r="F65" i="1"/>
  <c r="F68" i="1"/>
  <c r="F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 Colleen Housen</author>
  </authors>
  <commentList>
    <comment ref="E5" authorId="0" shapeId="0" xr:uid="{C4F8DC46-7F8D-D146-B15C-4D811F7A5E7C}">
      <text>
        <r>
          <rPr>
            <b/>
            <sz val="10"/>
            <color rgb="FF000000"/>
            <rFont val="Tahoma"/>
            <family val="2"/>
          </rPr>
          <t>Tara Colleen Housen: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Oldani, A. L., Solecki, A. E., &amp; Lee, T. (2024). Evaluation of physicochemical variability of sustainable aviation fuels. </t>
        </r>
        <r>
          <rPr>
            <i/>
            <sz val="10"/>
            <color rgb="FF000000"/>
            <rFont val="Aptos Narrow"/>
            <scheme val="minor"/>
          </rPr>
          <t>Frontiers in Energy Research, 12</t>
        </r>
        <r>
          <rPr>
            <sz val="10"/>
            <color rgb="FF000000"/>
            <rFont val="Aptos Narrow"/>
            <scheme val="minor"/>
          </rPr>
          <t>, 1370172. </t>
        </r>
        <r>
          <rPr>
            <sz val="10"/>
            <color rgb="FF000000"/>
            <rFont val="Aptos Narrow"/>
            <scheme val="minor"/>
          </rPr>
          <t>https://doi.org/10.3389/fenrg.2024.1370172</t>
        </r>
      </text>
    </comment>
  </commentList>
</comments>
</file>

<file path=xl/sharedStrings.xml><?xml version="1.0" encoding="utf-8"?>
<sst xmlns="http://schemas.openxmlformats.org/spreadsheetml/2006/main" count="455" uniqueCount="233">
  <si>
    <t>C-1</t>
  </si>
  <si>
    <t>HEFA</t>
  </si>
  <si>
    <t>Compound / Fuel</t>
  </si>
  <si>
    <t>Class</t>
  </si>
  <si>
    <t>O-ring Swell (% v/v)</t>
  </si>
  <si>
    <t>Temperature (°C)</t>
  </si>
  <si>
    <t>A-1</t>
  </si>
  <si>
    <t>Fuel blend</t>
  </si>
  <si>
    <t>A-2</t>
  </si>
  <si>
    <t>Avg. 22 &amp; 37</t>
  </si>
  <si>
    <t>A-3</t>
  </si>
  <si>
    <t>SAK/HEFA (21/79 vol%)</t>
  </si>
  <si>
    <t>C-1/A-2 (50/50 vol%)</t>
  </si>
  <si>
    <t>C-1/A-2 (25/75 vol%)</t>
  </si>
  <si>
    <t>C-1 + 8%v Benzene</t>
  </si>
  <si>
    <t>C-1 + 8%v Toluene</t>
  </si>
  <si>
    <t>C-1 + 8%v Ethylbenzene</t>
  </si>
  <si>
    <t>C-1 + 8%v o-Xylene</t>
  </si>
  <si>
    <t>C-1 + 8%v m-Xylene</t>
  </si>
  <si>
    <t>C-1 + 8%v p-Xylene</t>
  </si>
  <si>
    <t>C-1 + 8%v n-Propylbenzene</t>
  </si>
  <si>
    <t>C-1 + 8%v 1,2,3-Trimethylbenzene</t>
  </si>
  <si>
    <t>C-1 + 8%v 1,2,4-Trimethylbenzene</t>
  </si>
  <si>
    <t>C-1 + 8%v 1,3,5-Trimethylbenzene</t>
  </si>
  <si>
    <t>C-1 + 8%v n-Butylbenzene</t>
  </si>
  <si>
    <t>C-1 + 8%v n-Pentylbenzene</t>
  </si>
  <si>
    <t>C-1 + 8%v n-Hexylbenzene</t>
  </si>
  <si>
    <t>C-1 + 8%v n-Heptylbenzene</t>
  </si>
  <si>
    <t>C-1 + 8%v Tetralin</t>
  </si>
  <si>
    <t>C-1 + 8%v Indane</t>
  </si>
  <si>
    <t>C-1 + 8%v 1-Methylnaphthalene</t>
  </si>
  <si>
    <t>C-1 + 8%v 2-Ethylnaphthalene</t>
  </si>
  <si>
    <t>C-1 + 8%v 2-Isopropylnaphthalene</t>
  </si>
  <si>
    <t>C-1 + 8%v Biphenyl</t>
  </si>
  <si>
    <t>C-1 + 8%v Cyclohexane</t>
  </si>
  <si>
    <t>C-1 + 8%v Methylcyclohexane</t>
  </si>
  <si>
    <t>C-1 + 8%v Ethylcyclohexane</t>
  </si>
  <si>
    <t>C-1 + 8%v cis-1,2-Dimethylcyclohexane</t>
  </si>
  <si>
    <t>C-1 + 8%v trans-1,2-Dimethylcyclohexane</t>
  </si>
  <si>
    <t>C-1 + 8%v cis-1,3-Dimethylcyclohexane</t>
  </si>
  <si>
    <t>C-1 + 8%v trans-1,3-Dimethylcyclohexane</t>
  </si>
  <si>
    <t>C-1 + 8%v cis-1,4-Dimethylcyclohexane</t>
  </si>
  <si>
    <t>C-1 + 8%v trans-1,4-Dimethylcyclohexane</t>
  </si>
  <si>
    <t>C-1 + 8%v n-Propylcyclohexane</t>
  </si>
  <si>
    <t>C-1 + 8%v 1,2,4-Trimethylcyclohexane</t>
  </si>
  <si>
    <t>C-1 + 8%v 1,3,5-Trimethylcyclohexane</t>
  </si>
  <si>
    <t>C-1 + 8%v n-Butylcyclohexane</t>
  </si>
  <si>
    <t>C-1 + 8%v n-Pentylcyclohexane</t>
  </si>
  <si>
    <t>C-1 + 8%v n-Hexylcyclohexane</t>
  </si>
  <si>
    <t>C-1 + 8%v n-Heptylcyclohexane</t>
  </si>
  <si>
    <t>C-1 + 8%v cis-Decalin</t>
  </si>
  <si>
    <t>C-1 + 8%v trans-Decalin</t>
  </si>
  <si>
    <t>C-1 + 8%v Bicyclohexyl</t>
  </si>
  <si>
    <t>Fuel doped with alkylbenzene</t>
  </si>
  <si>
    <t>Fuel doped with naphthalene</t>
  </si>
  <si>
    <t>Fuel doped with Biphenyl</t>
  </si>
  <si>
    <t>Fuel doped with monocycloparaffin</t>
  </si>
  <si>
    <t>Fuel doped with dicycloparaffin</t>
  </si>
  <si>
    <t>Fuel doped with cyclo-aromatic</t>
  </si>
  <si>
    <t>Source</t>
  </si>
  <si>
    <t>Aromatic content (%v)</t>
  </si>
  <si>
    <t>Cyclo-paraffin content (%v)</t>
  </si>
  <si>
    <t>N-, Iso-paraffin content (%v)</t>
  </si>
  <si>
    <t>C-1 + 10%v n-Butylcyclohexane</t>
  </si>
  <si>
    <t>C-1 + 15%v n-Butylcyclohexane</t>
  </si>
  <si>
    <t>C-1 + 25%v n-Butylcyclohexane</t>
  </si>
  <si>
    <t>C-1 + 40%v n-Butylcyclohexane</t>
  </si>
  <si>
    <t>ATJ</t>
  </si>
  <si>
    <t>50% ATJ, 50% JP-5</t>
  </si>
  <si>
    <t>25% ATJ-SPK, 75% JP-5</t>
  </si>
  <si>
    <t>10% ATJ-SPK, 90% JP-5</t>
  </si>
  <si>
    <t>JP-5</t>
  </si>
  <si>
    <t>ATJ * surrogate</t>
  </si>
  <si>
    <t>10% cis, 90% ATJ-SPK * surrogate</t>
  </si>
  <si>
    <t>25% cis, 75% ATJ-SPK * surrogate</t>
  </si>
  <si>
    <t>50% cis, 50% ATJ-SPK * surrogate</t>
  </si>
  <si>
    <t>50% ATJ, 50% JP-5 * surrogate</t>
  </si>
  <si>
    <t>10% cis, 45% ATJ-SPK, 45% JP-5 * surrogate</t>
  </si>
  <si>
    <t>5% BB, 5% cis, 45% ATJ-SPK, 45% JP-5 * surrogate</t>
  </si>
  <si>
    <t>10% BB, 45% ATJ-SPK, 45% JP-5 * surrogate</t>
  </si>
  <si>
    <t>10% tetra, 45% ATJ-SPK, 45% JP-5 * surrogate</t>
  </si>
  <si>
    <t>25% ATJ-SPK, 75% JP-5 * surrogate</t>
  </si>
  <si>
    <t>10% cis, 20% ATJ-SPK, 70% JP-5 * surrogate</t>
  </si>
  <si>
    <t>10% ATJ-SPK, 90% JP-5 * surrogate</t>
  </si>
  <si>
    <t>10% cis-decalin, 90% ATJ-SPK</t>
  </si>
  <si>
    <t>25% cis-decalin, 75% ATJ-SPK</t>
  </si>
  <si>
    <t>50% cis-decalin, 50% ATJ-SPK</t>
  </si>
  <si>
    <t>10% cis-decalin, 45% ATJ-SPK, 45% JP-5</t>
  </si>
  <si>
    <t>5% butylbenzene, 5% cis-decalin, 45% ATJ-SPK, 45% JP-5</t>
  </si>
  <si>
    <t>10% butylbenzene, 45% ATJ-SPK, 45% JP-5</t>
  </si>
  <si>
    <t>10% tetralin, 45% ATJ-SPK, 45% JP-5</t>
  </si>
  <si>
    <t>10% cis-decalin, 20% ATJ-SPK, 70% JP-5</t>
  </si>
  <si>
    <t>10% cyclohexane, 20% ATJ-SPK, 70% JP-5</t>
  </si>
  <si>
    <t>10% trans-decalin, 20% ATJ-SPK, 70% JP-5</t>
  </si>
  <si>
    <t>10% cis-decalin, 5% ATJ-SPK, 85% JP-5</t>
  </si>
  <si>
    <t>10% cyclohexane, 5% ATJ-SPK, 85% JP-5</t>
  </si>
  <si>
    <t>10% trans-decalin, 5% ATJ-SPK, 85% JP-5</t>
  </si>
  <si>
    <t>10% tetralin, 20% ATJ-SPK, 70% JP-5 * surrogate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</si>
  <si>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doi:10.1021/acsomega.5c04803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</si>
  <si>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doi:10.1021/acsomega.5c04804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</si>
  <si>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doi:10.1021/acsomega.5c04805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</si>
  <si>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doi:10.1021/acsomega.5c04806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</si>
  <si>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doi:10.1021/acsomega.5c04807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</si>
  <si>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doi:10.1021/acsomega.5c04808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</si>
  <si>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doi:10.1021/acsomega.5c04809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</si>
  <si>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doi:10.1021/acsomega.5c04810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</si>
  <si>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doi:10.1021/acsomega.5c04811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</si>
  <si>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doi:10.1021/acsomega.5c04812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</si>
  <si>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doi:10.1021/acsomega.5c04813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</si>
  <si>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doi:10.1021/acsomega.5c04814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</si>
  <si>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doi:10.1021/acsomega.5c04815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</si>
  <si>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doi:10.1021/acsomega.5c04816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</si>
  <si>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doi:10.1021/acsomega.5c04817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</si>
  <si>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doi:10.1021/acsomega.5c04818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</si>
  <si>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doi:10.1021/acsomega.5c04819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</si>
  <si>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doi:10.1021/acsomega.5c04820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</si>
  <si>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doi:10.1021/acsomega.5c04821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</si>
  <si>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doi:10.1021/acsomega.5c04822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</si>
  <si>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doi:10.1021/acsomega.5c04823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</si>
  <si>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doi:10.1021/acsomega.5c04824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</si>
  <si>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doi:10.1021/acsomega.5c04825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</si>
  <si>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doi:10.1021/acsomega.5c04826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</si>
  <si>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doi:10.1021/acsomega.5c04827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</si>
  <si>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doi:10.1021/acsomega.5c04828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</si>
  <si>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doi:10.1021/acsomega.5c04829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</si>
  <si>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doi:10.1021/acsomega.5c04830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</si>
  <si>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doi:10.1021/acsomega.5c04831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</si>
  <si>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doi:10.1021/acsomega.5c04832</t>
  </si>
  <si>
    <t>Luning Prak, D. J., Graham, D., Hunt, K., Evans, M., Dickerson, T., Slager, J., &amp; Cowart, J. S. (2025). Determining the swelling behavior and tensile strengths of commercially produced Buna-N O-rings and stereolithographic additively manufactured O-rings after exposure to mixtures containing jet fuels, synthetic fuels, and fuel surrogate. ACS Omega, 10(30), 33777–33787. doi:10.1021/acsomega.5c04833</t>
  </si>
  <si>
    <t>SRI-1</t>
  </si>
  <si>
    <t>Total paraffins</t>
  </si>
  <si>
    <t>Bulk Alkyl Benzene (%)</t>
  </si>
  <si>
    <t>Bulk Naphahtelenes (%)</t>
  </si>
  <si>
    <t>CHCJ</t>
  </si>
  <si>
    <t>Jet A/HEFA (50/50 vol%)</t>
  </si>
  <si>
    <t>Sasol IPK</t>
  </si>
  <si>
    <t>Fuel blend / mostly iso-paraffinic SAF</t>
  </si>
  <si>
    <t>Sasol IPK + 8%v Ethylbenzene</t>
  </si>
  <si>
    <t>Sasol IPK + 8%v Indane</t>
  </si>
  <si>
    <t>Fuel doped with cycloaromatic</t>
  </si>
  <si>
    <t>Sasol IPK + 8%v Tetralin</t>
  </si>
  <si>
    <t>Sasol IPK + 8%v n-Propylbenzene</t>
  </si>
  <si>
    <t>Sasol IPK + 1%v Naphthalene</t>
  </si>
  <si>
    <t>Sasol IPK + 8%v Isopropylbenzene</t>
  </si>
  <si>
    <t>Sasol IPK + 8%v n-Butylbenzene</t>
  </si>
  <si>
    <t>Sasol IPK + 8%v 1,3,5-Trimethylbenzene</t>
  </si>
  <si>
    <t>Sasol IPK + 8%v sec-Butylbenzene</t>
  </si>
  <si>
    <t>Sasol IPK + 8%v tert-Butylbenzene</t>
  </si>
  <si>
    <t>Sasol IPK + 8%v 1,2,4,5-Tetramethylbenzene</t>
  </si>
  <si>
    <t>Sasol IPK + 8%v Cyclohexene</t>
  </si>
  <si>
    <t>Fuel doped with unsaturated cycloparaffin / cycloalkene</t>
  </si>
  <si>
    <t>Sasol IPK + 8%v 1,5-Hexadiene</t>
  </si>
  <si>
    <t>Fuel doped with unsaturated n-/iso-paraffin-like hydrocarbon</t>
  </si>
  <si>
    <t>Sasol IPK + 8%v 1-Methylcyclohexene</t>
  </si>
  <si>
    <t>Sasol IPK + 8%v Cyclohexane</t>
  </si>
  <si>
    <t>Fuel doped with cycloparaffin</t>
  </si>
  <si>
    <t>Sasol IPK + 8%v n-Hexane</t>
  </si>
  <si>
    <t>Fuel doped with n-paraffin</t>
  </si>
  <si>
    <t>Sasol IPK + 0.02%v Phenol</t>
  </si>
  <si>
    <t>Fuel doped with oxygenated aromatic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</si>
  <si>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https://doi.org/10.1016/j.fuel.2018.10.103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</si>
  <si>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https://doi.org/10.1016/j.fuel.2018.10.104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</si>
  <si>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https://doi.org/10.1016/j.fuel.2018.10.105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</si>
  <si>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https://doi.org/10.1016/j.fuel.2018.10.106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</si>
  <si>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https://doi.org/10.1016/j.fuel.2018.10.107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</si>
  <si>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https://doi.org/10.1016/j.fuel.2018.10.108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</si>
  <si>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https://doi.org/10.1016/j.fuel.2018.10.109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</si>
  <si>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https://doi.org/10.1016/j.fuel.2018.10.110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</si>
  <si>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https://doi.org/10.1016/j.fuel.2018.10.111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</si>
  <si>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https://doi.org/10.1016/j.fuel.2018.10.112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</si>
  <si>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https://doi.org/10.1016/j.fuel.2018.10.113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</si>
  <si>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https://doi.org/10.1016/j.fuel.2018.10.114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</si>
  <si>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https://doi.org/10.1016/j.fuel.2018.10.115</t>
  </si>
  <si>
    <t>Romanczyk, M., Ramirez Velasco, J. H., Xu, L., Vozka, P., Dissanayake, P., Wehde, K. E., Roe, N., Keating, E., Kilaz, G., Trice, R. W., Luning Prak, D. J., &amp; Kenttämaa, H. (2019). The capability of organic compounds to swell acrylonitrile butadiene O-rings and their effects on O-ring mechanical properties. Fuel, 238, 483–492. https://doi.org/10.1016/j.fuel.2018.10.116</t>
  </si>
  <si>
    <r>
      <t>Graham, J. L., Rahmes, T. F., Kay, M. C., Belières, J.-P., Kinder, J. D., Millett, S. A., Ray, J., Vannice, W. L., &amp; Trela, J. A. (2011). </t>
    </r>
    <r>
      <rPr>
        <i/>
        <sz val="12"/>
        <color rgb="FF000000"/>
        <rFont val="Aptos Narrow"/>
        <family val="2"/>
        <scheme val="minor"/>
      </rPr>
      <t>Impact of alternative jet fuel and fuel blends on non-metallic materials used in commercial aircraft fuel systems</t>
    </r>
    <r>
      <rPr>
        <sz val="14"/>
        <color rgb="FF000000"/>
        <rFont val="-webkit-standard"/>
      </rPr>
      <t> (DOT/FAA/AEE/2012-01). Federal Aviation Administration, Office of Environment and Energy.</t>
    </r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</si>
  <si>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https://doi.org/10.1021/acs.energyfuels.3c00781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</si>
  <si>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https://doi.org/10.1021/acs.energyfuels.3c00782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</si>
  <si>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https://doi.org/10.1021/acs.energyfuels.3c00783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</si>
  <si>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https://doi.org/10.1021/acs.energyfuels.3c00784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</si>
  <si>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https://doi.org/10.1021/acs.energyfuels.3c00785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</si>
  <si>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https://doi.org/10.1021/acs.energyfuels.3c00786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</si>
  <si>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https://doi.org/10.1021/acs.energyfuels.3c00787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</si>
  <si>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https://doi.org/10.1021/acs.energyfuels.3c00788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</si>
  <si>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https://doi.org/10.1021/acs.energyfuels.3c00789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</si>
  <si>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https://doi.org/10.1021/acs.energyfuels.3c00790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</si>
  <si>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https://doi.org/10.1021/acs.energyfuels.3c00791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</si>
  <si>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https://doi.org/10.1021/acs.energyfuels.3c00792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</si>
  <si>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https://doi.org/10.1021/acs.energyfuels.3c00793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</si>
  <si>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https://doi.org/10.1021/acs.energyfuels.3c00794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</si>
  <si>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https://doi.org/10.1021/acs.energyfuels.3c00795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</si>
  <si>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https://doi.org/10.1021/acs.energyfuels.3c00796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</si>
  <si>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https://doi.org/10.1021/acs.energyfuels.3c00797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</si>
  <si>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https://doi.org/10.1021/acs.energyfuels.3c00798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</si>
  <si>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https://doi.org/10.1021/acs.energyfuels.3c00799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</si>
  <si>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https://doi.org/10.1021/acs.energyfuels.3c00800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</si>
  <si>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https://doi.org/10.1021/acs.energyfuels.3c00801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</si>
  <si>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https://doi.org/10.1021/acs.energyfuels.3c00802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</si>
  <si>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https://doi.org/10.1021/acs.energyfuels.3c00803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</si>
  <si>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https://doi.org/10.1021/acs.energyfuels.3c00804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</si>
  <si>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https://doi.org/10.1021/acs.energyfuels.3c00805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</si>
  <si>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https://doi.org/10.1021/acs.energyfuels.3c00806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</si>
  <si>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https://doi.org/10.1021/acs.energyfuels.3c00807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</si>
  <si>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https://doi.org/10.1021/acs.energyfuels.3c00808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</si>
  <si>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https://doi.org/10.1021/acs.energyfuels.3c00809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</si>
  <si>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https://doi.org/10.1021/acs.energyfuels.3c00810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</si>
  <si>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https://doi.org/10.1021/acs.energyfuels.3c00811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</si>
  <si>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https://doi.org/10.1021/acs.energyfuels.3c00812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</si>
  <si>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https://doi.org/10.1021/acs.energyfuels.3c00813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</si>
  <si>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https://doi.org/10.1021/acs.energyfuels.3c00814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</si>
  <si>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https://doi.org/10.1021/acs.energyfuels.3c00815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</si>
  <si>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https://doi.org/10.1021/acs.energyfuels.3c00816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</si>
  <si>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https://doi.org/10.1021/acs.energyfuels.3c00817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</si>
  <si>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https://doi.org/10.1021/acs.energyfuels.3c00818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</si>
  <si>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https://doi.org/10.1021/acs.energyfuels.3c00819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</si>
  <si>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https://doi.org/10.1021/acs.energyfuels.3c00820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</si>
  <si>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https://doi.org/10.1021/acs.energyfuels.3c00821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</si>
  <si>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https://doi.org/10.1021/acs.energyfuels.3c00822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</si>
  <si>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https://doi.org/10.1021/acs.energyfuels.3c00823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</si>
  <si>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https://doi.org/10.1021/acs.energyfuels.3c00824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</si>
  <si>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https://doi.org/10.1021/acs.energyfuels.3c00825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</si>
  <si>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https://doi.org/10.1021/acs.energyfuels.3c00826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</si>
  <si>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https://doi.org/10.1021/acs.energyfuels.3c00827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</si>
  <si>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https://doi.org/10.1021/acs.energyfuels.3c00828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</si>
  <si>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https://doi.org/10.1021/acs.energyfuels.3c00829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</si>
  <si>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https://doi.org/10.1021/acs.energyfuels.3c00830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</si>
  <si>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https://doi.org/10.1021/acs.energyfuels.3c00831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</si>
  <si>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https://doi.org/10.1021/acs.energyfuels.3c00832</t>
  </si>
  <si>
    <t>Faulhaber, C., Borland, C., Boehm, R., &amp; Heyne, J. (2023). Measurements of nitrile rubber absorption of hydrocarbons: Trends for sustainable aviation fuel compatibility. Energy &amp; Fuels, 37(13), 9207–9219. https://doi.org/10.1021/acs.energyfuels.3c00833</t>
  </si>
  <si>
    <t>Fuel surrogate with alkylbenzene and dicycloparaffin</t>
  </si>
  <si>
    <t>Faulhaber (2023)</t>
  </si>
  <si>
    <t>Prak (2025)</t>
  </si>
  <si>
    <t>Graham (2011)</t>
  </si>
  <si>
    <t>Romanczyk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</si>
</sst>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2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  <font>
      <i/>
      <sz val="10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4"/>
      <color rgb="FF000000"/>
      <name val="-webkit-standard"/>
    </font>
    <font>
      <i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0" fontId="2" fillId="0" borderId="0" xfId="0" applyFont="1" applyAlignment="1">
      <alignment horizontal="left" vertical="top" wrapText="1"/>
    </xf>
    <xf numFmtId="172" fontId="2" fillId="0" borderId="0" xfId="0" applyNumberFormat="1" applyFont="1"/>
    <xf numFmtId="0" fontId="0" fillId="0" borderId="0" xfId="0" applyNumberFormat="1"/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8F90-B9F8-C241-853C-20C43694FF0F}">
  <dimension ref="A1:M117"/>
  <sheetViews>
    <sheetView tabSelected="1" topLeftCell="E114" zoomScale="75" workbookViewId="0">
      <selection activeCell="M142" sqref="M142"/>
    </sheetView>
  </sheetViews>
  <sheetFormatPr baseColWidth="10" defaultRowHeight="16"/>
  <cols>
    <col min="1" max="1" width="47.83203125" bestFit="1" customWidth="1"/>
    <col min="2" max="2" width="53.5" bestFit="1" customWidth="1"/>
    <col min="3" max="4" width="29.6640625" customWidth="1"/>
    <col min="5" max="5" width="19.6640625" bestFit="1" customWidth="1"/>
    <col min="6" max="6" width="24.6640625" bestFit="1" customWidth="1"/>
    <col min="7" max="7" width="24" bestFit="1" customWidth="1"/>
    <col min="8" max="8" width="24" customWidth="1"/>
    <col min="9" max="9" width="17.6640625" bestFit="1" customWidth="1"/>
    <col min="10" max="10" width="15.33203125" bestFit="1" customWidth="1"/>
    <col min="13" max="13" width="111.5" customWidth="1"/>
  </cols>
  <sheetData>
    <row r="1" spans="1:13">
      <c r="A1" s="1" t="s">
        <v>2</v>
      </c>
      <c r="B1" s="1" t="s">
        <v>3</v>
      </c>
      <c r="C1" s="1" t="s">
        <v>131</v>
      </c>
      <c r="D1" s="1" t="s">
        <v>132</v>
      </c>
      <c r="E1" s="1" t="s">
        <v>60</v>
      </c>
      <c r="F1" s="1" t="s">
        <v>62</v>
      </c>
      <c r="G1" s="1" t="s">
        <v>61</v>
      </c>
      <c r="H1" s="1" t="s">
        <v>130</v>
      </c>
      <c r="I1" s="1" t="s">
        <v>4</v>
      </c>
      <c r="J1" s="1" t="s">
        <v>5</v>
      </c>
      <c r="L1" s="1" t="s">
        <v>59</v>
      </c>
      <c r="M1" s="1"/>
    </row>
    <row r="2" spans="1:13" ht="32" customHeight="1">
      <c r="A2" s="2" t="s">
        <v>6</v>
      </c>
      <c r="B2" s="2" t="s">
        <v>7</v>
      </c>
      <c r="C2" s="2"/>
      <c r="D2" s="2"/>
      <c r="E2" s="3">
        <v>11.9</v>
      </c>
      <c r="F2" s="3"/>
      <c r="G2" s="3"/>
      <c r="H2" s="3"/>
      <c r="I2" s="2">
        <v>9.5</v>
      </c>
      <c r="J2" s="2">
        <v>37</v>
      </c>
      <c r="L2" t="s">
        <v>229</v>
      </c>
      <c r="M2" s="4" t="s">
        <v>175</v>
      </c>
    </row>
    <row r="3" spans="1:13" ht="32" customHeight="1">
      <c r="A3" s="2" t="s">
        <v>8</v>
      </c>
      <c r="B3" s="2" t="s">
        <v>7</v>
      </c>
      <c r="C3" s="2"/>
      <c r="D3" s="2"/>
      <c r="E3" s="2">
        <v>16.399999999999999</v>
      </c>
      <c r="F3" s="2"/>
      <c r="G3" s="2"/>
      <c r="H3" s="2"/>
      <c r="I3" s="2">
        <v>13.2</v>
      </c>
      <c r="J3" s="2" t="s">
        <v>9</v>
      </c>
      <c r="L3" t="s">
        <v>229</v>
      </c>
      <c r="M3" s="4" t="s">
        <v>176</v>
      </c>
    </row>
    <row r="4" spans="1:13" ht="32" customHeight="1">
      <c r="A4" s="2" t="s">
        <v>10</v>
      </c>
      <c r="B4" s="2" t="s">
        <v>7</v>
      </c>
      <c r="C4" s="2"/>
      <c r="D4" s="2"/>
      <c r="E4" s="2">
        <v>18.399999999999999</v>
      </c>
      <c r="F4" s="2"/>
      <c r="G4" s="2"/>
      <c r="H4" s="2"/>
      <c r="I4" s="2">
        <v>13.6</v>
      </c>
      <c r="J4" s="2">
        <v>37</v>
      </c>
      <c r="L4" t="s">
        <v>229</v>
      </c>
      <c r="M4" s="4" t="s">
        <v>177</v>
      </c>
    </row>
    <row r="5" spans="1:13" ht="32" customHeight="1">
      <c r="A5" s="2" t="s">
        <v>0</v>
      </c>
      <c r="B5" s="2" t="s">
        <v>7</v>
      </c>
      <c r="C5" s="2"/>
      <c r="D5" s="2"/>
      <c r="E5" s="2">
        <v>0.7</v>
      </c>
      <c r="F5" s="2">
        <v>98</v>
      </c>
      <c r="G5" s="2">
        <v>0</v>
      </c>
      <c r="H5" s="2"/>
      <c r="I5" s="2">
        <v>0.5</v>
      </c>
      <c r="J5" s="2" t="s">
        <v>9</v>
      </c>
      <c r="L5" t="s">
        <v>229</v>
      </c>
      <c r="M5" s="4" t="s">
        <v>178</v>
      </c>
    </row>
    <row r="6" spans="1:13" ht="32" customHeight="1">
      <c r="A6" s="2" t="s">
        <v>1</v>
      </c>
      <c r="B6" s="2" t="s">
        <v>7</v>
      </c>
      <c r="C6" s="2"/>
      <c r="D6" s="2"/>
      <c r="E6" s="2">
        <v>0</v>
      </c>
      <c r="F6" s="2"/>
      <c r="G6" s="2"/>
      <c r="H6" s="2"/>
      <c r="I6" s="2">
        <v>0.3</v>
      </c>
      <c r="J6" s="2" t="s">
        <v>9</v>
      </c>
      <c r="L6" t="s">
        <v>229</v>
      </c>
      <c r="M6" s="4" t="s">
        <v>179</v>
      </c>
    </row>
    <row r="7" spans="1:13" ht="32" customHeight="1">
      <c r="A7" s="2" t="s">
        <v>11</v>
      </c>
      <c r="B7" s="2" t="s">
        <v>7</v>
      </c>
      <c r="C7" s="2"/>
      <c r="D7" s="2"/>
      <c r="E7" s="2">
        <v>20.100000000000001</v>
      </c>
      <c r="F7" s="2"/>
      <c r="G7" s="2"/>
      <c r="H7" s="2"/>
      <c r="I7" s="2">
        <v>12.3</v>
      </c>
      <c r="J7" s="2">
        <v>22</v>
      </c>
      <c r="L7" t="s">
        <v>229</v>
      </c>
      <c r="M7" s="4" t="s">
        <v>180</v>
      </c>
    </row>
    <row r="8" spans="1:13" ht="32" customHeight="1">
      <c r="A8" s="2" t="s">
        <v>12</v>
      </c>
      <c r="B8" s="2" t="s">
        <v>7</v>
      </c>
      <c r="C8" s="2"/>
      <c r="D8" s="2"/>
      <c r="E8" s="2">
        <f>E3*0.5+E5*0.5</f>
        <v>8.5499999999999989</v>
      </c>
      <c r="F8" s="2"/>
      <c r="G8" s="2"/>
      <c r="H8" s="2"/>
      <c r="I8" s="2">
        <v>5.3</v>
      </c>
      <c r="J8" s="2">
        <v>37</v>
      </c>
      <c r="L8" t="s">
        <v>229</v>
      </c>
      <c r="M8" s="4" t="s">
        <v>181</v>
      </c>
    </row>
    <row r="9" spans="1:13" ht="32" customHeight="1">
      <c r="A9" s="2" t="s">
        <v>13</v>
      </c>
      <c r="B9" s="2" t="s">
        <v>7</v>
      </c>
      <c r="C9" s="2"/>
      <c r="D9" s="2"/>
      <c r="E9" s="2">
        <f>E3*0.75+E5*0.25</f>
        <v>12.475</v>
      </c>
      <c r="F9" s="2"/>
      <c r="G9" s="2"/>
      <c r="H9" s="2"/>
      <c r="I9" s="2">
        <v>8.9</v>
      </c>
      <c r="J9" s="2">
        <v>37</v>
      </c>
      <c r="L9" t="s">
        <v>229</v>
      </c>
      <c r="M9" s="4" t="s">
        <v>182</v>
      </c>
    </row>
    <row r="10" spans="1:13" ht="32" customHeight="1">
      <c r="A10" s="2" t="s">
        <v>14</v>
      </c>
      <c r="B10" s="2" t="s">
        <v>53</v>
      </c>
      <c r="C10" s="2"/>
      <c r="D10" s="2"/>
      <c r="E10" s="2">
        <f>0.92*$E$5+0.08*100</f>
        <v>8.6440000000000001</v>
      </c>
      <c r="F10" s="2">
        <f>100-E10</f>
        <v>91.355999999999995</v>
      </c>
      <c r="G10" s="2">
        <v>0</v>
      </c>
      <c r="H10" s="2"/>
      <c r="I10" s="2">
        <v>1.3</v>
      </c>
      <c r="J10" s="2">
        <v>22</v>
      </c>
      <c r="L10" t="s">
        <v>229</v>
      </c>
      <c r="M10" s="4" t="s">
        <v>183</v>
      </c>
    </row>
    <row r="11" spans="1:13" ht="32" customHeight="1">
      <c r="A11" s="2" t="s">
        <v>15</v>
      </c>
      <c r="B11" s="2" t="s">
        <v>53</v>
      </c>
      <c r="C11" s="2"/>
      <c r="D11" s="2"/>
      <c r="E11" s="2">
        <f>0.92*$E$5+0.08*100</f>
        <v>8.6440000000000001</v>
      </c>
      <c r="F11" s="2">
        <f>100-E11-G11</f>
        <v>91.355999999999995</v>
      </c>
      <c r="G11" s="2">
        <f>0.92*$G$5+0.08*0</f>
        <v>0</v>
      </c>
      <c r="H11" s="2"/>
      <c r="I11" s="2">
        <v>3.8</v>
      </c>
      <c r="J11" s="2">
        <v>22</v>
      </c>
      <c r="L11" t="s">
        <v>229</v>
      </c>
      <c r="M11" s="4" t="s">
        <v>184</v>
      </c>
    </row>
    <row r="12" spans="1:13" ht="32" customHeight="1">
      <c r="A12" s="2" t="s">
        <v>16</v>
      </c>
      <c r="B12" s="2" t="s">
        <v>53</v>
      </c>
      <c r="C12" s="2"/>
      <c r="D12" s="2"/>
      <c r="E12" s="2">
        <f t="shared" ref="E12:E29" si="0">0.92*$E$5+0.08*100</f>
        <v>8.6440000000000001</v>
      </c>
      <c r="F12" s="2">
        <f t="shared" ref="F12:F29" si="1">100-E12-G12</f>
        <v>91.355999999999995</v>
      </c>
      <c r="G12" s="2">
        <f t="shared" ref="G12:G29" si="2">0.92*$G$5+0.08*0</f>
        <v>0</v>
      </c>
      <c r="H12" s="2"/>
      <c r="I12" s="2">
        <v>6</v>
      </c>
      <c r="J12" s="2">
        <v>37</v>
      </c>
      <c r="L12" t="s">
        <v>229</v>
      </c>
      <c r="M12" s="4" t="s">
        <v>185</v>
      </c>
    </row>
    <row r="13" spans="1:13" ht="32" customHeight="1">
      <c r="A13" s="2" t="s">
        <v>17</v>
      </c>
      <c r="B13" s="2" t="s">
        <v>53</v>
      </c>
      <c r="C13" s="2"/>
      <c r="D13" s="2"/>
      <c r="E13" s="2">
        <f t="shared" si="0"/>
        <v>8.6440000000000001</v>
      </c>
      <c r="F13" s="2">
        <f t="shared" si="1"/>
        <v>91.355999999999995</v>
      </c>
      <c r="G13" s="2">
        <f t="shared" si="2"/>
        <v>0</v>
      </c>
      <c r="H13" s="2"/>
      <c r="I13" s="2">
        <v>5.4</v>
      </c>
      <c r="J13" s="2">
        <v>22</v>
      </c>
      <c r="L13" t="s">
        <v>229</v>
      </c>
      <c r="M13" s="4" t="s">
        <v>186</v>
      </c>
    </row>
    <row r="14" spans="1:13" ht="32" customHeight="1">
      <c r="A14" s="2" t="s">
        <v>18</v>
      </c>
      <c r="B14" s="2" t="s">
        <v>53</v>
      </c>
      <c r="C14" s="2"/>
      <c r="D14" s="2"/>
      <c r="E14" s="2">
        <f t="shared" si="0"/>
        <v>8.6440000000000001</v>
      </c>
      <c r="F14" s="2">
        <f t="shared" si="1"/>
        <v>91.355999999999995</v>
      </c>
      <c r="G14" s="2">
        <f t="shared" si="2"/>
        <v>0</v>
      </c>
      <c r="H14" s="2"/>
      <c r="I14" s="2">
        <v>3.4</v>
      </c>
      <c r="J14" s="2">
        <v>22</v>
      </c>
      <c r="L14" t="s">
        <v>229</v>
      </c>
      <c r="M14" s="4" t="s">
        <v>187</v>
      </c>
    </row>
    <row r="15" spans="1:13" ht="32" customHeight="1">
      <c r="A15" s="2" t="s">
        <v>19</v>
      </c>
      <c r="B15" s="2" t="s">
        <v>53</v>
      </c>
      <c r="C15" s="2"/>
      <c r="D15" s="2"/>
      <c r="E15" s="2">
        <f t="shared" si="0"/>
        <v>8.6440000000000001</v>
      </c>
      <c r="F15" s="2">
        <f t="shared" si="1"/>
        <v>91.355999999999995</v>
      </c>
      <c r="G15" s="2">
        <f t="shared" si="2"/>
        <v>0</v>
      </c>
      <c r="H15" s="2"/>
      <c r="I15" s="2">
        <v>4.7</v>
      </c>
      <c r="J15" s="2">
        <v>37</v>
      </c>
      <c r="L15" t="s">
        <v>229</v>
      </c>
      <c r="M15" s="4" t="s">
        <v>188</v>
      </c>
    </row>
    <row r="16" spans="1:13" ht="32" customHeight="1">
      <c r="A16" s="2" t="s">
        <v>20</v>
      </c>
      <c r="B16" s="2" t="s">
        <v>53</v>
      </c>
      <c r="C16" s="2"/>
      <c r="D16" s="2"/>
      <c r="E16" s="2">
        <f t="shared" si="0"/>
        <v>8.6440000000000001</v>
      </c>
      <c r="F16" s="2">
        <f t="shared" si="1"/>
        <v>91.355999999999995</v>
      </c>
      <c r="G16" s="2">
        <f t="shared" si="2"/>
        <v>0</v>
      </c>
      <c r="H16" s="2"/>
      <c r="I16" s="2">
        <v>4.9000000000000004</v>
      </c>
      <c r="J16" s="2">
        <v>22</v>
      </c>
      <c r="L16" t="s">
        <v>229</v>
      </c>
      <c r="M16" s="4" t="s">
        <v>189</v>
      </c>
    </row>
    <row r="17" spans="1:13" ht="32" customHeight="1">
      <c r="A17" s="2" t="s">
        <v>21</v>
      </c>
      <c r="B17" s="2" t="s">
        <v>53</v>
      </c>
      <c r="C17" s="2"/>
      <c r="D17" s="2"/>
      <c r="E17" s="2">
        <f t="shared" si="0"/>
        <v>8.6440000000000001</v>
      </c>
      <c r="F17" s="2">
        <f t="shared" si="1"/>
        <v>91.355999999999995</v>
      </c>
      <c r="G17" s="2">
        <f t="shared" si="2"/>
        <v>0</v>
      </c>
      <c r="H17" s="2"/>
      <c r="I17" s="2">
        <v>6.8</v>
      </c>
      <c r="J17" s="2">
        <v>22</v>
      </c>
      <c r="L17" t="s">
        <v>229</v>
      </c>
      <c r="M17" s="4" t="s">
        <v>190</v>
      </c>
    </row>
    <row r="18" spans="1:13" ht="32" customHeight="1">
      <c r="A18" s="2" t="s">
        <v>22</v>
      </c>
      <c r="B18" s="2" t="s">
        <v>53</v>
      </c>
      <c r="C18" s="2"/>
      <c r="D18" s="2"/>
      <c r="E18" s="2">
        <f t="shared" si="0"/>
        <v>8.6440000000000001</v>
      </c>
      <c r="F18" s="2">
        <f t="shared" si="1"/>
        <v>91.355999999999995</v>
      </c>
      <c r="G18" s="2">
        <f t="shared" si="2"/>
        <v>0</v>
      </c>
      <c r="H18" s="2"/>
      <c r="I18" s="2">
        <v>5.0999999999999996</v>
      </c>
      <c r="J18" s="2">
        <v>22</v>
      </c>
      <c r="L18" t="s">
        <v>229</v>
      </c>
      <c r="M18" s="4" t="s">
        <v>191</v>
      </c>
    </row>
    <row r="19" spans="1:13" ht="32" customHeight="1">
      <c r="A19" s="2" t="s">
        <v>23</v>
      </c>
      <c r="B19" s="2" t="s">
        <v>53</v>
      </c>
      <c r="C19" s="2"/>
      <c r="D19" s="2"/>
      <c r="E19" s="2">
        <f t="shared" si="0"/>
        <v>8.6440000000000001</v>
      </c>
      <c r="F19" s="2">
        <f t="shared" si="1"/>
        <v>91.355999999999995</v>
      </c>
      <c r="G19" s="2">
        <f t="shared" si="2"/>
        <v>0</v>
      </c>
      <c r="H19" s="2"/>
      <c r="I19" s="2">
        <v>4.5999999999999996</v>
      </c>
      <c r="J19" s="2">
        <v>37</v>
      </c>
      <c r="L19" t="s">
        <v>229</v>
      </c>
      <c r="M19" s="4" t="s">
        <v>192</v>
      </c>
    </row>
    <row r="20" spans="1:13" ht="32" customHeight="1">
      <c r="A20" s="2" t="s">
        <v>24</v>
      </c>
      <c r="B20" s="2" t="s">
        <v>53</v>
      </c>
      <c r="C20" s="2"/>
      <c r="D20" s="2"/>
      <c r="E20" s="2">
        <f t="shared" si="0"/>
        <v>8.6440000000000001</v>
      </c>
      <c r="F20" s="2">
        <f t="shared" si="1"/>
        <v>91.355999999999995</v>
      </c>
      <c r="G20" s="2">
        <f t="shared" si="2"/>
        <v>0</v>
      </c>
      <c r="H20" s="2"/>
      <c r="I20" s="2">
        <v>3.9</v>
      </c>
      <c r="J20" s="2">
        <v>22</v>
      </c>
      <c r="L20" t="s">
        <v>229</v>
      </c>
      <c r="M20" s="4" t="s">
        <v>193</v>
      </c>
    </row>
    <row r="21" spans="1:13" ht="32" customHeight="1">
      <c r="A21" s="2" t="s">
        <v>25</v>
      </c>
      <c r="B21" s="2" t="s">
        <v>53</v>
      </c>
      <c r="C21" s="2"/>
      <c r="D21" s="2"/>
      <c r="E21" s="2">
        <f t="shared" si="0"/>
        <v>8.6440000000000001</v>
      </c>
      <c r="F21" s="2">
        <f t="shared" si="1"/>
        <v>91.355999999999995</v>
      </c>
      <c r="G21" s="2">
        <f t="shared" si="2"/>
        <v>0</v>
      </c>
      <c r="H21" s="2"/>
      <c r="I21" s="2">
        <v>4.4000000000000004</v>
      </c>
      <c r="J21" s="2">
        <v>37</v>
      </c>
      <c r="L21" t="s">
        <v>229</v>
      </c>
      <c r="M21" s="4" t="s">
        <v>194</v>
      </c>
    </row>
    <row r="22" spans="1:13" ht="32" customHeight="1">
      <c r="A22" s="2" t="s">
        <v>26</v>
      </c>
      <c r="B22" s="2" t="s">
        <v>53</v>
      </c>
      <c r="C22" s="2"/>
      <c r="D22" s="2"/>
      <c r="E22" s="2">
        <f t="shared" si="0"/>
        <v>8.6440000000000001</v>
      </c>
      <c r="F22" s="2">
        <f t="shared" si="1"/>
        <v>91.355999999999995</v>
      </c>
      <c r="G22" s="2">
        <f t="shared" si="2"/>
        <v>0</v>
      </c>
      <c r="H22" s="2"/>
      <c r="I22" s="2">
        <v>4.3</v>
      </c>
      <c r="J22" s="2">
        <v>22</v>
      </c>
      <c r="L22" t="s">
        <v>229</v>
      </c>
      <c r="M22" s="4" t="s">
        <v>195</v>
      </c>
    </row>
    <row r="23" spans="1:13" ht="32" customHeight="1">
      <c r="A23" s="2" t="s">
        <v>27</v>
      </c>
      <c r="B23" s="2" t="s">
        <v>53</v>
      </c>
      <c r="C23" s="2"/>
      <c r="D23" s="2"/>
      <c r="E23" s="2">
        <f t="shared" si="0"/>
        <v>8.6440000000000001</v>
      </c>
      <c r="F23" s="2">
        <f t="shared" si="1"/>
        <v>91.355999999999995</v>
      </c>
      <c r="G23" s="2">
        <f t="shared" si="2"/>
        <v>0</v>
      </c>
      <c r="H23" s="2"/>
      <c r="I23" s="2">
        <v>3.1</v>
      </c>
      <c r="J23" s="2">
        <v>22</v>
      </c>
      <c r="L23" t="s">
        <v>229</v>
      </c>
      <c r="M23" s="4" t="s">
        <v>196</v>
      </c>
    </row>
    <row r="24" spans="1:13" ht="32" customHeight="1">
      <c r="A24" s="2" t="s">
        <v>28</v>
      </c>
      <c r="B24" s="2" t="s">
        <v>58</v>
      </c>
      <c r="C24" s="2"/>
      <c r="D24" s="2"/>
      <c r="E24" s="2">
        <f t="shared" si="0"/>
        <v>8.6440000000000001</v>
      </c>
      <c r="F24" s="2">
        <f t="shared" si="1"/>
        <v>91.355999999999995</v>
      </c>
      <c r="G24" s="2">
        <f t="shared" si="2"/>
        <v>0</v>
      </c>
      <c r="H24" s="2"/>
      <c r="I24" s="2">
        <v>7.1</v>
      </c>
      <c r="J24" s="2">
        <v>37</v>
      </c>
      <c r="L24" t="s">
        <v>229</v>
      </c>
      <c r="M24" s="4" t="s">
        <v>197</v>
      </c>
    </row>
    <row r="25" spans="1:13" ht="32" customHeight="1">
      <c r="A25" s="2" t="s">
        <v>29</v>
      </c>
      <c r="B25" s="2" t="s">
        <v>58</v>
      </c>
      <c r="C25" s="2"/>
      <c r="D25" s="2"/>
      <c r="E25" s="2">
        <f t="shared" si="0"/>
        <v>8.6440000000000001</v>
      </c>
      <c r="F25" s="2">
        <f t="shared" si="1"/>
        <v>91.355999999999995</v>
      </c>
      <c r="G25" s="2">
        <f t="shared" si="2"/>
        <v>0</v>
      </c>
      <c r="H25" s="2"/>
      <c r="I25" s="2">
        <v>8.3000000000000007</v>
      </c>
      <c r="J25" s="2">
        <v>37</v>
      </c>
      <c r="L25" t="s">
        <v>229</v>
      </c>
      <c r="M25" s="4" t="s">
        <v>198</v>
      </c>
    </row>
    <row r="26" spans="1:13" ht="32" customHeight="1">
      <c r="A26" s="2" t="s">
        <v>30</v>
      </c>
      <c r="B26" s="2" t="s">
        <v>54</v>
      </c>
      <c r="C26" s="2"/>
      <c r="D26" s="2"/>
      <c r="E26" s="2">
        <f t="shared" si="0"/>
        <v>8.6440000000000001</v>
      </c>
      <c r="F26" s="2">
        <f t="shared" si="1"/>
        <v>91.355999999999995</v>
      </c>
      <c r="G26" s="2">
        <f t="shared" si="2"/>
        <v>0</v>
      </c>
      <c r="H26" s="2"/>
      <c r="I26" s="2">
        <v>15</v>
      </c>
      <c r="J26" s="2">
        <v>37</v>
      </c>
      <c r="L26" t="s">
        <v>229</v>
      </c>
      <c r="M26" s="4" t="s">
        <v>199</v>
      </c>
    </row>
    <row r="27" spans="1:13" ht="32" customHeight="1">
      <c r="A27" s="2" t="s">
        <v>31</v>
      </c>
      <c r="B27" s="2" t="s">
        <v>54</v>
      </c>
      <c r="C27" s="2"/>
      <c r="D27" s="2"/>
      <c r="E27" s="2">
        <f t="shared" si="0"/>
        <v>8.6440000000000001</v>
      </c>
      <c r="F27" s="2">
        <f t="shared" si="1"/>
        <v>91.355999999999995</v>
      </c>
      <c r="G27" s="2">
        <f t="shared" si="2"/>
        <v>0</v>
      </c>
      <c r="H27" s="2"/>
      <c r="I27" s="2">
        <v>12.1</v>
      </c>
      <c r="J27" s="2">
        <v>22</v>
      </c>
      <c r="L27" t="s">
        <v>229</v>
      </c>
      <c r="M27" s="4" t="s">
        <v>200</v>
      </c>
    </row>
    <row r="28" spans="1:13" ht="32" customHeight="1">
      <c r="A28" s="2" t="s">
        <v>32</v>
      </c>
      <c r="B28" s="2" t="s">
        <v>54</v>
      </c>
      <c r="C28" s="2"/>
      <c r="D28" s="2"/>
      <c r="E28" s="2">
        <f t="shared" si="0"/>
        <v>8.6440000000000001</v>
      </c>
      <c r="F28" s="2">
        <f t="shared" si="1"/>
        <v>91.355999999999995</v>
      </c>
      <c r="G28" s="2">
        <f t="shared" si="2"/>
        <v>0</v>
      </c>
      <c r="H28" s="2"/>
      <c r="I28" s="2">
        <v>10.9</v>
      </c>
      <c r="J28" s="2">
        <v>37</v>
      </c>
      <c r="L28" t="s">
        <v>229</v>
      </c>
      <c r="M28" s="4" t="s">
        <v>201</v>
      </c>
    </row>
    <row r="29" spans="1:13" ht="32" customHeight="1">
      <c r="A29" s="2" t="s">
        <v>33</v>
      </c>
      <c r="B29" s="2" t="s">
        <v>55</v>
      </c>
      <c r="C29" s="2"/>
      <c r="D29" s="2"/>
      <c r="E29" s="2">
        <f t="shared" si="0"/>
        <v>8.6440000000000001</v>
      </c>
      <c r="F29" s="2">
        <f t="shared" si="1"/>
        <v>91.355999999999995</v>
      </c>
      <c r="G29" s="2">
        <f t="shared" si="2"/>
        <v>0</v>
      </c>
      <c r="H29" s="2"/>
      <c r="I29" s="2">
        <v>17.399999999999999</v>
      </c>
      <c r="J29" s="2">
        <v>22</v>
      </c>
      <c r="L29" t="s">
        <v>229</v>
      </c>
      <c r="M29" s="4" t="s">
        <v>202</v>
      </c>
    </row>
    <row r="30" spans="1:13" ht="32" customHeight="1">
      <c r="A30" s="2" t="s">
        <v>34</v>
      </c>
      <c r="B30" s="2" t="s">
        <v>56</v>
      </c>
      <c r="C30" s="2"/>
      <c r="D30" s="2"/>
      <c r="E30" s="2">
        <f>0.92*$E$5+0.08*0</f>
        <v>0.64400000000000002</v>
      </c>
      <c r="F30" s="5">
        <f>100-E30-G30</f>
        <v>91.355999999999995</v>
      </c>
      <c r="G30" s="5">
        <f>0.92*$G$5+0.08*100</f>
        <v>8</v>
      </c>
      <c r="H30" s="5"/>
      <c r="I30" s="2">
        <v>2.2999999999999998</v>
      </c>
      <c r="J30" s="2">
        <v>22</v>
      </c>
      <c r="L30" t="s">
        <v>229</v>
      </c>
      <c r="M30" s="4" t="s">
        <v>203</v>
      </c>
    </row>
    <row r="31" spans="1:13" ht="32" customHeight="1">
      <c r="A31" s="2" t="s">
        <v>35</v>
      </c>
      <c r="B31" s="2" t="s">
        <v>56</v>
      </c>
      <c r="C31" s="2"/>
      <c r="D31" s="2"/>
      <c r="E31" s="2">
        <f t="shared" ref="E31:E48" si="3">0.92*$E$5+0.08*0</f>
        <v>0.64400000000000002</v>
      </c>
      <c r="F31" s="5">
        <f t="shared" ref="F31:F49" si="4">100-E31-G31</f>
        <v>91.355999999999995</v>
      </c>
      <c r="G31" s="5">
        <f t="shared" ref="G31:G48" si="5">0.92*$G$5+0.08*100</f>
        <v>8</v>
      </c>
      <c r="H31" s="5"/>
      <c r="I31" s="2">
        <v>1.6</v>
      </c>
      <c r="J31" s="2">
        <v>22</v>
      </c>
      <c r="L31" t="s">
        <v>229</v>
      </c>
      <c r="M31" s="4" t="s">
        <v>204</v>
      </c>
    </row>
    <row r="32" spans="1:13" ht="32" customHeight="1">
      <c r="A32" s="2" t="s">
        <v>36</v>
      </c>
      <c r="B32" s="2" t="s">
        <v>56</v>
      </c>
      <c r="C32" s="2"/>
      <c r="D32" s="2"/>
      <c r="E32" s="2">
        <f t="shared" si="3"/>
        <v>0.64400000000000002</v>
      </c>
      <c r="F32" s="5">
        <f t="shared" si="4"/>
        <v>91.355999999999995</v>
      </c>
      <c r="G32" s="5">
        <f t="shared" si="5"/>
        <v>8</v>
      </c>
      <c r="H32" s="5"/>
      <c r="I32" s="2">
        <v>1.9</v>
      </c>
      <c r="J32" s="2">
        <v>37</v>
      </c>
      <c r="L32" t="s">
        <v>229</v>
      </c>
      <c r="M32" s="4" t="s">
        <v>205</v>
      </c>
    </row>
    <row r="33" spans="1:13" ht="32" customHeight="1">
      <c r="A33" s="2" t="s">
        <v>37</v>
      </c>
      <c r="B33" s="2" t="s">
        <v>56</v>
      </c>
      <c r="C33" s="2"/>
      <c r="D33" s="2"/>
      <c r="E33" s="2">
        <f t="shared" si="3"/>
        <v>0.64400000000000002</v>
      </c>
      <c r="F33" s="5">
        <f t="shared" si="4"/>
        <v>91.355999999999995</v>
      </c>
      <c r="G33" s="5">
        <f t="shared" si="5"/>
        <v>8</v>
      </c>
      <c r="H33" s="5"/>
      <c r="I33" s="2">
        <v>1</v>
      </c>
      <c r="J33" s="2">
        <v>22</v>
      </c>
      <c r="L33" t="s">
        <v>229</v>
      </c>
      <c r="M33" s="4" t="s">
        <v>206</v>
      </c>
    </row>
    <row r="34" spans="1:13" ht="32" customHeight="1">
      <c r="A34" s="2" t="s">
        <v>38</v>
      </c>
      <c r="B34" s="2" t="s">
        <v>56</v>
      </c>
      <c r="C34" s="2"/>
      <c r="D34" s="2"/>
      <c r="E34" s="2">
        <f t="shared" si="3"/>
        <v>0.64400000000000002</v>
      </c>
      <c r="F34" s="5">
        <f t="shared" si="4"/>
        <v>91.355999999999995</v>
      </c>
      <c r="G34" s="5">
        <f t="shared" si="5"/>
        <v>8</v>
      </c>
      <c r="H34" s="5"/>
      <c r="I34" s="2">
        <v>1.2</v>
      </c>
      <c r="J34" s="2">
        <v>22</v>
      </c>
      <c r="L34" t="s">
        <v>229</v>
      </c>
      <c r="M34" s="4" t="s">
        <v>207</v>
      </c>
    </row>
    <row r="35" spans="1:13" ht="32" customHeight="1">
      <c r="A35" s="2" t="s">
        <v>39</v>
      </c>
      <c r="B35" s="2" t="s">
        <v>56</v>
      </c>
      <c r="C35" s="2"/>
      <c r="D35" s="2"/>
      <c r="E35" s="2">
        <f t="shared" si="3"/>
        <v>0.64400000000000002</v>
      </c>
      <c r="F35" s="5">
        <f t="shared" si="4"/>
        <v>91.355999999999995</v>
      </c>
      <c r="G35" s="5">
        <f t="shared" si="5"/>
        <v>8</v>
      </c>
      <c r="H35" s="5"/>
      <c r="I35" s="2">
        <v>0.4</v>
      </c>
      <c r="J35" s="2">
        <v>22</v>
      </c>
      <c r="L35" t="s">
        <v>229</v>
      </c>
      <c r="M35" s="4" t="s">
        <v>208</v>
      </c>
    </row>
    <row r="36" spans="1:13" ht="32" customHeight="1">
      <c r="A36" s="2" t="s">
        <v>40</v>
      </c>
      <c r="B36" s="2" t="s">
        <v>56</v>
      </c>
      <c r="C36" s="2"/>
      <c r="D36" s="2"/>
      <c r="E36" s="2">
        <f t="shared" si="3"/>
        <v>0.64400000000000002</v>
      </c>
      <c r="F36" s="5">
        <f t="shared" si="4"/>
        <v>91.355999999999995</v>
      </c>
      <c r="G36" s="5">
        <f t="shared" si="5"/>
        <v>8</v>
      </c>
      <c r="H36" s="5"/>
      <c r="I36" s="2">
        <v>1</v>
      </c>
      <c r="J36" s="2">
        <v>22</v>
      </c>
      <c r="L36" t="s">
        <v>229</v>
      </c>
      <c r="M36" s="4" t="s">
        <v>209</v>
      </c>
    </row>
    <row r="37" spans="1:13" ht="32" customHeight="1">
      <c r="A37" s="2" t="s">
        <v>41</v>
      </c>
      <c r="B37" s="2" t="s">
        <v>56</v>
      </c>
      <c r="C37" s="2"/>
      <c r="D37" s="2"/>
      <c r="E37" s="2">
        <f t="shared" si="3"/>
        <v>0.64400000000000002</v>
      </c>
      <c r="F37" s="5">
        <f t="shared" si="4"/>
        <v>91.355999999999995</v>
      </c>
      <c r="G37" s="5">
        <f t="shared" si="5"/>
        <v>8</v>
      </c>
      <c r="H37" s="5"/>
      <c r="I37" s="2">
        <v>1</v>
      </c>
      <c r="J37" s="2">
        <v>22</v>
      </c>
      <c r="L37" t="s">
        <v>229</v>
      </c>
      <c r="M37" s="4" t="s">
        <v>210</v>
      </c>
    </row>
    <row r="38" spans="1:13" ht="32" customHeight="1">
      <c r="A38" s="2" t="s">
        <v>42</v>
      </c>
      <c r="B38" s="2" t="s">
        <v>56</v>
      </c>
      <c r="C38" s="2"/>
      <c r="D38" s="2"/>
      <c r="E38" s="2">
        <f t="shared" si="3"/>
        <v>0.64400000000000002</v>
      </c>
      <c r="F38" s="5">
        <f t="shared" si="4"/>
        <v>91.355999999999995</v>
      </c>
      <c r="G38" s="5">
        <f t="shared" si="5"/>
        <v>8</v>
      </c>
      <c r="H38" s="5"/>
      <c r="I38" s="2">
        <v>1.2</v>
      </c>
      <c r="J38" s="2">
        <v>37</v>
      </c>
      <c r="L38" t="s">
        <v>229</v>
      </c>
      <c r="M38" s="4" t="s">
        <v>211</v>
      </c>
    </row>
    <row r="39" spans="1:13" ht="32" customHeight="1">
      <c r="A39" s="2" t="s">
        <v>43</v>
      </c>
      <c r="B39" s="2" t="s">
        <v>56</v>
      </c>
      <c r="C39" s="2"/>
      <c r="D39" s="2"/>
      <c r="E39" s="2">
        <f t="shared" si="3"/>
        <v>0.64400000000000002</v>
      </c>
      <c r="F39" s="5">
        <f t="shared" si="4"/>
        <v>91.355999999999995</v>
      </c>
      <c r="G39" s="5">
        <f t="shared" si="5"/>
        <v>8</v>
      </c>
      <c r="H39" s="5"/>
      <c r="I39" s="2">
        <v>1.6</v>
      </c>
      <c r="J39" s="2">
        <v>37</v>
      </c>
      <c r="L39" t="s">
        <v>229</v>
      </c>
      <c r="M39" s="4" t="s">
        <v>212</v>
      </c>
    </row>
    <row r="40" spans="1:13" ht="32" customHeight="1">
      <c r="A40" s="2" t="s">
        <v>44</v>
      </c>
      <c r="B40" s="2" t="s">
        <v>56</v>
      </c>
      <c r="C40" s="2"/>
      <c r="D40" s="2"/>
      <c r="E40" s="2">
        <f t="shared" si="3"/>
        <v>0.64400000000000002</v>
      </c>
      <c r="F40" s="5">
        <f t="shared" si="4"/>
        <v>91.355999999999995</v>
      </c>
      <c r="G40" s="5">
        <f t="shared" si="5"/>
        <v>8</v>
      </c>
      <c r="H40" s="5"/>
      <c r="I40" s="2">
        <v>1</v>
      </c>
      <c r="J40" s="2">
        <v>22</v>
      </c>
      <c r="L40" t="s">
        <v>229</v>
      </c>
      <c r="M40" s="4" t="s">
        <v>213</v>
      </c>
    </row>
    <row r="41" spans="1:13" ht="32" customHeight="1">
      <c r="A41" s="2" t="s">
        <v>45</v>
      </c>
      <c r="B41" s="2" t="s">
        <v>56</v>
      </c>
      <c r="C41" s="2"/>
      <c r="D41" s="2"/>
      <c r="E41" s="2">
        <f t="shared" si="3"/>
        <v>0.64400000000000002</v>
      </c>
      <c r="F41" s="5">
        <f t="shared" si="4"/>
        <v>91.355999999999995</v>
      </c>
      <c r="G41" s="5">
        <f t="shared" si="5"/>
        <v>8</v>
      </c>
      <c r="H41" s="5"/>
      <c r="I41" s="2">
        <v>1</v>
      </c>
      <c r="J41" s="2">
        <v>22</v>
      </c>
      <c r="L41" t="s">
        <v>229</v>
      </c>
      <c r="M41" s="4" t="s">
        <v>214</v>
      </c>
    </row>
    <row r="42" spans="1:13" ht="32" customHeight="1">
      <c r="A42" s="2" t="s">
        <v>46</v>
      </c>
      <c r="B42" s="2" t="s">
        <v>56</v>
      </c>
      <c r="C42" s="2"/>
      <c r="D42" s="2"/>
      <c r="E42" s="2">
        <f t="shared" si="3"/>
        <v>0.64400000000000002</v>
      </c>
      <c r="F42" s="5">
        <f t="shared" si="4"/>
        <v>91.355999999999995</v>
      </c>
      <c r="G42" s="5">
        <f t="shared" si="5"/>
        <v>8</v>
      </c>
      <c r="H42" s="5"/>
      <c r="I42" s="2">
        <v>1</v>
      </c>
      <c r="J42" s="2">
        <v>22</v>
      </c>
      <c r="L42" t="s">
        <v>229</v>
      </c>
      <c r="M42" s="4" t="s">
        <v>215</v>
      </c>
    </row>
    <row r="43" spans="1:13" ht="32" customHeight="1">
      <c r="A43" s="2" t="s">
        <v>47</v>
      </c>
      <c r="B43" s="2" t="s">
        <v>56</v>
      </c>
      <c r="C43" s="2"/>
      <c r="D43" s="2"/>
      <c r="E43" s="2">
        <f t="shared" si="3"/>
        <v>0.64400000000000002</v>
      </c>
      <c r="F43" s="5">
        <f t="shared" si="4"/>
        <v>91.355999999999995</v>
      </c>
      <c r="G43" s="5">
        <f t="shared" si="5"/>
        <v>8</v>
      </c>
      <c r="H43" s="5"/>
      <c r="I43" s="2">
        <v>1.5</v>
      </c>
      <c r="J43" s="2">
        <v>37</v>
      </c>
      <c r="L43" t="s">
        <v>229</v>
      </c>
      <c r="M43" s="4" t="s">
        <v>216</v>
      </c>
    </row>
    <row r="44" spans="1:13" ht="32" customHeight="1">
      <c r="A44" s="2" t="s">
        <v>48</v>
      </c>
      <c r="B44" s="2" t="s">
        <v>56</v>
      </c>
      <c r="C44" s="2"/>
      <c r="D44" s="2"/>
      <c r="E44" s="2">
        <f t="shared" si="3"/>
        <v>0.64400000000000002</v>
      </c>
      <c r="F44" s="5">
        <f t="shared" si="4"/>
        <v>91.355999999999995</v>
      </c>
      <c r="G44" s="5">
        <f t="shared" si="5"/>
        <v>8</v>
      </c>
      <c r="H44" s="5"/>
      <c r="I44" s="2">
        <v>0.5</v>
      </c>
      <c r="J44" s="2">
        <v>22</v>
      </c>
      <c r="L44" t="s">
        <v>229</v>
      </c>
      <c r="M44" s="4" t="s">
        <v>217</v>
      </c>
    </row>
    <row r="45" spans="1:13" ht="32" customHeight="1">
      <c r="A45" s="2" t="s">
        <v>49</v>
      </c>
      <c r="B45" s="2" t="s">
        <v>56</v>
      </c>
      <c r="C45" s="2"/>
      <c r="D45" s="2"/>
      <c r="E45" s="2">
        <f t="shared" si="3"/>
        <v>0.64400000000000002</v>
      </c>
      <c r="F45" s="5">
        <f t="shared" si="4"/>
        <v>91.355999999999995</v>
      </c>
      <c r="G45" s="5">
        <f t="shared" si="5"/>
        <v>8</v>
      </c>
      <c r="H45" s="5"/>
      <c r="I45" s="2">
        <v>1</v>
      </c>
      <c r="J45" s="2">
        <v>22</v>
      </c>
      <c r="L45" t="s">
        <v>229</v>
      </c>
      <c r="M45" s="4" t="s">
        <v>218</v>
      </c>
    </row>
    <row r="46" spans="1:13" ht="32" customHeight="1">
      <c r="A46" s="2" t="s">
        <v>50</v>
      </c>
      <c r="B46" s="2" t="s">
        <v>57</v>
      </c>
      <c r="C46" s="2"/>
      <c r="D46" s="2"/>
      <c r="E46" s="2">
        <f t="shared" si="3"/>
        <v>0.64400000000000002</v>
      </c>
      <c r="F46" s="5">
        <f t="shared" si="4"/>
        <v>91.355999999999995</v>
      </c>
      <c r="G46" s="5">
        <f t="shared" si="5"/>
        <v>8</v>
      </c>
      <c r="H46" s="5"/>
      <c r="I46" s="2">
        <v>1.7</v>
      </c>
      <c r="J46" s="2">
        <v>22</v>
      </c>
      <c r="L46" t="s">
        <v>229</v>
      </c>
      <c r="M46" s="4" t="s">
        <v>219</v>
      </c>
    </row>
    <row r="47" spans="1:13" ht="32" customHeight="1">
      <c r="A47" s="2" t="s">
        <v>51</v>
      </c>
      <c r="B47" s="2" t="s">
        <v>57</v>
      </c>
      <c r="C47" s="2"/>
      <c r="D47" s="2"/>
      <c r="E47" s="2">
        <f t="shared" si="3"/>
        <v>0.64400000000000002</v>
      </c>
      <c r="F47" s="5">
        <f t="shared" si="4"/>
        <v>91.355999999999995</v>
      </c>
      <c r="G47" s="5">
        <f t="shared" si="5"/>
        <v>8</v>
      </c>
      <c r="H47" s="5"/>
      <c r="I47" s="2">
        <v>1.9</v>
      </c>
      <c r="J47" s="2">
        <v>22</v>
      </c>
      <c r="L47" t="s">
        <v>229</v>
      </c>
      <c r="M47" s="4" t="s">
        <v>220</v>
      </c>
    </row>
    <row r="48" spans="1:13" ht="32" customHeight="1">
      <c r="A48" s="2" t="s">
        <v>52</v>
      </c>
      <c r="B48" s="2" t="s">
        <v>57</v>
      </c>
      <c r="C48" s="2"/>
      <c r="D48" s="2"/>
      <c r="E48" s="2">
        <f t="shared" si="3"/>
        <v>0.64400000000000002</v>
      </c>
      <c r="F48" s="5">
        <f t="shared" si="4"/>
        <v>91.355999999999995</v>
      </c>
      <c r="G48" s="5">
        <f t="shared" si="5"/>
        <v>8</v>
      </c>
      <c r="H48" s="5"/>
      <c r="I48" s="2">
        <v>1</v>
      </c>
      <c r="J48" s="2">
        <v>22</v>
      </c>
      <c r="L48" t="s">
        <v>229</v>
      </c>
      <c r="M48" s="4" t="s">
        <v>221</v>
      </c>
    </row>
    <row r="49" spans="1:13" ht="32" customHeight="1">
      <c r="A49" s="2" t="s">
        <v>46</v>
      </c>
      <c r="B49" s="2" t="s">
        <v>56</v>
      </c>
      <c r="C49" s="2"/>
      <c r="D49" s="2"/>
      <c r="E49" s="2">
        <f>0.97*$E$5+0.03*0</f>
        <v>0.67899999999999994</v>
      </c>
      <c r="F49" s="5">
        <f t="shared" si="4"/>
        <v>96.320999999999998</v>
      </c>
      <c r="G49" s="5">
        <f>0.97*$G$5+0.03*100</f>
        <v>3</v>
      </c>
      <c r="H49" s="5"/>
      <c r="I49" s="2">
        <v>1.4</v>
      </c>
      <c r="J49" s="2"/>
      <c r="L49" t="s">
        <v>229</v>
      </c>
      <c r="M49" s="4" t="s">
        <v>222</v>
      </c>
    </row>
    <row r="50" spans="1:13" ht="32" customHeight="1">
      <c r="A50" s="2" t="s">
        <v>46</v>
      </c>
      <c r="B50" s="2" t="s">
        <v>56</v>
      </c>
      <c r="C50" s="2"/>
      <c r="D50" s="2"/>
      <c r="E50" s="2">
        <f>0.95*$E$5+0.05*0</f>
        <v>0.66499999999999992</v>
      </c>
      <c r="F50" s="5">
        <f>100-E50-G50</f>
        <v>94.334999999999994</v>
      </c>
      <c r="G50" s="5">
        <f>0.95*$G$5+0.05*100</f>
        <v>5</v>
      </c>
      <c r="H50" s="5"/>
      <c r="I50" s="2">
        <v>1.6</v>
      </c>
      <c r="L50" t="s">
        <v>229</v>
      </c>
      <c r="M50" s="4" t="s">
        <v>223</v>
      </c>
    </row>
    <row r="51" spans="1:13" ht="32" customHeight="1">
      <c r="A51" s="2" t="s">
        <v>63</v>
      </c>
      <c r="B51" s="2" t="s">
        <v>56</v>
      </c>
      <c r="C51" s="2"/>
      <c r="D51" s="2"/>
      <c r="E51" s="2">
        <f>0.9*$E$5+0.1*0</f>
        <v>0.63</v>
      </c>
      <c r="F51" s="5">
        <f>100-E51-G51</f>
        <v>89.37</v>
      </c>
      <c r="G51" s="5">
        <f>0.9*$G$5+0.1*100</f>
        <v>10</v>
      </c>
      <c r="H51" s="5"/>
      <c r="I51" s="2">
        <v>2.1</v>
      </c>
      <c r="L51" t="s">
        <v>229</v>
      </c>
      <c r="M51" s="4" t="s">
        <v>224</v>
      </c>
    </row>
    <row r="52" spans="1:13" ht="32" customHeight="1">
      <c r="A52" s="2" t="s">
        <v>64</v>
      </c>
      <c r="B52" s="2" t="s">
        <v>56</v>
      </c>
      <c r="C52" s="2"/>
      <c r="D52" s="2"/>
      <c r="E52" s="2">
        <f>0.85*$E$5+0.15*0</f>
        <v>0.59499999999999997</v>
      </c>
      <c r="F52" s="5">
        <f>100-E52-G52</f>
        <v>84.405000000000001</v>
      </c>
      <c r="G52" s="5">
        <f>0.85*$G$5+0.15*100</f>
        <v>15</v>
      </c>
      <c r="H52" s="5"/>
      <c r="I52" s="2">
        <v>2.2999999999999998</v>
      </c>
      <c r="L52" t="s">
        <v>229</v>
      </c>
      <c r="M52" s="4" t="s">
        <v>225</v>
      </c>
    </row>
    <row r="53" spans="1:13" ht="32" customHeight="1">
      <c r="A53" s="2" t="s">
        <v>65</v>
      </c>
      <c r="B53" s="2" t="s">
        <v>56</v>
      </c>
      <c r="C53" s="2"/>
      <c r="D53" s="2"/>
      <c r="E53" s="2">
        <f>0.75*$E$5+0.25*0</f>
        <v>0.52499999999999991</v>
      </c>
      <c r="F53" s="5">
        <f>100-E53-G53</f>
        <v>74.474999999999994</v>
      </c>
      <c r="G53" s="5">
        <f>0.75*$G$5+0.25*100</f>
        <v>25</v>
      </c>
      <c r="H53" s="5"/>
      <c r="I53" s="2">
        <v>3.3</v>
      </c>
      <c r="L53" t="s">
        <v>229</v>
      </c>
      <c r="M53" s="4" t="s">
        <v>226</v>
      </c>
    </row>
    <row r="54" spans="1:13" ht="32" customHeight="1">
      <c r="A54" s="2" t="s">
        <v>66</v>
      </c>
      <c r="B54" s="2" t="s">
        <v>56</v>
      </c>
      <c r="C54" s="2"/>
      <c r="D54" s="2"/>
      <c r="E54" s="2">
        <f>0.6*$E$5+0.4*0</f>
        <v>0.42</v>
      </c>
      <c r="F54" s="5">
        <f>100-E54-G54</f>
        <v>59.58</v>
      </c>
      <c r="G54" s="5">
        <f>0.6*$G$5+0.4*100</f>
        <v>40</v>
      </c>
      <c r="H54" s="5"/>
      <c r="I54" s="2">
        <v>4.2</v>
      </c>
      <c r="L54" t="s">
        <v>229</v>
      </c>
      <c r="M54" s="4" t="s">
        <v>227</v>
      </c>
    </row>
    <row r="55" spans="1:13" ht="45" customHeight="1">
      <c r="A55" s="2" t="s">
        <v>67</v>
      </c>
      <c r="B55" s="2" t="s">
        <v>7</v>
      </c>
      <c r="E55">
        <v>0</v>
      </c>
      <c r="F55" s="6">
        <v>100</v>
      </c>
      <c r="G55">
        <v>0</v>
      </c>
      <c r="I55" s="2">
        <v>2.5</v>
      </c>
      <c r="L55" t="s">
        <v>230</v>
      </c>
      <c r="M55" s="4" t="s">
        <v>98</v>
      </c>
    </row>
    <row r="56" spans="1:13" ht="45" customHeight="1">
      <c r="A56" s="2" t="s">
        <v>84</v>
      </c>
      <c r="B56" s="2" t="s">
        <v>57</v>
      </c>
      <c r="E56">
        <v>0</v>
      </c>
      <c r="F56">
        <v>90</v>
      </c>
      <c r="G56">
        <v>10</v>
      </c>
      <c r="I56" s="2">
        <v>6</v>
      </c>
      <c r="L56" t="s">
        <v>230</v>
      </c>
      <c r="M56" s="4" t="s">
        <v>99</v>
      </c>
    </row>
    <row r="57" spans="1:13" ht="45" customHeight="1">
      <c r="A57" s="2" t="s">
        <v>85</v>
      </c>
      <c r="B57" s="2" t="s">
        <v>57</v>
      </c>
      <c r="E57" s="7">
        <v>0</v>
      </c>
      <c r="F57">
        <v>75</v>
      </c>
      <c r="G57">
        <v>25</v>
      </c>
      <c r="I57" s="2">
        <v>12</v>
      </c>
      <c r="L57" t="s">
        <v>230</v>
      </c>
      <c r="M57" s="4" t="s">
        <v>100</v>
      </c>
    </row>
    <row r="58" spans="1:13" ht="45" customHeight="1">
      <c r="A58" s="2" t="s">
        <v>86</v>
      </c>
      <c r="B58" s="2" t="s">
        <v>57</v>
      </c>
      <c r="E58" s="7">
        <v>0</v>
      </c>
      <c r="F58">
        <v>50</v>
      </c>
      <c r="G58">
        <v>50</v>
      </c>
      <c r="I58" s="2">
        <v>24.5</v>
      </c>
      <c r="L58" t="s">
        <v>230</v>
      </c>
      <c r="M58" s="4" t="s">
        <v>101</v>
      </c>
    </row>
    <row r="59" spans="1:13" ht="45" customHeight="1">
      <c r="A59" s="2" t="s">
        <v>68</v>
      </c>
      <c r="B59" s="2" t="s">
        <v>7</v>
      </c>
      <c r="C59" s="1"/>
      <c r="D59" s="1"/>
      <c r="E59" s="8">
        <v>0</v>
      </c>
      <c r="F59">
        <v>100</v>
      </c>
      <c r="G59">
        <v>0</v>
      </c>
      <c r="I59" s="2">
        <v>12.5</v>
      </c>
      <c r="L59" t="s">
        <v>230</v>
      </c>
      <c r="M59" s="4" t="s">
        <v>102</v>
      </c>
    </row>
    <row r="60" spans="1:13" ht="45" customHeight="1">
      <c r="A60" s="2" t="s">
        <v>87</v>
      </c>
      <c r="B60" s="2" t="s">
        <v>57</v>
      </c>
      <c r="C60" s="2"/>
      <c r="D60" s="2"/>
      <c r="E60" s="8">
        <f>0.5*E73</f>
        <v>0</v>
      </c>
      <c r="F60">
        <f>0.5*100+0.5*F73</f>
        <v>100</v>
      </c>
      <c r="G60">
        <f>0.5*G73</f>
        <v>0</v>
      </c>
      <c r="I60" s="2">
        <v>16.5</v>
      </c>
      <c r="L60" t="s">
        <v>230</v>
      </c>
      <c r="M60" s="4" t="s">
        <v>103</v>
      </c>
    </row>
    <row r="61" spans="1:13" ht="45" customHeight="1">
      <c r="A61" s="2" t="s">
        <v>88</v>
      </c>
      <c r="B61" s="2" t="s">
        <v>228</v>
      </c>
      <c r="C61" s="2"/>
      <c r="D61" s="2"/>
      <c r="E61" s="2">
        <f>0.45*E72+5</f>
        <v>12.02</v>
      </c>
      <c r="F61">
        <f>0.45*100+0.45*F72</f>
        <v>66.960000000000008</v>
      </c>
      <c r="G61">
        <f>0.45*G72+5</f>
        <v>21.02</v>
      </c>
      <c r="I61" s="2">
        <v>18.8</v>
      </c>
      <c r="L61" t="s">
        <v>230</v>
      </c>
      <c r="M61" s="4" t="s">
        <v>104</v>
      </c>
    </row>
    <row r="62" spans="1:13" ht="45" customHeight="1">
      <c r="A62" s="2" t="s">
        <v>89</v>
      </c>
      <c r="B62" s="2" t="s">
        <v>228</v>
      </c>
      <c r="C62" s="2"/>
      <c r="D62" s="2"/>
      <c r="E62" s="2">
        <f>0.45*E72+10</f>
        <v>17.02</v>
      </c>
      <c r="F62">
        <f>0.45*100+0.45*F72</f>
        <v>66.960000000000008</v>
      </c>
      <c r="G62">
        <f>0.45*G72</f>
        <v>16.02</v>
      </c>
      <c r="I62" s="2">
        <v>22</v>
      </c>
      <c r="L62" t="s">
        <v>230</v>
      </c>
      <c r="M62" s="4" t="s">
        <v>105</v>
      </c>
    </row>
    <row r="63" spans="1:13" ht="45" customHeight="1">
      <c r="A63" s="2" t="s">
        <v>90</v>
      </c>
      <c r="B63" s="2" t="s">
        <v>58</v>
      </c>
      <c r="C63" s="2"/>
      <c r="D63" s="2"/>
      <c r="E63" s="2">
        <f>0.45*E72+10</f>
        <v>17.02</v>
      </c>
      <c r="F63">
        <f>0.45*100+0.45*F72</f>
        <v>66.960000000000008</v>
      </c>
      <c r="G63">
        <f>0.45*G72</f>
        <v>16.02</v>
      </c>
      <c r="I63" s="2">
        <v>24</v>
      </c>
      <c r="L63" t="s">
        <v>230</v>
      </c>
      <c r="M63" s="4" t="s">
        <v>106</v>
      </c>
    </row>
    <row r="64" spans="1:13" ht="45" customHeight="1">
      <c r="A64" s="2" t="s">
        <v>69</v>
      </c>
      <c r="B64" s="2" t="s">
        <v>7</v>
      </c>
      <c r="C64" s="2"/>
      <c r="D64" s="2"/>
      <c r="E64" s="2">
        <f>0.75*E72</f>
        <v>11.7</v>
      </c>
      <c r="F64">
        <f>0.25*100+0.75*F72</f>
        <v>61.6</v>
      </c>
      <c r="G64">
        <f>0.75*G72</f>
        <v>26.700000000000003</v>
      </c>
      <c r="I64" s="2">
        <v>18.8</v>
      </c>
      <c r="L64" t="s">
        <v>230</v>
      </c>
      <c r="M64" s="4" t="s">
        <v>107</v>
      </c>
    </row>
    <row r="65" spans="1:13" ht="45" customHeight="1">
      <c r="A65" s="2" t="s">
        <v>91</v>
      </c>
      <c r="B65" s="2" t="s">
        <v>57</v>
      </c>
      <c r="C65" s="2"/>
      <c r="D65" s="2"/>
      <c r="E65" s="2">
        <v>0</v>
      </c>
      <c r="F65">
        <f>0.2*100+0.7*F72</f>
        <v>54.160000000000004</v>
      </c>
      <c r="G65">
        <f>10+0.7*G72</f>
        <v>34.92</v>
      </c>
      <c r="I65" s="2">
        <v>21.5</v>
      </c>
      <c r="L65" t="s">
        <v>230</v>
      </c>
      <c r="M65" s="4" t="s">
        <v>108</v>
      </c>
    </row>
    <row r="66" spans="1:13" ht="45" customHeight="1">
      <c r="A66" s="2" t="s">
        <v>92</v>
      </c>
      <c r="B66" s="2" t="s">
        <v>56</v>
      </c>
      <c r="C66" s="2"/>
      <c r="D66" s="2"/>
      <c r="E66" s="2">
        <v>0</v>
      </c>
      <c r="F66">
        <f>0.2*100+0.7*F72</f>
        <v>54.160000000000004</v>
      </c>
      <c r="G66">
        <f>10+0.7*G72</f>
        <v>34.92</v>
      </c>
      <c r="I66" s="2">
        <v>20</v>
      </c>
      <c r="L66" t="s">
        <v>230</v>
      </c>
      <c r="M66" s="4" t="s">
        <v>109</v>
      </c>
    </row>
    <row r="67" spans="1:13" ht="45" customHeight="1">
      <c r="A67" s="2" t="s">
        <v>93</v>
      </c>
      <c r="B67" s="2" t="s">
        <v>57</v>
      </c>
      <c r="C67" s="2"/>
      <c r="D67" s="2"/>
      <c r="E67" s="2">
        <v>0</v>
      </c>
      <c r="F67">
        <f>0.2*100+0.7*F72</f>
        <v>54.160000000000004</v>
      </c>
      <c r="G67">
        <f>10+0.7*G72</f>
        <v>34.92</v>
      </c>
      <c r="I67" s="2">
        <v>21</v>
      </c>
      <c r="L67" t="s">
        <v>230</v>
      </c>
      <c r="M67" s="4" t="s">
        <v>110</v>
      </c>
    </row>
    <row r="68" spans="1:13" ht="45" customHeight="1">
      <c r="A68" s="2" t="s">
        <v>70</v>
      </c>
      <c r="B68" s="2" t="s">
        <v>7</v>
      </c>
      <c r="C68" s="2"/>
      <c r="D68" s="2"/>
      <c r="E68" s="2">
        <f>0.9*E72</f>
        <v>14.04</v>
      </c>
      <c r="F68">
        <f>0.9*F72+0.1*100</f>
        <v>53.92</v>
      </c>
      <c r="G68">
        <f>0.9*G72</f>
        <v>32.04</v>
      </c>
      <c r="I68" s="2">
        <v>21</v>
      </c>
      <c r="L68" t="s">
        <v>230</v>
      </c>
      <c r="M68" s="4" t="s">
        <v>111</v>
      </c>
    </row>
    <row r="69" spans="1:13" ht="45" customHeight="1">
      <c r="A69" s="2" t="s">
        <v>94</v>
      </c>
      <c r="B69" s="2" t="s">
        <v>57</v>
      </c>
      <c r="C69" s="2"/>
      <c r="D69" s="2"/>
      <c r="E69" s="2">
        <f>0.85*E72</f>
        <v>13.26</v>
      </c>
      <c r="F69">
        <f>0.85*F72+5</f>
        <v>46.480000000000004</v>
      </c>
      <c r="G69">
        <f>0.85*G72+10</f>
        <v>40.260000000000005</v>
      </c>
      <c r="I69" s="2">
        <v>24</v>
      </c>
      <c r="L69" t="s">
        <v>230</v>
      </c>
      <c r="M69" s="4" t="s">
        <v>112</v>
      </c>
    </row>
    <row r="70" spans="1:13" ht="45" customHeight="1">
      <c r="A70" s="2" t="s">
        <v>95</v>
      </c>
      <c r="B70" s="2" t="s">
        <v>56</v>
      </c>
      <c r="C70" s="2"/>
      <c r="D70" s="2"/>
      <c r="E70" s="2">
        <v>0</v>
      </c>
      <c r="F70">
        <f>5+0.85*F72</f>
        <v>46.480000000000004</v>
      </c>
      <c r="G70">
        <f>10+0.85*G72</f>
        <v>40.260000000000005</v>
      </c>
      <c r="I70" s="2">
        <v>24</v>
      </c>
      <c r="L70" t="s">
        <v>230</v>
      </c>
      <c r="M70" s="4" t="s">
        <v>113</v>
      </c>
    </row>
    <row r="71" spans="1:13" ht="45" customHeight="1">
      <c r="A71" s="2" t="s">
        <v>96</v>
      </c>
      <c r="B71" s="2" t="s">
        <v>57</v>
      </c>
      <c r="C71" s="2"/>
      <c r="D71" s="2"/>
      <c r="E71" s="2">
        <v>0</v>
      </c>
      <c r="F71">
        <f>5+0.85*F72</f>
        <v>46.480000000000004</v>
      </c>
      <c r="G71">
        <f>10+0.85*G72</f>
        <v>40.260000000000005</v>
      </c>
      <c r="I71" s="2">
        <v>22.5</v>
      </c>
      <c r="L71" t="s">
        <v>230</v>
      </c>
      <c r="M71" s="4" t="s">
        <v>114</v>
      </c>
    </row>
    <row r="72" spans="1:13" ht="45" customHeight="1">
      <c r="A72" s="2" t="s">
        <v>71</v>
      </c>
      <c r="B72" s="2" t="s">
        <v>7</v>
      </c>
      <c r="C72" s="2"/>
      <c r="D72" s="2"/>
      <c r="E72" s="2">
        <f>10.2+5.4</f>
        <v>15.6</v>
      </c>
      <c r="F72">
        <f>100-E72-G72</f>
        <v>48.800000000000004</v>
      </c>
      <c r="G72">
        <f>35.6</f>
        <v>35.6</v>
      </c>
      <c r="I72" s="2">
        <v>22.5</v>
      </c>
      <c r="L72" t="s">
        <v>230</v>
      </c>
      <c r="M72" s="4" t="s">
        <v>115</v>
      </c>
    </row>
    <row r="73" spans="1:13" ht="45" customHeight="1">
      <c r="A73" s="2" t="s">
        <v>72</v>
      </c>
      <c r="B73" s="2" t="s">
        <v>7</v>
      </c>
      <c r="C73" s="2"/>
      <c r="D73" s="2"/>
      <c r="E73" s="2">
        <v>0</v>
      </c>
      <c r="F73">
        <v>100</v>
      </c>
      <c r="G73">
        <v>0</v>
      </c>
      <c r="I73" s="2">
        <v>2.5</v>
      </c>
      <c r="L73" t="s">
        <v>230</v>
      </c>
      <c r="M73" s="4" t="s">
        <v>116</v>
      </c>
    </row>
    <row r="74" spans="1:13" ht="45" customHeight="1">
      <c r="A74" s="2" t="s">
        <v>73</v>
      </c>
      <c r="B74" s="2" t="s">
        <v>57</v>
      </c>
      <c r="C74" s="2"/>
      <c r="D74" s="2"/>
      <c r="E74" s="2">
        <v>0</v>
      </c>
      <c r="F74">
        <v>90</v>
      </c>
      <c r="G74">
        <v>10</v>
      </c>
      <c r="I74" s="2">
        <v>7.5</v>
      </c>
      <c r="L74" t="s">
        <v>230</v>
      </c>
      <c r="M74" s="4" t="s">
        <v>117</v>
      </c>
    </row>
    <row r="75" spans="1:13" ht="45" customHeight="1">
      <c r="A75" s="2" t="s">
        <v>74</v>
      </c>
      <c r="B75" s="2" t="s">
        <v>57</v>
      </c>
      <c r="C75" s="2"/>
      <c r="D75" s="2"/>
      <c r="E75" s="2">
        <v>0</v>
      </c>
      <c r="F75">
        <v>75</v>
      </c>
      <c r="G75">
        <v>25</v>
      </c>
      <c r="I75" s="2">
        <v>14.5</v>
      </c>
      <c r="L75" t="s">
        <v>230</v>
      </c>
      <c r="M75" s="4" t="s">
        <v>118</v>
      </c>
    </row>
    <row r="76" spans="1:13" ht="45" customHeight="1">
      <c r="A76" s="2" t="s">
        <v>75</v>
      </c>
      <c r="B76" s="2" t="s">
        <v>57</v>
      </c>
      <c r="C76" s="2"/>
      <c r="D76" s="2"/>
      <c r="E76" s="2">
        <v>0</v>
      </c>
      <c r="F76">
        <v>50</v>
      </c>
      <c r="G76">
        <v>50</v>
      </c>
      <c r="I76" s="2">
        <v>25</v>
      </c>
      <c r="L76" t="s">
        <v>230</v>
      </c>
      <c r="M76" s="4" t="s">
        <v>119</v>
      </c>
    </row>
    <row r="77" spans="1:13" ht="45" customHeight="1">
      <c r="A77" s="2" t="s">
        <v>76</v>
      </c>
      <c r="B77" s="2" t="s">
        <v>7</v>
      </c>
      <c r="C77" s="2"/>
      <c r="D77" s="2"/>
      <c r="E77" s="2">
        <v>0</v>
      </c>
      <c r="F77">
        <v>100</v>
      </c>
      <c r="G77">
        <v>0</v>
      </c>
      <c r="I77" s="2">
        <v>15.5</v>
      </c>
      <c r="L77" t="s">
        <v>230</v>
      </c>
      <c r="M77" s="4" t="s">
        <v>120</v>
      </c>
    </row>
    <row r="78" spans="1:13" ht="45" customHeight="1">
      <c r="A78" s="2" t="s">
        <v>77</v>
      </c>
      <c r="B78" s="2" t="s">
        <v>57</v>
      </c>
      <c r="E78">
        <v>0</v>
      </c>
      <c r="F78">
        <v>50</v>
      </c>
      <c r="G78">
        <v>0</v>
      </c>
      <c r="I78" s="2">
        <v>17.5</v>
      </c>
      <c r="L78" t="s">
        <v>230</v>
      </c>
      <c r="M78" s="4" t="s">
        <v>121</v>
      </c>
    </row>
    <row r="79" spans="1:13" ht="45" customHeight="1">
      <c r="A79" s="2" t="s">
        <v>78</v>
      </c>
      <c r="B79" s="2" t="s">
        <v>228</v>
      </c>
      <c r="E79">
        <v>12.02</v>
      </c>
      <c r="F79">
        <v>66.960000000000008</v>
      </c>
      <c r="G79">
        <v>21.02</v>
      </c>
      <c r="I79" s="2">
        <v>21</v>
      </c>
      <c r="L79" t="s">
        <v>230</v>
      </c>
      <c r="M79" s="4" t="s">
        <v>122</v>
      </c>
    </row>
    <row r="80" spans="1:13" ht="45" customHeight="1">
      <c r="A80" s="2" t="s">
        <v>79</v>
      </c>
      <c r="B80" s="2" t="s">
        <v>228</v>
      </c>
      <c r="E80">
        <v>17.02</v>
      </c>
      <c r="F80">
        <v>66.960000000000008</v>
      </c>
      <c r="G80">
        <v>16.02</v>
      </c>
      <c r="I80" s="2">
        <v>21</v>
      </c>
      <c r="L80" t="s">
        <v>230</v>
      </c>
      <c r="M80" s="4" t="s">
        <v>123</v>
      </c>
    </row>
    <row r="81" spans="1:13" ht="45" customHeight="1">
      <c r="A81" s="2" t="s">
        <v>80</v>
      </c>
      <c r="B81" s="2" t="s">
        <v>58</v>
      </c>
      <c r="E81">
        <v>17.02</v>
      </c>
      <c r="F81">
        <v>66.960000000000008</v>
      </c>
      <c r="G81">
        <v>16.02</v>
      </c>
      <c r="I81" s="2">
        <v>28</v>
      </c>
      <c r="L81" t="s">
        <v>230</v>
      </c>
      <c r="M81" s="4" t="s">
        <v>124</v>
      </c>
    </row>
    <row r="82" spans="1:13" ht="45" customHeight="1">
      <c r="A82" s="2" t="s">
        <v>81</v>
      </c>
      <c r="B82" s="2" t="s">
        <v>7</v>
      </c>
      <c r="E82">
        <v>11.7</v>
      </c>
      <c r="F82">
        <v>61.6</v>
      </c>
      <c r="G82">
        <v>26.700000000000003</v>
      </c>
      <c r="I82" s="2">
        <v>20</v>
      </c>
      <c r="L82" t="s">
        <v>230</v>
      </c>
      <c r="M82" s="4" t="s">
        <v>125</v>
      </c>
    </row>
    <row r="83" spans="1:13" ht="45" customHeight="1">
      <c r="A83" s="2" t="s">
        <v>82</v>
      </c>
      <c r="B83" s="2" t="s">
        <v>57</v>
      </c>
      <c r="E83">
        <v>0</v>
      </c>
      <c r="F83">
        <v>54.160000000000004</v>
      </c>
      <c r="G83">
        <v>34.92</v>
      </c>
      <c r="I83" s="2">
        <v>23.5</v>
      </c>
      <c r="L83" t="s">
        <v>230</v>
      </c>
      <c r="M83" s="4" t="s">
        <v>126</v>
      </c>
    </row>
    <row r="84" spans="1:13" ht="45" customHeight="1">
      <c r="A84" s="2" t="s">
        <v>97</v>
      </c>
      <c r="B84" s="2" t="s">
        <v>58</v>
      </c>
      <c r="E84">
        <f>10 + 0.7*E72</f>
        <v>20.92</v>
      </c>
      <c r="F84">
        <f>0.7*F72+20</f>
        <v>54.160000000000004</v>
      </c>
      <c r="G84">
        <f>0.7*G72</f>
        <v>24.919999999999998</v>
      </c>
      <c r="I84" s="2">
        <v>34</v>
      </c>
      <c r="L84" t="s">
        <v>230</v>
      </c>
      <c r="M84" s="4" t="s">
        <v>127</v>
      </c>
    </row>
    <row r="85" spans="1:13" ht="45" customHeight="1">
      <c r="A85" s="2" t="s">
        <v>83</v>
      </c>
      <c r="B85" s="2" t="s">
        <v>7</v>
      </c>
      <c r="E85">
        <f>0.9*E72</f>
        <v>14.04</v>
      </c>
      <c r="F85">
        <f>0.9*F72+10</f>
        <v>53.92</v>
      </c>
      <c r="G85">
        <f>0.9*G72</f>
        <v>32.04</v>
      </c>
      <c r="I85" s="2">
        <v>22.5</v>
      </c>
      <c r="L85" t="s">
        <v>230</v>
      </c>
      <c r="M85" s="4" t="s">
        <v>128</v>
      </c>
    </row>
    <row r="86" spans="1:13" ht="30" customHeight="1">
      <c r="A86" s="2" t="s">
        <v>129</v>
      </c>
      <c r="B86" s="2"/>
      <c r="C86" s="2">
        <v>8.5</v>
      </c>
      <c r="D86" s="2">
        <v>0.2</v>
      </c>
      <c r="E86" s="2">
        <f>C86+D86</f>
        <v>8.6999999999999993</v>
      </c>
      <c r="F86" s="2"/>
      <c r="G86" s="2"/>
      <c r="H86" s="2">
        <v>91.3</v>
      </c>
      <c r="I86" s="2"/>
      <c r="J86" s="2"/>
      <c r="L86" t="s">
        <v>231</v>
      </c>
      <c r="M86" s="9" t="s">
        <v>174</v>
      </c>
    </row>
    <row r="87" spans="1:13" ht="30" customHeight="1">
      <c r="A87" s="2">
        <v>4597</v>
      </c>
      <c r="B87" s="2"/>
      <c r="C87" s="2">
        <v>13.1</v>
      </c>
      <c r="D87" s="2">
        <v>1.9</v>
      </c>
      <c r="E87" s="2">
        <f t="shared" ref="E87:E97" si="6">C87+D87</f>
        <v>15</v>
      </c>
      <c r="F87" s="2"/>
      <c r="G87" s="2"/>
      <c r="H87" s="2">
        <v>85</v>
      </c>
      <c r="I87" s="2"/>
      <c r="J87" s="2"/>
      <c r="L87" t="s">
        <v>231</v>
      </c>
      <c r="M87" s="9" t="s">
        <v>174</v>
      </c>
    </row>
    <row r="88" spans="1:13" ht="30" customHeight="1">
      <c r="A88" s="2">
        <v>5245</v>
      </c>
      <c r="B88" s="2"/>
      <c r="C88" s="2">
        <v>15.3</v>
      </c>
      <c r="D88" s="2">
        <v>0.2</v>
      </c>
      <c r="E88" s="2">
        <f t="shared" si="6"/>
        <v>15.5</v>
      </c>
      <c r="F88" s="2"/>
      <c r="G88" s="2"/>
      <c r="H88" s="2">
        <v>84.5</v>
      </c>
      <c r="I88" s="2"/>
      <c r="J88" s="2"/>
      <c r="L88" t="s">
        <v>231</v>
      </c>
      <c r="M88" s="9" t="s">
        <v>174</v>
      </c>
    </row>
    <row r="89" spans="1:13" ht="30" customHeight="1">
      <c r="A89" s="2">
        <v>3166</v>
      </c>
      <c r="B89" s="2"/>
      <c r="C89" s="2">
        <v>15.1</v>
      </c>
      <c r="D89" s="2">
        <v>2.5</v>
      </c>
      <c r="E89" s="2">
        <f t="shared" si="6"/>
        <v>17.600000000000001</v>
      </c>
      <c r="F89" s="2"/>
      <c r="G89" s="2"/>
      <c r="H89" s="2">
        <v>82.4</v>
      </c>
      <c r="I89" s="2"/>
      <c r="J89" s="2"/>
      <c r="L89" t="s">
        <v>231</v>
      </c>
      <c r="M89" s="9" t="s">
        <v>174</v>
      </c>
    </row>
    <row r="90" spans="1:13" ht="30" customHeight="1">
      <c r="A90" s="2">
        <v>4598</v>
      </c>
      <c r="B90" s="2"/>
      <c r="C90" s="2">
        <v>16.2</v>
      </c>
      <c r="D90" s="2">
        <v>1.4</v>
      </c>
      <c r="E90" s="2">
        <f t="shared" si="6"/>
        <v>17.599999999999998</v>
      </c>
      <c r="F90" s="2"/>
      <c r="G90" s="2"/>
      <c r="H90" s="2">
        <v>82.4</v>
      </c>
      <c r="I90" s="2"/>
      <c r="J90" s="2"/>
      <c r="L90" t="s">
        <v>231</v>
      </c>
      <c r="M90" s="9" t="s">
        <v>174</v>
      </c>
    </row>
    <row r="91" spans="1:13" ht="30" customHeight="1">
      <c r="A91" s="2">
        <v>4600</v>
      </c>
      <c r="B91" s="2"/>
      <c r="C91" s="2">
        <v>16.399999999999999</v>
      </c>
      <c r="D91" s="2">
        <v>1.3</v>
      </c>
      <c r="E91" s="2">
        <f t="shared" si="6"/>
        <v>17.7</v>
      </c>
      <c r="F91" s="2"/>
      <c r="G91" s="2"/>
      <c r="H91" s="2">
        <v>82.3</v>
      </c>
      <c r="I91" s="2"/>
      <c r="J91" s="2"/>
      <c r="L91" t="s">
        <v>231</v>
      </c>
      <c r="M91" s="9" t="s">
        <v>174</v>
      </c>
    </row>
    <row r="92" spans="1:13" ht="30" customHeight="1">
      <c r="A92" s="2">
        <v>4658</v>
      </c>
      <c r="B92" s="2"/>
      <c r="C92" s="2">
        <v>16.399999999999999</v>
      </c>
      <c r="D92" s="2">
        <v>1.3</v>
      </c>
      <c r="E92" s="2">
        <f t="shared" si="6"/>
        <v>17.7</v>
      </c>
      <c r="F92" s="2"/>
      <c r="G92" s="2"/>
      <c r="H92" s="2">
        <v>82.3</v>
      </c>
      <c r="I92" s="2"/>
      <c r="J92" s="2"/>
      <c r="L92" t="s">
        <v>231</v>
      </c>
      <c r="M92" s="9" t="s">
        <v>174</v>
      </c>
    </row>
    <row r="93" spans="1:13" ht="30" customHeight="1">
      <c r="A93" s="2">
        <v>4626</v>
      </c>
      <c r="B93" s="2"/>
      <c r="C93" s="2">
        <v>17.3</v>
      </c>
      <c r="D93" s="2">
        <v>0.6</v>
      </c>
      <c r="E93" s="2">
        <f t="shared" si="6"/>
        <v>17.900000000000002</v>
      </c>
      <c r="F93" s="2"/>
      <c r="G93" s="2"/>
      <c r="H93" s="2">
        <v>82.1</v>
      </c>
      <c r="I93" s="2"/>
      <c r="J93" s="2"/>
      <c r="L93" t="s">
        <v>231</v>
      </c>
      <c r="M93" s="9" t="s">
        <v>174</v>
      </c>
    </row>
    <row r="94" spans="1:13" ht="30" customHeight="1">
      <c r="A94" s="2">
        <v>5661</v>
      </c>
      <c r="B94" s="2"/>
      <c r="C94" s="2">
        <v>17.5</v>
      </c>
      <c r="D94" s="2">
        <v>0.6</v>
      </c>
      <c r="E94" s="2">
        <f t="shared" si="6"/>
        <v>18.100000000000001</v>
      </c>
      <c r="F94" s="2"/>
      <c r="G94" s="2"/>
      <c r="H94" s="2">
        <v>81.900000000000006</v>
      </c>
      <c r="I94" s="2"/>
      <c r="J94" s="2"/>
      <c r="L94" t="s">
        <v>231</v>
      </c>
      <c r="M94" s="9" t="s">
        <v>174</v>
      </c>
    </row>
    <row r="95" spans="1:13" ht="30" customHeight="1">
      <c r="A95" s="2">
        <v>4877</v>
      </c>
      <c r="B95" s="2"/>
      <c r="C95" s="2">
        <v>19.2</v>
      </c>
      <c r="D95" s="2">
        <v>0.4</v>
      </c>
      <c r="E95" s="2">
        <f t="shared" si="6"/>
        <v>19.599999999999998</v>
      </c>
      <c r="F95" s="2"/>
      <c r="G95" s="2"/>
      <c r="H95" s="2">
        <v>80.400000000000006</v>
      </c>
      <c r="I95" s="2"/>
      <c r="J95" s="2"/>
      <c r="L95" t="s">
        <v>231</v>
      </c>
      <c r="M95" s="9" t="s">
        <v>174</v>
      </c>
    </row>
    <row r="96" spans="1:13" ht="30" customHeight="1">
      <c r="A96" s="2">
        <v>4599</v>
      </c>
      <c r="B96" s="2"/>
      <c r="C96" s="2">
        <v>18.5</v>
      </c>
      <c r="D96" s="2">
        <v>1.4</v>
      </c>
      <c r="E96" s="2">
        <f t="shared" si="6"/>
        <v>19.899999999999999</v>
      </c>
      <c r="F96" s="2"/>
      <c r="G96" s="2"/>
      <c r="H96" s="2">
        <v>80.099999999999994</v>
      </c>
      <c r="I96" s="2"/>
      <c r="J96" s="2"/>
      <c r="L96" t="s">
        <v>231</v>
      </c>
      <c r="M96" s="9" t="s">
        <v>174</v>
      </c>
    </row>
    <row r="97" spans="1:13" ht="30" customHeight="1">
      <c r="A97" s="2">
        <v>3602</v>
      </c>
      <c r="B97" s="2"/>
      <c r="C97" s="2">
        <v>22</v>
      </c>
      <c r="D97" s="2">
        <v>1.1000000000000001</v>
      </c>
      <c r="E97" s="2">
        <f t="shared" si="6"/>
        <v>23.1</v>
      </c>
      <c r="F97" s="2"/>
      <c r="G97" s="2"/>
      <c r="H97" s="2">
        <v>76.900000000000006</v>
      </c>
      <c r="I97" s="2"/>
      <c r="J97" s="2"/>
      <c r="L97" t="s">
        <v>231</v>
      </c>
      <c r="M97" s="9" t="s">
        <v>174</v>
      </c>
    </row>
    <row r="98" spans="1:13" ht="51">
      <c r="A98" s="2" t="s">
        <v>133</v>
      </c>
      <c r="B98" s="2" t="s">
        <v>7</v>
      </c>
      <c r="C98" s="2"/>
      <c r="D98" s="2"/>
      <c r="E98" s="2"/>
      <c r="F98" s="2"/>
      <c r="G98" s="2"/>
      <c r="H98" s="2"/>
      <c r="I98" s="2">
        <v>5.5</v>
      </c>
      <c r="L98" t="s">
        <v>232</v>
      </c>
      <c r="M98" s="9" t="s">
        <v>160</v>
      </c>
    </row>
    <row r="99" spans="1:13" ht="51">
      <c r="A99" s="2" t="s">
        <v>134</v>
      </c>
      <c r="B99" s="2" t="s">
        <v>7</v>
      </c>
      <c r="C99" s="2"/>
      <c r="D99" s="2"/>
      <c r="E99" s="2"/>
      <c r="F99" s="2"/>
      <c r="G99" s="2"/>
      <c r="H99" s="2"/>
      <c r="I99" s="2">
        <v>2.2000000000000002</v>
      </c>
      <c r="L99" t="s">
        <v>232</v>
      </c>
      <c r="M99" s="9" t="s">
        <v>160</v>
      </c>
    </row>
    <row r="100" spans="1:13" ht="51">
      <c r="A100" s="2" t="s">
        <v>135</v>
      </c>
      <c r="B100" s="2" t="s">
        <v>136</v>
      </c>
      <c r="C100" s="2">
        <v>0</v>
      </c>
      <c r="D100" s="2">
        <v>0</v>
      </c>
      <c r="E100" s="2">
        <v>0</v>
      </c>
      <c r="F100" s="2">
        <v>100</v>
      </c>
      <c r="G100" s="2">
        <v>0</v>
      </c>
      <c r="H100" s="2">
        <v>100</v>
      </c>
      <c r="I100" s="2">
        <v>0.05</v>
      </c>
      <c r="L100" t="s">
        <v>232</v>
      </c>
      <c r="M100" s="9" t="s">
        <v>160</v>
      </c>
    </row>
    <row r="101" spans="1:13" ht="51">
      <c r="A101" s="2" t="s">
        <v>137</v>
      </c>
      <c r="B101" s="2" t="s">
        <v>53</v>
      </c>
      <c r="C101" s="2">
        <v>8</v>
      </c>
      <c r="D101" s="2">
        <v>0</v>
      </c>
      <c r="E101" s="2">
        <v>8</v>
      </c>
      <c r="F101" s="2">
        <v>92</v>
      </c>
      <c r="G101" s="2">
        <v>0</v>
      </c>
      <c r="H101" s="2">
        <v>92</v>
      </c>
      <c r="I101" s="2">
        <v>3.1</v>
      </c>
      <c r="L101" t="s">
        <v>232</v>
      </c>
      <c r="M101" s="9" t="s">
        <v>160</v>
      </c>
    </row>
    <row r="102" spans="1:13" ht="51">
      <c r="A102" s="2" t="s">
        <v>138</v>
      </c>
      <c r="B102" s="2" t="s">
        <v>139</v>
      </c>
      <c r="C102" s="2">
        <v>0</v>
      </c>
      <c r="D102" s="2">
        <v>0</v>
      </c>
      <c r="E102" s="2">
        <v>8</v>
      </c>
      <c r="F102" s="2">
        <v>92</v>
      </c>
      <c r="G102" s="2">
        <v>0</v>
      </c>
      <c r="H102" s="2">
        <v>92</v>
      </c>
      <c r="I102" s="2">
        <v>2.8</v>
      </c>
      <c r="L102" t="s">
        <v>232</v>
      </c>
      <c r="M102" s="9" t="s">
        <v>160</v>
      </c>
    </row>
    <row r="103" spans="1:13" ht="51">
      <c r="A103" s="2" t="s">
        <v>140</v>
      </c>
      <c r="B103" s="2" t="s">
        <v>139</v>
      </c>
      <c r="C103" s="2">
        <v>0</v>
      </c>
      <c r="D103" s="2">
        <v>0</v>
      </c>
      <c r="E103" s="2">
        <v>8</v>
      </c>
      <c r="F103" s="2">
        <v>92</v>
      </c>
      <c r="G103" s="2">
        <v>0</v>
      </c>
      <c r="H103" s="2">
        <v>92</v>
      </c>
      <c r="I103" s="2">
        <v>2.1</v>
      </c>
      <c r="L103" t="s">
        <v>232</v>
      </c>
      <c r="M103" s="9" t="s">
        <v>160</v>
      </c>
    </row>
    <row r="104" spans="1:13" ht="51">
      <c r="A104" s="2" t="s">
        <v>141</v>
      </c>
      <c r="B104" s="2" t="s">
        <v>53</v>
      </c>
      <c r="C104" s="2">
        <v>8</v>
      </c>
      <c r="D104" s="2">
        <v>0</v>
      </c>
      <c r="E104" s="2">
        <v>8</v>
      </c>
      <c r="F104" s="2">
        <v>92</v>
      </c>
      <c r="G104" s="2">
        <v>0</v>
      </c>
      <c r="H104" s="2">
        <v>92</v>
      </c>
      <c r="I104" s="2">
        <v>1.9</v>
      </c>
      <c r="L104" t="s">
        <v>232</v>
      </c>
      <c r="M104" s="9" t="s">
        <v>160</v>
      </c>
    </row>
    <row r="105" spans="1:13" ht="51">
      <c r="A105" s="2" t="s">
        <v>142</v>
      </c>
      <c r="B105" s="2" t="s">
        <v>54</v>
      </c>
      <c r="C105" s="2">
        <v>0</v>
      </c>
      <c r="D105" s="2">
        <v>1</v>
      </c>
      <c r="E105" s="2">
        <v>1</v>
      </c>
      <c r="F105" s="2">
        <v>99</v>
      </c>
      <c r="G105" s="2">
        <v>0</v>
      </c>
      <c r="H105" s="2">
        <v>99</v>
      </c>
      <c r="I105" s="2">
        <v>1.6</v>
      </c>
      <c r="L105" t="s">
        <v>232</v>
      </c>
      <c r="M105" s="9" t="s">
        <v>161</v>
      </c>
    </row>
    <row r="106" spans="1:13" ht="51">
      <c r="A106" s="2" t="s">
        <v>143</v>
      </c>
      <c r="B106" s="2" t="s">
        <v>53</v>
      </c>
      <c r="C106" s="2">
        <v>8</v>
      </c>
      <c r="D106" s="2">
        <v>0</v>
      </c>
      <c r="E106" s="2">
        <v>8</v>
      </c>
      <c r="F106" s="2">
        <v>92</v>
      </c>
      <c r="G106" s="2">
        <v>0</v>
      </c>
      <c r="H106" s="2">
        <v>92</v>
      </c>
      <c r="I106" s="2">
        <v>1.6</v>
      </c>
      <c r="L106" t="s">
        <v>232</v>
      </c>
      <c r="M106" s="9" t="s">
        <v>162</v>
      </c>
    </row>
    <row r="107" spans="1:13" ht="51">
      <c r="A107" s="2" t="s">
        <v>144</v>
      </c>
      <c r="B107" s="2" t="s">
        <v>53</v>
      </c>
      <c r="C107" s="2">
        <v>8</v>
      </c>
      <c r="D107" s="2">
        <v>0</v>
      </c>
      <c r="E107" s="2">
        <v>8</v>
      </c>
      <c r="F107" s="2">
        <v>92</v>
      </c>
      <c r="G107" s="2">
        <v>0</v>
      </c>
      <c r="H107" s="2">
        <v>92</v>
      </c>
      <c r="I107" s="2">
        <v>1.4</v>
      </c>
      <c r="L107" t="s">
        <v>232</v>
      </c>
      <c r="M107" s="9" t="s">
        <v>163</v>
      </c>
    </row>
    <row r="108" spans="1:13" ht="51">
      <c r="A108" s="2" t="s">
        <v>145</v>
      </c>
      <c r="B108" s="2" t="s">
        <v>53</v>
      </c>
      <c r="C108" s="2">
        <v>8</v>
      </c>
      <c r="D108" s="2">
        <v>0</v>
      </c>
      <c r="E108" s="2">
        <v>8</v>
      </c>
      <c r="F108" s="2">
        <v>92</v>
      </c>
      <c r="G108" s="2">
        <v>0</v>
      </c>
      <c r="H108" s="2">
        <v>92</v>
      </c>
      <c r="I108" s="2">
        <v>1</v>
      </c>
      <c r="L108" t="s">
        <v>232</v>
      </c>
      <c r="M108" s="9" t="s">
        <v>164</v>
      </c>
    </row>
    <row r="109" spans="1:13" ht="51">
      <c r="A109" s="2" t="s">
        <v>146</v>
      </c>
      <c r="B109" s="2" t="s">
        <v>53</v>
      </c>
      <c r="C109" s="2">
        <v>8</v>
      </c>
      <c r="D109" s="2">
        <v>0</v>
      </c>
      <c r="E109" s="2">
        <v>8</v>
      </c>
      <c r="F109" s="2">
        <v>92</v>
      </c>
      <c r="G109" s="2">
        <v>0</v>
      </c>
      <c r="H109" s="2">
        <v>92</v>
      </c>
      <c r="I109" s="2">
        <v>0.9</v>
      </c>
      <c r="L109" t="s">
        <v>232</v>
      </c>
      <c r="M109" s="9" t="s">
        <v>165</v>
      </c>
    </row>
    <row r="110" spans="1:13" ht="51">
      <c r="A110" s="2" t="s">
        <v>147</v>
      </c>
      <c r="B110" s="2" t="s">
        <v>53</v>
      </c>
      <c r="C110" s="2">
        <v>8</v>
      </c>
      <c r="D110" s="2">
        <v>0</v>
      </c>
      <c r="E110" s="2">
        <v>8</v>
      </c>
      <c r="F110" s="2">
        <v>92</v>
      </c>
      <c r="G110" s="2">
        <v>0</v>
      </c>
      <c r="H110" s="2">
        <v>92</v>
      </c>
      <c r="I110" s="2">
        <v>0.7</v>
      </c>
      <c r="L110" t="s">
        <v>232</v>
      </c>
      <c r="M110" s="9" t="s">
        <v>166</v>
      </c>
    </row>
    <row r="111" spans="1:13" ht="51">
      <c r="A111" s="2" t="s">
        <v>148</v>
      </c>
      <c r="B111" s="2" t="s">
        <v>53</v>
      </c>
      <c r="C111" s="2">
        <v>8</v>
      </c>
      <c r="D111" s="2">
        <v>0</v>
      </c>
      <c r="E111" s="2">
        <v>8</v>
      </c>
      <c r="F111" s="2">
        <v>92</v>
      </c>
      <c r="G111" s="2">
        <v>0</v>
      </c>
      <c r="H111" s="2">
        <v>92</v>
      </c>
      <c r="I111" s="2">
        <v>0.28999999999999998</v>
      </c>
      <c r="L111" t="s">
        <v>232</v>
      </c>
      <c r="M111" s="9" t="s">
        <v>167</v>
      </c>
    </row>
    <row r="112" spans="1:13" ht="51">
      <c r="A112" s="2" t="s">
        <v>149</v>
      </c>
      <c r="B112" s="2" t="s">
        <v>150</v>
      </c>
      <c r="C112" s="2">
        <v>0</v>
      </c>
      <c r="D112" s="2">
        <v>0</v>
      </c>
      <c r="E112" s="2">
        <v>0</v>
      </c>
      <c r="F112" s="2">
        <v>92</v>
      </c>
      <c r="G112" s="2">
        <v>8</v>
      </c>
      <c r="H112" s="2">
        <v>100</v>
      </c>
      <c r="I112" s="2">
        <v>1.7</v>
      </c>
      <c r="L112" t="s">
        <v>232</v>
      </c>
      <c r="M112" s="9" t="s">
        <v>168</v>
      </c>
    </row>
    <row r="113" spans="1:13" ht="51">
      <c r="A113" s="2" t="s">
        <v>151</v>
      </c>
      <c r="B113" s="2" t="s">
        <v>152</v>
      </c>
      <c r="C113" s="2">
        <v>0</v>
      </c>
      <c r="D113" s="2">
        <v>0</v>
      </c>
      <c r="E113" s="2">
        <v>0</v>
      </c>
      <c r="F113" s="2">
        <v>100</v>
      </c>
      <c r="G113" s="2">
        <v>0</v>
      </c>
      <c r="H113" s="2">
        <v>100</v>
      </c>
      <c r="I113" s="2">
        <v>1.5</v>
      </c>
      <c r="L113" t="s">
        <v>232</v>
      </c>
      <c r="M113" s="9" t="s">
        <v>169</v>
      </c>
    </row>
    <row r="114" spans="1:13" ht="51">
      <c r="A114" s="2" t="s">
        <v>153</v>
      </c>
      <c r="B114" s="2" t="s">
        <v>150</v>
      </c>
      <c r="C114" s="2">
        <v>0</v>
      </c>
      <c r="D114" s="2">
        <v>0</v>
      </c>
      <c r="E114" s="2">
        <v>0</v>
      </c>
      <c r="F114" s="2">
        <v>92</v>
      </c>
      <c r="G114" s="2">
        <v>8</v>
      </c>
      <c r="H114" s="2">
        <v>100</v>
      </c>
      <c r="I114" s="2">
        <v>0.6</v>
      </c>
      <c r="L114" t="s">
        <v>232</v>
      </c>
      <c r="M114" s="9" t="s">
        <v>170</v>
      </c>
    </row>
    <row r="115" spans="1:13" ht="51">
      <c r="A115" s="2" t="s">
        <v>154</v>
      </c>
      <c r="B115" s="2" t="s">
        <v>155</v>
      </c>
      <c r="C115" s="2">
        <v>0</v>
      </c>
      <c r="D115" s="2">
        <v>0</v>
      </c>
      <c r="E115" s="2">
        <v>0</v>
      </c>
      <c r="F115" s="2">
        <v>92</v>
      </c>
      <c r="G115" s="2">
        <v>8</v>
      </c>
      <c r="H115" s="2">
        <v>100</v>
      </c>
      <c r="I115" s="2">
        <v>0.4</v>
      </c>
      <c r="L115" t="s">
        <v>232</v>
      </c>
      <c r="M115" s="9" t="s">
        <v>171</v>
      </c>
    </row>
    <row r="116" spans="1:13" ht="51">
      <c r="A116" s="2" t="s">
        <v>156</v>
      </c>
      <c r="B116" s="2" t="s">
        <v>157</v>
      </c>
      <c r="C116" s="2">
        <v>0</v>
      </c>
      <c r="D116" s="2">
        <v>0</v>
      </c>
      <c r="E116" s="2">
        <v>0</v>
      </c>
      <c r="F116" s="2">
        <v>100</v>
      </c>
      <c r="G116" s="2">
        <v>0</v>
      </c>
      <c r="H116" s="2">
        <v>100</v>
      </c>
      <c r="I116" s="2">
        <v>0.02</v>
      </c>
      <c r="L116" t="s">
        <v>232</v>
      </c>
      <c r="M116" s="9" t="s">
        <v>172</v>
      </c>
    </row>
    <row r="117" spans="1:13" ht="51">
      <c r="A117" s="2" t="s">
        <v>158</v>
      </c>
      <c r="B117" s="2" t="s">
        <v>159</v>
      </c>
      <c r="C117" s="2">
        <v>0</v>
      </c>
      <c r="D117" s="2">
        <v>0</v>
      </c>
      <c r="E117" s="2">
        <v>0.02</v>
      </c>
      <c r="F117" s="2">
        <v>99.98</v>
      </c>
      <c r="G117" s="2">
        <v>0</v>
      </c>
      <c r="H117" s="2">
        <v>99.98</v>
      </c>
      <c r="I117" s="2">
        <v>1</v>
      </c>
      <c r="L117" t="s">
        <v>232</v>
      </c>
      <c r="M117" s="9" t="s">
        <v>173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Housen</dc:creator>
  <cp:lastModifiedBy>Tara Housen</cp:lastModifiedBy>
  <dcterms:created xsi:type="dcterms:W3CDTF">2026-06-17T18:29:38Z</dcterms:created>
  <dcterms:modified xsi:type="dcterms:W3CDTF">2026-06-18T16:21:37Z</dcterms:modified>
</cp:coreProperties>
</file>