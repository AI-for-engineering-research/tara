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ahousen/MIT Dropbox/Tara Housen/"/>
    </mc:Choice>
  </mc:AlternateContent>
  <xr:revisionPtr revIDLastSave="0" documentId="13_ncr:1_{4F3BFE1D-FF90-244D-A146-5189DE6651D9}" xr6:coauthVersionLast="47" xr6:coauthVersionMax="47" xr10:uidLastSave="{00000000-0000-0000-0000-000000000000}"/>
  <bookViews>
    <workbookView xWindow="4640" yWindow="660" windowWidth="24040" windowHeight="17660" activeTab="1" xr2:uid="{D838AFB8-2A99-C54E-B748-01AA2F4C023B}"/>
  </bookViews>
  <sheets>
    <sheet name="Individual data from NASA" sheetId="1" r:id="rId1"/>
    <sheet name="PM Emissions" sheetId="4" r:id="rId2"/>
    <sheet name="Sheet1" sheetId="5" r:id="rId3"/>
    <sheet name="NASA data 30 to 100" sheetId="3" r:id="rId4"/>
    <sheet name="Sheet2" sheetId="2" r:id="rId5"/>
  </sheets>
  <definedNames>
    <definedName name="_xlnm._FilterDatabase" localSheetId="0" hidden="1">'Individual data from NASA'!$B$1:$B$454</definedName>
    <definedName name="_xlnm._FilterDatabase" localSheetId="4" hidden="1">Sheet2!$A$1:$AP$267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41" i="4" l="1"/>
  <c r="AE341" i="4" s="1" a="1"/>
  <c r="AE341" i="4" s="1"/>
  <c r="AD342" i="4"/>
  <c r="AE342" i="4" s="1" a="1"/>
  <c r="AE342" i="4" s="1"/>
  <c r="AD343" i="4"/>
  <c r="AE343" i="4" a="1"/>
  <c r="AE343" i="4" s="1"/>
  <c r="AF343" i="4" a="1"/>
  <c r="AF343" i="4" s="1"/>
  <c r="AG343" i="4" a="1"/>
  <c r="AG343" i="4" s="1"/>
  <c r="AH343" i="4" a="1"/>
  <c r="AH343" i="4" s="1"/>
  <c r="AI343" i="4" a="1"/>
  <c r="AI343" i="4" s="1"/>
  <c r="AJ343" i="4" a="1"/>
  <c r="AJ343" i="4" s="1"/>
  <c r="AK343" i="4" a="1"/>
  <c r="AK343" i="4" s="1"/>
  <c r="AL343" i="4" a="1"/>
  <c r="AL343" i="4" s="1"/>
  <c r="AM343" i="4" a="1"/>
  <c r="AM343" i="4" s="1"/>
  <c r="AN343" i="4" a="1"/>
  <c r="AN343" i="4" s="1"/>
  <c r="AO343" i="4" a="1"/>
  <c r="AO343" i="4" s="1"/>
  <c r="AP343" i="4" a="1"/>
  <c r="AP343" i="4" s="1"/>
  <c r="AQ343" i="4" a="1"/>
  <c r="AQ343" i="4" s="1"/>
  <c r="AR343" i="4" a="1"/>
  <c r="AR343" i="4" s="1"/>
  <c r="AS343" i="4" a="1"/>
  <c r="AS343" i="4" s="1"/>
  <c r="AT343" i="4" a="1"/>
  <c r="AT343" i="4" s="1"/>
  <c r="AU343" i="4" a="1"/>
  <c r="AU343" i="4" s="1"/>
  <c r="AV343" i="4" a="1"/>
  <c r="AV343" i="4" s="1"/>
  <c r="AW343" i="4" a="1"/>
  <c r="AW343" i="4" s="1"/>
  <c r="AD344" i="4"/>
  <c r="AF344" i="4" s="1" a="1"/>
  <c r="AF344" i="4" s="1"/>
  <c r="Q344" i="4"/>
  <c r="Q343" i="4"/>
  <c r="Q342" i="4"/>
  <c r="Q341" i="4"/>
  <c r="S342" i="4"/>
  <c r="S341" i="4"/>
  <c r="T57" i="4"/>
  <c r="AY145" i="4"/>
  <c r="O145" i="4" s="1"/>
  <c r="O150" i="4"/>
  <c r="O156" i="4"/>
  <c r="O157" i="4"/>
  <c r="O160" i="4"/>
  <c r="AY146" i="4"/>
  <c r="O146" i="4" s="1"/>
  <c r="AY147" i="4"/>
  <c r="O147" i="4" s="1"/>
  <c r="AY148" i="4"/>
  <c r="O148" i="4" s="1"/>
  <c r="AY149" i="4"/>
  <c r="O149" i="4" s="1"/>
  <c r="AY150" i="4"/>
  <c r="AY151" i="4"/>
  <c r="O151" i="4" s="1"/>
  <c r="AY152" i="4"/>
  <c r="O152" i="4" s="1"/>
  <c r="AY153" i="4"/>
  <c r="O153" i="4" s="1"/>
  <c r="AY154" i="4"/>
  <c r="O154" i="4" s="1"/>
  <c r="AY155" i="4"/>
  <c r="O155" i="4" s="1"/>
  <c r="AY156" i="4"/>
  <c r="AY157" i="4"/>
  <c r="AY158" i="4"/>
  <c r="O158" i="4" s="1"/>
  <c r="AY159" i="4"/>
  <c r="O159" i="4" s="1"/>
  <c r="AY160" i="4"/>
  <c r="P160" i="4"/>
  <c r="P159" i="4"/>
  <c r="P158" i="4"/>
  <c r="P157" i="4"/>
  <c r="P156" i="4"/>
  <c r="P155" i="4"/>
  <c r="P154" i="4"/>
  <c r="P149" i="4"/>
  <c r="P150" i="4"/>
  <c r="P151" i="4"/>
  <c r="P152" i="4"/>
  <c r="P153" i="4"/>
  <c r="P148" i="4"/>
  <c r="P146" i="4"/>
  <c r="P147" i="4"/>
  <c r="P145" i="4"/>
  <c r="Q151" i="4"/>
  <c r="Q152" i="4"/>
  <c r="R152" i="4"/>
  <c r="Q153" i="4"/>
  <c r="R153" i="4"/>
  <c r="Q154" i="4"/>
  <c r="R154" i="4"/>
  <c r="Q155" i="4"/>
  <c r="R155" i="4"/>
  <c r="Q156" i="4"/>
  <c r="R156" i="4"/>
  <c r="Q157" i="4"/>
  <c r="R157" i="4"/>
  <c r="Q158" i="4"/>
  <c r="R158" i="4"/>
  <c r="Q159" i="4"/>
  <c r="R159" i="4"/>
  <c r="Q160" i="4"/>
  <c r="R160" i="4"/>
  <c r="Q145" i="4"/>
  <c r="R145" i="4"/>
  <c r="Q146" i="4"/>
  <c r="R146" i="4"/>
  <c r="Q147" i="4"/>
  <c r="R147" i="4"/>
  <c r="Q148" i="4"/>
  <c r="R148" i="4"/>
  <c r="Q149" i="4"/>
  <c r="R149" i="4"/>
  <c r="Q150" i="4"/>
  <c r="R150" i="4"/>
  <c r="R151" i="4"/>
  <c r="AD340" i="4"/>
  <c r="AD338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9" i="4"/>
  <c r="AD317" i="4"/>
  <c r="Q321" i="4"/>
  <c r="Q317" i="4"/>
  <c r="Q340" i="4"/>
  <c r="Q339" i="4"/>
  <c r="Q337" i="4"/>
  <c r="Q338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2" i="4"/>
  <c r="Q320" i="4"/>
  <c r="Q319" i="4"/>
  <c r="Q318" i="4"/>
  <c r="Q71" i="4"/>
  <c r="AD64" i="4"/>
  <c r="AD63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0" i="4"/>
  <c r="Q69" i="4"/>
  <c r="Q68" i="4"/>
  <c r="Q67" i="4"/>
  <c r="Q66" i="4"/>
  <c r="Q64" i="4"/>
  <c r="Q65" i="4"/>
  <c r="AD55" i="4"/>
  <c r="Q63" i="4"/>
  <c r="Q62" i="4"/>
  <c r="S176" i="4" a="1"/>
  <c r="S176" i="4" s="1"/>
  <c r="L120" i="4"/>
  <c r="L110" i="4"/>
  <c r="O9" i="5"/>
  <c r="O8" i="5"/>
  <c r="O7" i="5"/>
  <c r="O6" i="5"/>
  <c r="O5" i="5"/>
  <c r="R22" i="4"/>
  <c r="AP311" i="4"/>
  <c r="Z238" i="4" a="1"/>
  <c r="Z238" i="4" s="1"/>
  <c r="Z239" i="4" a="1"/>
  <c r="Z239" i="4" s="1"/>
  <c r="Z240" i="4" a="1"/>
  <c r="Z240" i="4" s="1"/>
  <c r="Z241" i="4" a="1"/>
  <c r="Z241" i="4" s="1"/>
  <c r="Z242" i="4" a="1"/>
  <c r="Z242" i="4" s="1"/>
  <c r="Z243" i="4" a="1"/>
  <c r="Z243" i="4" s="1"/>
  <c r="Z244" i="4" a="1"/>
  <c r="Z244" i="4" s="1"/>
  <c r="Z245" i="4" a="1"/>
  <c r="Z245" i="4" s="1"/>
  <c r="Z246" i="4" a="1"/>
  <c r="Z246" i="4" s="1"/>
  <c r="Z247" i="4" a="1"/>
  <c r="Z247" i="4" s="1"/>
  <c r="R238" i="4" a="1"/>
  <c r="R238" i="4" s="1"/>
  <c r="S238" i="4" a="1"/>
  <c r="S238" i="4" s="1"/>
  <c r="T238" i="4" a="1"/>
  <c r="T238" i="4" s="1"/>
  <c r="U238" i="4" a="1"/>
  <c r="U238" i="4" s="1"/>
  <c r="V238" i="4" a="1"/>
  <c r="V238" i="4" s="1"/>
  <c r="W238" i="4" a="1"/>
  <c r="W238" i="4" s="1"/>
  <c r="X238" i="4" a="1"/>
  <c r="X238" i="4" s="1"/>
  <c r="Y238" i="4" a="1"/>
  <c r="Y238" i="4" s="1"/>
  <c r="R239" i="4" a="1"/>
  <c r="R239" i="4" s="1"/>
  <c r="S239" i="4" a="1"/>
  <c r="S239" i="4" s="1"/>
  <c r="T239" i="4" a="1"/>
  <c r="T239" i="4" s="1"/>
  <c r="U239" i="4" a="1"/>
  <c r="U239" i="4" s="1"/>
  <c r="V239" i="4" a="1"/>
  <c r="V239" i="4" s="1"/>
  <c r="W239" i="4" a="1"/>
  <c r="W239" i="4" s="1"/>
  <c r="X239" i="4" a="1"/>
  <c r="X239" i="4" s="1"/>
  <c r="Y239" i="4" a="1"/>
  <c r="Y239" i="4" s="1"/>
  <c r="R240" i="4" a="1"/>
  <c r="R240" i="4" s="1"/>
  <c r="S240" i="4" a="1"/>
  <c r="S240" i="4" s="1"/>
  <c r="T240" i="4" a="1"/>
  <c r="T240" i="4" s="1"/>
  <c r="U240" i="4" a="1"/>
  <c r="U240" i="4" s="1"/>
  <c r="V240" i="4" a="1"/>
  <c r="V240" i="4" s="1"/>
  <c r="W240" i="4" a="1"/>
  <c r="W240" i="4" s="1"/>
  <c r="X240" i="4" a="1"/>
  <c r="X240" i="4" s="1"/>
  <c r="Y240" i="4" a="1"/>
  <c r="Y240" i="4" s="1"/>
  <c r="R241" i="4" a="1"/>
  <c r="R241" i="4" s="1"/>
  <c r="S241" i="4" a="1"/>
  <c r="S241" i="4" s="1"/>
  <c r="T241" i="4" a="1"/>
  <c r="T241" i="4" s="1"/>
  <c r="U241" i="4" a="1"/>
  <c r="U241" i="4" s="1"/>
  <c r="V241" i="4" a="1"/>
  <c r="V241" i="4" s="1"/>
  <c r="W241" i="4" a="1"/>
  <c r="W241" i="4" s="1"/>
  <c r="X241" i="4" a="1"/>
  <c r="X241" i="4" s="1"/>
  <c r="Y241" i="4" a="1"/>
  <c r="Y241" i="4" s="1"/>
  <c r="R242" i="4" a="1"/>
  <c r="R242" i="4" s="1"/>
  <c r="S242" i="4" a="1"/>
  <c r="S242" i="4" s="1"/>
  <c r="T242" i="4" a="1"/>
  <c r="T242" i="4" s="1"/>
  <c r="U242" i="4" a="1"/>
  <c r="U242" i="4" s="1"/>
  <c r="V242" i="4" a="1"/>
  <c r="V242" i="4" s="1"/>
  <c r="W242" i="4" a="1"/>
  <c r="W242" i="4" s="1"/>
  <c r="X242" i="4" a="1"/>
  <c r="X242" i="4" s="1"/>
  <c r="Y242" i="4" a="1"/>
  <c r="Y242" i="4" s="1"/>
  <c r="R243" i="4" a="1"/>
  <c r="R243" i="4" s="1"/>
  <c r="S243" i="4" a="1"/>
  <c r="S243" i="4" s="1"/>
  <c r="T243" i="4" a="1"/>
  <c r="T243" i="4" s="1"/>
  <c r="U243" i="4" a="1"/>
  <c r="U243" i="4" s="1"/>
  <c r="V243" i="4" a="1"/>
  <c r="V243" i="4" s="1"/>
  <c r="W243" i="4" a="1"/>
  <c r="W243" i="4" s="1"/>
  <c r="X243" i="4" a="1"/>
  <c r="X243" i="4" s="1"/>
  <c r="Y243" i="4" a="1"/>
  <c r="Y243" i="4" s="1"/>
  <c r="R244" i="4" a="1"/>
  <c r="R244" i="4" s="1"/>
  <c r="S244" i="4" a="1"/>
  <c r="S244" i="4" s="1"/>
  <c r="T244" i="4" a="1"/>
  <c r="T244" i="4" s="1"/>
  <c r="U244" i="4" a="1"/>
  <c r="U244" i="4" s="1"/>
  <c r="V244" i="4" a="1"/>
  <c r="V244" i="4" s="1"/>
  <c r="W244" i="4" a="1"/>
  <c r="W244" i="4" s="1"/>
  <c r="X244" i="4" a="1"/>
  <c r="X244" i="4" s="1"/>
  <c r="Y244" i="4" a="1"/>
  <c r="Y244" i="4" s="1"/>
  <c r="R245" i="4" a="1"/>
  <c r="R245" i="4" s="1"/>
  <c r="S245" i="4" a="1"/>
  <c r="S245" i="4" s="1"/>
  <c r="T245" i="4" a="1"/>
  <c r="T245" i="4" s="1"/>
  <c r="U245" i="4" a="1"/>
  <c r="U245" i="4" s="1"/>
  <c r="V245" i="4" a="1"/>
  <c r="V245" i="4" s="1"/>
  <c r="W245" i="4" a="1"/>
  <c r="W245" i="4" s="1"/>
  <c r="X245" i="4" a="1"/>
  <c r="X245" i="4" s="1"/>
  <c r="Y245" i="4" a="1"/>
  <c r="Y245" i="4" s="1"/>
  <c r="R246" i="4" a="1"/>
  <c r="R246" i="4" s="1"/>
  <c r="S246" i="4" a="1"/>
  <c r="S246" i="4" s="1"/>
  <c r="T246" i="4" a="1"/>
  <c r="T246" i="4" s="1"/>
  <c r="U246" i="4" a="1"/>
  <c r="U246" i="4" s="1"/>
  <c r="V246" i="4" a="1"/>
  <c r="V246" i="4" s="1"/>
  <c r="W246" i="4" a="1"/>
  <c r="W246" i="4" s="1"/>
  <c r="X246" i="4" a="1"/>
  <c r="X246" i="4" s="1"/>
  <c r="Y246" i="4" a="1"/>
  <c r="Y246" i="4" s="1"/>
  <c r="R247" i="4" a="1"/>
  <c r="R247" i="4" s="1"/>
  <c r="S247" i="4" a="1"/>
  <c r="S247" i="4" s="1"/>
  <c r="T247" i="4" a="1"/>
  <c r="T247" i="4" s="1"/>
  <c r="U247" i="4" a="1"/>
  <c r="U247" i="4" s="1"/>
  <c r="V247" i="4" a="1"/>
  <c r="V247" i="4" s="1"/>
  <c r="W247" i="4" a="1"/>
  <c r="W247" i="4" s="1"/>
  <c r="X247" i="4" a="1"/>
  <c r="X247" i="4" s="1"/>
  <c r="Y247" i="4" a="1"/>
  <c r="Y247" i="4" s="1"/>
  <c r="Q239" i="4" a="1"/>
  <c r="Q239" i="4" s="1"/>
  <c r="Q240" i="4" a="1"/>
  <c r="Q240" i="4" s="1"/>
  <c r="Q241" i="4" a="1"/>
  <c r="Q241" i="4" s="1"/>
  <c r="Q242" i="4" a="1"/>
  <c r="Q242" i="4" s="1"/>
  <c r="Q243" i="4" a="1"/>
  <c r="Q243" i="4" s="1"/>
  <c r="Q244" i="4" a="1"/>
  <c r="Q244" i="4" s="1"/>
  <c r="Q245" i="4" a="1"/>
  <c r="Q245" i="4" s="1"/>
  <c r="Q246" i="4" a="1"/>
  <c r="Q246" i="4" s="1"/>
  <c r="Q247" i="4" a="1"/>
  <c r="Q247" i="4" s="1"/>
  <c r="Q238" i="4" a="1"/>
  <c r="Q238" i="4" s="1"/>
  <c r="Z208" i="4" a="1"/>
  <c r="Z208" i="4" s="1"/>
  <c r="Z209" i="4" a="1"/>
  <c r="Z209" i="4" s="1"/>
  <c r="Z210" i="4" a="1"/>
  <c r="Z210" i="4" s="1"/>
  <c r="Z211" i="4" a="1"/>
  <c r="Z211" i="4" s="1"/>
  <c r="Z212" i="4" a="1"/>
  <c r="Z212" i="4" s="1"/>
  <c r="Z213" i="4" a="1"/>
  <c r="Z213" i="4" s="1"/>
  <c r="Z214" i="4" a="1"/>
  <c r="Z214" i="4" s="1"/>
  <c r="Z215" i="4" a="1"/>
  <c r="Z215" i="4" s="1"/>
  <c r="Z216" i="4" a="1"/>
  <c r="Z216" i="4" s="1"/>
  <c r="Z217" i="4" a="1"/>
  <c r="Z217" i="4" s="1"/>
  <c r="AV217" i="4" s="1" a="1"/>
  <c r="AV217" i="4" s="1"/>
  <c r="Z218" i="4" a="1"/>
  <c r="Z218" i="4" s="1"/>
  <c r="Z219" i="4" a="1"/>
  <c r="Z219" i="4" s="1"/>
  <c r="Z220" i="4" a="1"/>
  <c r="Z220" i="4" s="1"/>
  <c r="Z221" i="4" a="1"/>
  <c r="Z221" i="4" s="1"/>
  <c r="Z222" i="4" a="1"/>
  <c r="Z222" i="4" s="1"/>
  <c r="Z223" i="4" a="1"/>
  <c r="Z223" i="4" s="1"/>
  <c r="Z224" i="4" a="1"/>
  <c r="Z224" i="4" s="1"/>
  <c r="Z225" i="4" a="1"/>
  <c r="Z225" i="4" s="1"/>
  <c r="Z226" i="4" a="1"/>
  <c r="Z226" i="4" s="1"/>
  <c r="Z227" i="4" a="1"/>
  <c r="Z227" i="4" s="1"/>
  <c r="Z228" i="4" a="1"/>
  <c r="Z228" i="4" s="1"/>
  <c r="Z229" i="4" a="1"/>
  <c r="Z229" i="4" s="1"/>
  <c r="Z230" i="4" a="1"/>
  <c r="Z230" i="4" s="1"/>
  <c r="Z231" i="4" a="1"/>
  <c r="Z231" i="4" s="1"/>
  <c r="Z232" i="4" a="1"/>
  <c r="Z232" i="4" s="1"/>
  <c r="Z233" i="4" a="1"/>
  <c r="Z233" i="4" s="1"/>
  <c r="Z234" i="4" a="1"/>
  <c r="Z234" i="4" s="1"/>
  <c r="Z235" i="4" a="1"/>
  <c r="Z235" i="4" s="1"/>
  <c r="Z236" i="4" a="1"/>
  <c r="Z236" i="4" s="1"/>
  <c r="Z237" i="4" a="1"/>
  <c r="Z237" i="4" s="1"/>
  <c r="R208" i="4" a="1"/>
  <c r="R208" i="4" s="1"/>
  <c r="S208" i="4" a="1"/>
  <c r="S208" i="4" s="1"/>
  <c r="T208" i="4" a="1"/>
  <c r="T208" i="4" s="1"/>
  <c r="U208" i="4" a="1"/>
  <c r="U208" i="4" s="1"/>
  <c r="V208" i="4" a="1"/>
  <c r="V208" i="4" s="1"/>
  <c r="W208" i="4" a="1"/>
  <c r="W208" i="4" s="1"/>
  <c r="X208" i="4" a="1"/>
  <c r="X208" i="4" s="1"/>
  <c r="Y208" i="4" a="1"/>
  <c r="Y208" i="4" s="1"/>
  <c r="R209" i="4" a="1"/>
  <c r="R209" i="4" s="1"/>
  <c r="S209" i="4" a="1"/>
  <c r="S209" i="4" s="1"/>
  <c r="T209" i="4" a="1"/>
  <c r="T209" i="4" s="1"/>
  <c r="U209" i="4" a="1"/>
  <c r="U209" i="4" s="1"/>
  <c r="V209" i="4" a="1"/>
  <c r="V209" i="4" s="1"/>
  <c r="W209" i="4" a="1"/>
  <c r="W209" i="4" s="1"/>
  <c r="X209" i="4" a="1"/>
  <c r="X209" i="4" s="1"/>
  <c r="Y209" i="4" a="1"/>
  <c r="Y209" i="4" s="1"/>
  <c r="R210" i="4" a="1"/>
  <c r="R210" i="4" s="1"/>
  <c r="S210" i="4" a="1"/>
  <c r="S210" i="4" s="1"/>
  <c r="T210" i="4" a="1"/>
  <c r="T210" i="4" s="1"/>
  <c r="U210" i="4" a="1"/>
  <c r="U210" i="4" s="1"/>
  <c r="V210" i="4" a="1"/>
  <c r="V210" i="4" s="1"/>
  <c r="W210" i="4" a="1"/>
  <c r="W210" i="4" s="1"/>
  <c r="X210" i="4" a="1"/>
  <c r="X210" i="4" s="1"/>
  <c r="Y210" i="4" a="1"/>
  <c r="Y210" i="4" s="1"/>
  <c r="R211" i="4" a="1"/>
  <c r="R211" i="4" s="1"/>
  <c r="S211" i="4" a="1"/>
  <c r="S211" i="4" s="1"/>
  <c r="T211" i="4" a="1"/>
  <c r="T211" i="4" s="1"/>
  <c r="U211" i="4" a="1"/>
  <c r="U211" i="4" s="1"/>
  <c r="V211" i="4" a="1"/>
  <c r="V211" i="4" s="1"/>
  <c r="W211" i="4" a="1"/>
  <c r="W211" i="4" s="1"/>
  <c r="X211" i="4" a="1"/>
  <c r="X211" i="4" s="1"/>
  <c r="Y211" i="4" a="1"/>
  <c r="Y211" i="4" s="1"/>
  <c r="R212" i="4" a="1"/>
  <c r="R212" i="4" s="1"/>
  <c r="S212" i="4" a="1"/>
  <c r="S212" i="4" s="1"/>
  <c r="T212" i="4" a="1"/>
  <c r="T212" i="4" s="1"/>
  <c r="U212" i="4" a="1"/>
  <c r="U212" i="4" s="1"/>
  <c r="V212" i="4" a="1"/>
  <c r="V212" i="4" s="1"/>
  <c r="W212" i="4" a="1"/>
  <c r="W212" i="4" s="1"/>
  <c r="X212" i="4" a="1"/>
  <c r="X212" i="4" s="1"/>
  <c r="Y212" i="4" a="1"/>
  <c r="Y212" i="4" s="1"/>
  <c r="R213" i="4" a="1"/>
  <c r="R213" i="4" s="1"/>
  <c r="S213" i="4" a="1"/>
  <c r="S213" i="4" s="1"/>
  <c r="T213" i="4" a="1"/>
  <c r="T213" i="4" s="1"/>
  <c r="U213" i="4" a="1"/>
  <c r="U213" i="4" s="1"/>
  <c r="V213" i="4" a="1"/>
  <c r="V213" i="4" s="1"/>
  <c r="W213" i="4" a="1"/>
  <c r="W213" i="4" s="1"/>
  <c r="X213" i="4" a="1"/>
  <c r="X213" i="4" s="1"/>
  <c r="Y213" i="4" a="1"/>
  <c r="Y213" i="4" s="1"/>
  <c r="R214" i="4" a="1"/>
  <c r="R214" i="4" s="1"/>
  <c r="S214" i="4" a="1"/>
  <c r="S214" i="4" s="1"/>
  <c r="T214" i="4" a="1"/>
  <c r="T214" i="4" s="1"/>
  <c r="U214" i="4" a="1"/>
  <c r="U214" i="4" s="1"/>
  <c r="V214" i="4" a="1"/>
  <c r="V214" i="4" s="1"/>
  <c r="W214" i="4" a="1"/>
  <c r="W214" i="4" s="1"/>
  <c r="X214" i="4" a="1"/>
  <c r="X214" i="4" s="1"/>
  <c r="Y214" i="4" a="1"/>
  <c r="Y214" i="4" s="1"/>
  <c r="R215" i="4" a="1"/>
  <c r="R215" i="4" s="1"/>
  <c r="S215" i="4" a="1"/>
  <c r="S215" i="4" s="1"/>
  <c r="T215" i="4" a="1"/>
  <c r="T215" i="4" s="1"/>
  <c r="U215" i="4" a="1"/>
  <c r="U215" i="4" s="1"/>
  <c r="V215" i="4" a="1"/>
  <c r="V215" i="4" s="1"/>
  <c r="W215" i="4" a="1"/>
  <c r="W215" i="4" s="1"/>
  <c r="X215" i="4" a="1"/>
  <c r="X215" i="4" s="1"/>
  <c r="Y215" i="4" a="1"/>
  <c r="Y215" i="4" s="1"/>
  <c r="R216" i="4" a="1"/>
  <c r="R216" i="4" s="1"/>
  <c r="S216" i="4" a="1"/>
  <c r="S216" i="4" s="1"/>
  <c r="T216" i="4" a="1"/>
  <c r="T216" i="4" s="1"/>
  <c r="U216" i="4" a="1"/>
  <c r="U216" i="4" s="1"/>
  <c r="V216" i="4" a="1"/>
  <c r="V216" i="4" s="1"/>
  <c r="W216" i="4" a="1"/>
  <c r="W216" i="4" s="1"/>
  <c r="X216" i="4" a="1"/>
  <c r="X216" i="4" s="1"/>
  <c r="Y216" i="4" a="1"/>
  <c r="Y216" i="4" s="1"/>
  <c r="R217" i="4" a="1"/>
  <c r="R217" i="4" s="1"/>
  <c r="S217" i="4" a="1"/>
  <c r="S217" i="4" s="1"/>
  <c r="T217" i="4" a="1"/>
  <c r="T217" i="4" s="1"/>
  <c r="U217" i="4" a="1"/>
  <c r="U217" i="4" s="1"/>
  <c r="V217" i="4" a="1"/>
  <c r="V217" i="4" s="1"/>
  <c r="W217" i="4" a="1"/>
  <c r="W217" i="4" s="1"/>
  <c r="X217" i="4" a="1"/>
  <c r="X217" i="4" s="1"/>
  <c r="Y217" i="4" a="1"/>
  <c r="Y217" i="4" s="1"/>
  <c r="R218" i="4" a="1"/>
  <c r="R218" i="4" s="1"/>
  <c r="S218" i="4" a="1"/>
  <c r="S218" i="4" s="1"/>
  <c r="T218" i="4" a="1"/>
  <c r="T218" i="4" s="1"/>
  <c r="U218" i="4" a="1"/>
  <c r="U218" i="4" s="1"/>
  <c r="V218" i="4" a="1"/>
  <c r="V218" i="4" s="1"/>
  <c r="W218" i="4" a="1"/>
  <c r="W218" i="4" s="1"/>
  <c r="X218" i="4" a="1"/>
  <c r="X218" i="4" s="1"/>
  <c r="Y218" i="4" a="1"/>
  <c r="Y218" i="4" s="1"/>
  <c r="R219" i="4" a="1"/>
  <c r="R219" i="4" s="1"/>
  <c r="S219" i="4" a="1"/>
  <c r="S219" i="4" s="1"/>
  <c r="T219" i="4" a="1"/>
  <c r="T219" i="4" s="1"/>
  <c r="U219" i="4" a="1"/>
  <c r="U219" i="4" s="1"/>
  <c r="V219" i="4" a="1"/>
  <c r="V219" i="4" s="1"/>
  <c r="W219" i="4" a="1"/>
  <c r="W219" i="4" s="1"/>
  <c r="X219" i="4" a="1"/>
  <c r="X219" i="4" s="1"/>
  <c r="Y219" i="4" a="1"/>
  <c r="Y219" i="4" s="1"/>
  <c r="R220" i="4" a="1"/>
  <c r="R220" i="4" s="1"/>
  <c r="S220" i="4" a="1"/>
  <c r="S220" i="4" s="1"/>
  <c r="T220" i="4" a="1"/>
  <c r="T220" i="4" s="1"/>
  <c r="U220" i="4" a="1"/>
  <c r="U220" i="4" s="1"/>
  <c r="V220" i="4" a="1"/>
  <c r="V220" i="4" s="1"/>
  <c r="W220" i="4" a="1"/>
  <c r="W220" i="4" s="1"/>
  <c r="X220" i="4" a="1"/>
  <c r="X220" i="4" s="1"/>
  <c r="Y220" i="4" a="1"/>
  <c r="Y220" i="4" s="1"/>
  <c r="R221" i="4" a="1"/>
  <c r="R221" i="4" s="1"/>
  <c r="S221" i="4" a="1"/>
  <c r="S221" i="4" s="1"/>
  <c r="T221" i="4" a="1"/>
  <c r="T221" i="4" s="1"/>
  <c r="U221" i="4" a="1"/>
  <c r="U221" i="4" s="1"/>
  <c r="V221" i="4" a="1"/>
  <c r="V221" i="4" s="1"/>
  <c r="W221" i="4" a="1"/>
  <c r="W221" i="4" s="1"/>
  <c r="X221" i="4" a="1"/>
  <c r="X221" i="4" s="1"/>
  <c r="Y221" i="4" a="1"/>
  <c r="Y221" i="4" s="1"/>
  <c r="R222" i="4" a="1"/>
  <c r="R222" i="4" s="1"/>
  <c r="S222" i="4" a="1"/>
  <c r="S222" i="4" s="1"/>
  <c r="T222" i="4" a="1"/>
  <c r="T222" i="4" s="1"/>
  <c r="U222" i="4" a="1"/>
  <c r="U222" i="4" s="1"/>
  <c r="V222" i="4" a="1"/>
  <c r="V222" i="4" s="1"/>
  <c r="W222" i="4" a="1"/>
  <c r="W222" i="4" s="1"/>
  <c r="X222" i="4" a="1"/>
  <c r="X222" i="4" s="1"/>
  <c r="Y222" i="4" a="1"/>
  <c r="Y222" i="4" s="1"/>
  <c r="R223" i="4" a="1"/>
  <c r="R223" i="4" s="1"/>
  <c r="S223" i="4" a="1"/>
  <c r="S223" i="4" s="1"/>
  <c r="T223" i="4" a="1"/>
  <c r="T223" i="4" s="1"/>
  <c r="U223" i="4" a="1"/>
  <c r="U223" i="4" s="1"/>
  <c r="V223" i="4" a="1"/>
  <c r="V223" i="4" s="1"/>
  <c r="W223" i="4" a="1"/>
  <c r="W223" i="4" s="1"/>
  <c r="X223" i="4" a="1"/>
  <c r="X223" i="4" s="1"/>
  <c r="Y223" i="4" a="1"/>
  <c r="Y223" i="4" s="1"/>
  <c r="R224" i="4" a="1"/>
  <c r="R224" i="4" s="1"/>
  <c r="S224" i="4" a="1"/>
  <c r="S224" i="4" s="1"/>
  <c r="T224" i="4" a="1"/>
  <c r="T224" i="4" s="1"/>
  <c r="U224" i="4" a="1"/>
  <c r="U224" i="4" s="1"/>
  <c r="V224" i="4" a="1"/>
  <c r="V224" i="4" s="1"/>
  <c r="W224" i="4" a="1"/>
  <c r="W224" i="4" s="1"/>
  <c r="X224" i="4" a="1"/>
  <c r="X224" i="4" s="1"/>
  <c r="Y224" i="4" a="1"/>
  <c r="Y224" i="4" s="1"/>
  <c r="R225" i="4" a="1"/>
  <c r="R225" i="4" s="1"/>
  <c r="S225" i="4" a="1"/>
  <c r="S225" i="4" s="1"/>
  <c r="T225" i="4" a="1"/>
  <c r="T225" i="4" s="1"/>
  <c r="U225" i="4" a="1"/>
  <c r="U225" i="4" s="1"/>
  <c r="V225" i="4" a="1"/>
  <c r="V225" i="4" s="1"/>
  <c r="W225" i="4" a="1"/>
  <c r="W225" i="4" s="1"/>
  <c r="X225" i="4" a="1"/>
  <c r="X225" i="4" s="1"/>
  <c r="Y225" i="4" a="1"/>
  <c r="Y225" i="4" s="1"/>
  <c r="R226" i="4" a="1"/>
  <c r="R226" i="4" s="1"/>
  <c r="S226" i="4" a="1"/>
  <c r="S226" i="4" s="1"/>
  <c r="T226" i="4" a="1"/>
  <c r="T226" i="4" s="1"/>
  <c r="U226" i="4" a="1"/>
  <c r="U226" i="4" s="1"/>
  <c r="V226" i="4" a="1"/>
  <c r="V226" i="4" s="1"/>
  <c r="W226" i="4" a="1"/>
  <c r="W226" i="4" s="1"/>
  <c r="X226" i="4" a="1"/>
  <c r="X226" i="4" s="1"/>
  <c r="Y226" i="4" a="1"/>
  <c r="Y226" i="4" s="1"/>
  <c r="R227" i="4" a="1"/>
  <c r="R227" i="4" s="1"/>
  <c r="S227" i="4" a="1"/>
  <c r="S227" i="4" s="1"/>
  <c r="T227" i="4" a="1"/>
  <c r="T227" i="4" s="1"/>
  <c r="U227" i="4" a="1"/>
  <c r="U227" i="4" s="1"/>
  <c r="V227" i="4" a="1"/>
  <c r="V227" i="4" s="1"/>
  <c r="W227" i="4" a="1"/>
  <c r="W227" i="4" s="1"/>
  <c r="X227" i="4" a="1"/>
  <c r="X227" i="4" s="1"/>
  <c r="Y227" i="4" a="1"/>
  <c r="Y227" i="4" s="1"/>
  <c r="R228" i="4" a="1"/>
  <c r="R228" i="4" s="1"/>
  <c r="S228" i="4" a="1"/>
  <c r="S228" i="4" s="1"/>
  <c r="T228" i="4" a="1"/>
  <c r="T228" i="4" s="1"/>
  <c r="U228" i="4" a="1"/>
  <c r="U228" i="4" s="1"/>
  <c r="V228" i="4" a="1"/>
  <c r="V228" i="4" s="1"/>
  <c r="W228" i="4" a="1"/>
  <c r="W228" i="4" s="1"/>
  <c r="X228" i="4" a="1"/>
  <c r="X228" i="4" s="1"/>
  <c r="Y228" i="4" a="1"/>
  <c r="Y228" i="4" s="1"/>
  <c r="R229" i="4" a="1"/>
  <c r="R229" i="4" s="1"/>
  <c r="S229" i="4" a="1"/>
  <c r="S229" i="4" s="1"/>
  <c r="T229" i="4" a="1"/>
  <c r="T229" i="4" s="1"/>
  <c r="U229" i="4" a="1"/>
  <c r="U229" i="4" s="1"/>
  <c r="V229" i="4" a="1"/>
  <c r="V229" i="4" s="1"/>
  <c r="W229" i="4" a="1"/>
  <c r="W229" i="4" s="1"/>
  <c r="X229" i="4" a="1"/>
  <c r="X229" i="4" s="1"/>
  <c r="Y229" i="4" a="1"/>
  <c r="Y229" i="4" s="1"/>
  <c r="R230" i="4" a="1"/>
  <c r="R230" i="4" s="1"/>
  <c r="S230" i="4" a="1"/>
  <c r="S230" i="4" s="1"/>
  <c r="T230" i="4" a="1"/>
  <c r="T230" i="4" s="1"/>
  <c r="U230" i="4" a="1"/>
  <c r="U230" i="4" s="1"/>
  <c r="V230" i="4" a="1"/>
  <c r="V230" i="4" s="1"/>
  <c r="W230" i="4" a="1"/>
  <c r="W230" i="4" s="1"/>
  <c r="X230" i="4" a="1"/>
  <c r="X230" i="4" s="1"/>
  <c r="Y230" i="4" a="1"/>
  <c r="Y230" i="4" s="1"/>
  <c r="R231" i="4" a="1"/>
  <c r="R231" i="4" s="1"/>
  <c r="S231" i="4" a="1"/>
  <c r="S231" i="4" s="1"/>
  <c r="T231" i="4" a="1"/>
  <c r="T231" i="4" s="1"/>
  <c r="U231" i="4" a="1"/>
  <c r="U231" i="4" s="1"/>
  <c r="V231" i="4" a="1"/>
  <c r="V231" i="4" s="1"/>
  <c r="W231" i="4" a="1"/>
  <c r="W231" i="4" s="1"/>
  <c r="X231" i="4" a="1"/>
  <c r="X231" i="4" s="1"/>
  <c r="Y231" i="4" a="1"/>
  <c r="Y231" i="4" s="1"/>
  <c r="R232" i="4" a="1"/>
  <c r="R232" i="4" s="1"/>
  <c r="S232" i="4" a="1"/>
  <c r="S232" i="4" s="1"/>
  <c r="T232" i="4" a="1"/>
  <c r="T232" i="4" s="1"/>
  <c r="U232" i="4" a="1"/>
  <c r="U232" i="4" s="1"/>
  <c r="V232" i="4" a="1"/>
  <c r="V232" i="4" s="1"/>
  <c r="W232" i="4" a="1"/>
  <c r="W232" i="4" s="1"/>
  <c r="X232" i="4" a="1"/>
  <c r="X232" i="4" s="1"/>
  <c r="Y232" i="4" a="1"/>
  <c r="Y232" i="4" s="1"/>
  <c r="R233" i="4" a="1"/>
  <c r="R233" i="4" s="1"/>
  <c r="S233" i="4" a="1"/>
  <c r="S233" i="4" s="1"/>
  <c r="T233" i="4" a="1"/>
  <c r="T233" i="4" s="1"/>
  <c r="U233" i="4" a="1"/>
  <c r="U233" i="4" s="1"/>
  <c r="V233" i="4" a="1"/>
  <c r="V233" i="4" s="1"/>
  <c r="W233" i="4" a="1"/>
  <c r="W233" i="4" s="1"/>
  <c r="X233" i="4" a="1"/>
  <c r="X233" i="4" s="1"/>
  <c r="Y233" i="4" a="1"/>
  <c r="Y233" i="4" s="1"/>
  <c r="R234" i="4" a="1"/>
  <c r="R234" i="4" s="1"/>
  <c r="S234" i="4" a="1"/>
  <c r="S234" i="4" s="1"/>
  <c r="T234" i="4" a="1"/>
  <c r="T234" i="4" s="1"/>
  <c r="U234" i="4" a="1"/>
  <c r="U234" i="4" s="1"/>
  <c r="V234" i="4" a="1"/>
  <c r="V234" i="4" s="1"/>
  <c r="W234" i="4" a="1"/>
  <c r="W234" i="4" s="1"/>
  <c r="X234" i="4" a="1"/>
  <c r="X234" i="4" s="1"/>
  <c r="Y234" i="4" a="1"/>
  <c r="Y234" i="4" s="1"/>
  <c r="R235" i="4" a="1"/>
  <c r="R235" i="4" s="1"/>
  <c r="S235" i="4" a="1"/>
  <c r="S235" i="4" s="1"/>
  <c r="T235" i="4" a="1"/>
  <c r="T235" i="4" s="1"/>
  <c r="U235" i="4" a="1"/>
  <c r="U235" i="4" s="1"/>
  <c r="V235" i="4" a="1"/>
  <c r="V235" i="4" s="1"/>
  <c r="W235" i="4" a="1"/>
  <c r="W235" i="4" s="1"/>
  <c r="X235" i="4" a="1"/>
  <c r="X235" i="4" s="1"/>
  <c r="Y235" i="4" a="1"/>
  <c r="Y235" i="4" s="1"/>
  <c r="R236" i="4" a="1"/>
  <c r="R236" i="4" s="1"/>
  <c r="S236" i="4" a="1"/>
  <c r="S236" i="4" s="1"/>
  <c r="T236" i="4" a="1"/>
  <c r="T236" i="4" s="1"/>
  <c r="U236" i="4" a="1"/>
  <c r="U236" i="4" s="1"/>
  <c r="V236" i="4" a="1"/>
  <c r="V236" i="4" s="1"/>
  <c r="W236" i="4" a="1"/>
  <c r="W236" i="4" s="1"/>
  <c r="X236" i="4" a="1"/>
  <c r="X236" i="4" s="1"/>
  <c r="Y236" i="4" a="1"/>
  <c r="Y236" i="4" s="1"/>
  <c r="R237" i="4" a="1"/>
  <c r="R237" i="4" s="1"/>
  <c r="S237" i="4" a="1"/>
  <c r="S237" i="4" s="1"/>
  <c r="T237" i="4" a="1"/>
  <c r="T237" i="4" s="1"/>
  <c r="U237" i="4" a="1"/>
  <c r="U237" i="4" s="1"/>
  <c r="V237" i="4" a="1"/>
  <c r="V237" i="4" s="1"/>
  <c r="W237" i="4" a="1"/>
  <c r="W237" i="4" s="1"/>
  <c r="X237" i="4" a="1"/>
  <c r="X237" i="4" s="1"/>
  <c r="Y237" i="4" a="1"/>
  <c r="Y237" i="4" s="1"/>
  <c r="Q237" i="4" a="1"/>
  <c r="Q237" i="4" s="1"/>
  <c r="Q216" i="4" a="1"/>
  <c r="Q216" i="4" s="1"/>
  <c r="Q217" i="4" a="1"/>
  <c r="Q217" i="4" s="1"/>
  <c r="AM217" i="4" s="1" a="1"/>
  <c r="AM217" i="4" s="1"/>
  <c r="Q218" i="4" a="1"/>
  <c r="Q218" i="4" s="1"/>
  <c r="Q219" i="4" a="1"/>
  <c r="Q219" i="4" s="1"/>
  <c r="Q220" i="4" a="1"/>
  <c r="Q220" i="4" s="1"/>
  <c r="Q221" i="4" a="1"/>
  <c r="Q221" i="4" s="1"/>
  <c r="Q222" i="4" a="1"/>
  <c r="Q222" i="4" s="1"/>
  <c r="Q223" i="4" a="1"/>
  <c r="Q223" i="4" s="1"/>
  <c r="Q224" i="4" a="1"/>
  <c r="Q224" i="4" s="1"/>
  <c r="Q225" i="4" a="1"/>
  <c r="Q225" i="4" s="1"/>
  <c r="Q226" i="4" a="1"/>
  <c r="Q226" i="4" s="1"/>
  <c r="Q227" i="4" a="1"/>
  <c r="Q227" i="4" s="1"/>
  <c r="Q228" i="4" a="1"/>
  <c r="Q228" i="4" s="1"/>
  <c r="Q229" i="4" a="1"/>
  <c r="Q229" i="4" s="1"/>
  <c r="Q230" i="4" a="1"/>
  <c r="Q230" i="4" s="1"/>
  <c r="Q231" i="4" a="1"/>
  <c r="Q231" i="4" s="1"/>
  <c r="Q232" i="4" a="1"/>
  <c r="Q232" i="4" s="1"/>
  <c r="Q233" i="4" a="1"/>
  <c r="Q233" i="4" s="1"/>
  <c r="Q234" i="4" a="1"/>
  <c r="Q234" i="4" s="1"/>
  <c r="Q235" i="4" a="1"/>
  <c r="Q235" i="4" s="1"/>
  <c r="Q236" i="4" a="1"/>
  <c r="Q236" i="4" s="1"/>
  <c r="Q209" i="4" a="1"/>
  <c r="Q209" i="4" s="1"/>
  <c r="Q210" i="4" a="1"/>
  <c r="Q210" i="4" s="1"/>
  <c r="Q211" i="4" a="1"/>
  <c r="Q211" i="4" s="1"/>
  <c r="Q212" i="4" a="1"/>
  <c r="Q212" i="4" s="1"/>
  <c r="Q213" i="4" a="1"/>
  <c r="Q213" i="4" s="1"/>
  <c r="Q214" i="4" a="1"/>
  <c r="Q214" i="4" s="1"/>
  <c r="Q215" i="4" a="1"/>
  <c r="Q215" i="4" s="1"/>
  <c r="Q180" i="4" a="1"/>
  <c r="Q180" i="4" s="1"/>
  <c r="R180" i="4" a="1"/>
  <c r="R180" i="4" s="1"/>
  <c r="S180" i="4" a="1"/>
  <c r="S180" i="4" s="1"/>
  <c r="T180" i="4" a="1"/>
  <c r="T180" i="4" s="1"/>
  <c r="U180" i="4" a="1"/>
  <c r="U180" i="4" s="1"/>
  <c r="V180" i="4" a="1"/>
  <c r="V180" i="4" s="1"/>
  <c r="W180" i="4" a="1"/>
  <c r="W180" i="4" s="1"/>
  <c r="X180" i="4" a="1"/>
  <c r="X180" i="4" s="1"/>
  <c r="Y180" i="4" a="1"/>
  <c r="Y180" i="4" s="1"/>
  <c r="Z180" i="4" a="1"/>
  <c r="Z180" i="4" s="1"/>
  <c r="Q181" i="4" a="1"/>
  <c r="Q181" i="4" s="1"/>
  <c r="R181" i="4" a="1"/>
  <c r="R181" i="4" s="1"/>
  <c r="S181" i="4" a="1"/>
  <c r="S181" i="4" s="1"/>
  <c r="T181" i="4" a="1"/>
  <c r="T181" i="4" s="1"/>
  <c r="U181" i="4" a="1"/>
  <c r="U181" i="4" s="1"/>
  <c r="V181" i="4" a="1"/>
  <c r="V181" i="4" s="1"/>
  <c r="W181" i="4" a="1"/>
  <c r="W181" i="4" s="1"/>
  <c r="X181" i="4" a="1"/>
  <c r="X181" i="4" s="1"/>
  <c r="Y181" i="4" a="1"/>
  <c r="Y181" i="4" s="1"/>
  <c r="Z181" i="4" a="1"/>
  <c r="Z181" i="4" s="1"/>
  <c r="Q182" i="4" a="1"/>
  <c r="Q182" i="4" s="1"/>
  <c r="R182" i="4" a="1"/>
  <c r="R182" i="4" s="1"/>
  <c r="S182" i="4" a="1"/>
  <c r="S182" i="4" s="1"/>
  <c r="T182" i="4" a="1"/>
  <c r="T182" i="4" s="1"/>
  <c r="U182" i="4" a="1"/>
  <c r="U182" i="4" s="1"/>
  <c r="V182" i="4" a="1"/>
  <c r="V182" i="4" s="1"/>
  <c r="W182" i="4" a="1"/>
  <c r="W182" i="4" s="1"/>
  <c r="X182" i="4" a="1"/>
  <c r="X182" i="4" s="1"/>
  <c r="Y182" i="4" a="1"/>
  <c r="Y182" i="4" s="1"/>
  <c r="Z182" i="4" a="1"/>
  <c r="Z182" i="4" s="1"/>
  <c r="Q183" i="4" a="1"/>
  <c r="Q183" i="4" s="1"/>
  <c r="R183" i="4" a="1"/>
  <c r="R183" i="4" s="1"/>
  <c r="S183" i="4" a="1"/>
  <c r="S183" i="4" s="1"/>
  <c r="T183" i="4" a="1"/>
  <c r="T183" i="4" s="1"/>
  <c r="U183" i="4" a="1"/>
  <c r="U183" i="4" s="1"/>
  <c r="V183" i="4" a="1"/>
  <c r="V183" i="4" s="1"/>
  <c r="W183" i="4" a="1"/>
  <c r="W183" i="4" s="1"/>
  <c r="X183" i="4" a="1"/>
  <c r="X183" i="4" s="1"/>
  <c r="Y183" i="4" a="1"/>
  <c r="Y183" i="4" s="1"/>
  <c r="Z183" i="4" a="1"/>
  <c r="Z183" i="4" s="1"/>
  <c r="Q184" i="4" a="1"/>
  <c r="Q184" i="4" s="1"/>
  <c r="R184" i="4" a="1"/>
  <c r="R184" i="4" s="1"/>
  <c r="S184" i="4" a="1"/>
  <c r="S184" i="4" s="1"/>
  <c r="T184" i="4" a="1"/>
  <c r="T184" i="4" s="1"/>
  <c r="U184" i="4" a="1"/>
  <c r="U184" i="4" s="1"/>
  <c r="V184" i="4" a="1"/>
  <c r="V184" i="4" s="1"/>
  <c r="W184" i="4" a="1"/>
  <c r="W184" i="4" s="1"/>
  <c r="X184" i="4" a="1"/>
  <c r="X184" i="4" s="1"/>
  <c r="Y184" i="4" a="1"/>
  <c r="Y184" i="4" s="1"/>
  <c r="Z184" i="4" a="1"/>
  <c r="Z184" i="4" s="1"/>
  <c r="Q185" i="4" a="1"/>
  <c r="Q185" i="4" s="1"/>
  <c r="R185" i="4" a="1"/>
  <c r="R185" i="4" s="1"/>
  <c r="S185" i="4" a="1"/>
  <c r="S185" i="4" s="1"/>
  <c r="T185" i="4" a="1"/>
  <c r="T185" i="4" s="1"/>
  <c r="U185" i="4" a="1"/>
  <c r="U185" i="4" s="1"/>
  <c r="V185" i="4" a="1"/>
  <c r="V185" i="4" s="1"/>
  <c r="W185" i="4" a="1"/>
  <c r="W185" i="4" s="1"/>
  <c r="X185" i="4" a="1"/>
  <c r="X185" i="4" s="1"/>
  <c r="Y185" i="4" a="1"/>
  <c r="Y185" i="4" s="1"/>
  <c r="Z185" i="4" a="1"/>
  <c r="Z185" i="4" s="1"/>
  <c r="Q186" i="4" a="1"/>
  <c r="Q186" i="4" s="1"/>
  <c r="R186" i="4" a="1"/>
  <c r="R186" i="4" s="1"/>
  <c r="S186" i="4" a="1"/>
  <c r="S186" i="4" s="1"/>
  <c r="T186" i="4" a="1"/>
  <c r="T186" i="4" s="1"/>
  <c r="U186" i="4" a="1"/>
  <c r="U186" i="4" s="1"/>
  <c r="V186" i="4" a="1"/>
  <c r="V186" i="4" s="1"/>
  <c r="W186" i="4" a="1"/>
  <c r="W186" i="4" s="1"/>
  <c r="X186" i="4" a="1"/>
  <c r="X186" i="4" s="1"/>
  <c r="Y186" i="4" a="1"/>
  <c r="Y186" i="4" s="1"/>
  <c r="Z186" i="4" a="1"/>
  <c r="Z186" i="4" s="1"/>
  <c r="Q187" i="4" a="1"/>
  <c r="Q187" i="4" s="1"/>
  <c r="R187" i="4" a="1"/>
  <c r="R187" i="4" s="1"/>
  <c r="S187" i="4" a="1"/>
  <c r="S187" i="4" s="1"/>
  <c r="T187" i="4" a="1"/>
  <c r="T187" i="4" s="1"/>
  <c r="U187" i="4" a="1"/>
  <c r="U187" i="4" s="1"/>
  <c r="V187" i="4" a="1"/>
  <c r="V187" i="4" s="1"/>
  <c r="W187" i="4" a="1"/>
  <c r="W187" i="4" s="1"/>
  <c r="X187" i="4" a="1"/>
  <c r="X187" i="4" s="1"/>
  <c r="Y187" i="4" a="1"/>
  <c r="Y187" i="4" s="1"/>
  <c r="Z187" i="4" a="1"/>
  <c r="Z187" i="4" s="1"/>
  <c r="Q188" i="4" a="1"/>
  <c r="Q188" i="4" s="1"/>
  <c r="R188" i="4" a="1"/>
  <c r="R188" i="4" s="1"/>
  <c r="S188" i="4" a="1"/>
  <c r="S188" i="4" s="1"/>
  <c r="T188" i="4" a="1"/>
  <c r="T188" i="4" s="1"/>
  <c r="U188" i="4" a="1"/>
  <c r="U188" i="4" s="1"/>
  <c r="V188" i="4" a="1"/>
  <c r="V188" i="4" s="1"/>
  <c r="W188" i="4" a="1"/>
  <c r="W188" i="4" s="1"/>
  <c r="X188" i="4" a="1"/>
  <c r="X188" i="4" s="1"/>
  <c r="Y188" i="4" a="1"/>
  <c r="Y188" i="4" s="1"/>
  <c r="Z188" i="4" a="1"/>
  <c r="Z188" i="4" s="1"/>
  <c r="Q189" i="4" a="1"/>
  <c r="Q189" i="4" s="1"/>
  <c r="R189" i="4" a="1"/>
  <c r="R189" i="4" s="1"/>
  <c r="S189" i="4" a="1"/>
  <c r="S189" i="4" s="1"/>
  <c r="T189" i="4" a="1"/>
  <c r="T189" i="4" s="1"/>
  <c r="U189" i="4" a="1"/>
  <c r="U189" i="4" s="1"/>
  <c r="V189" i="4" a="1"/>
  <c r="V189" i="4" s="1"/>
  <c r="W189" i="4" a="1"/>
  <c r="W189" i="4" s="1"/>
  <c r="X189" i="4" a="1"/>
  <c r="X189" i="4" s="1"/>
  <c r="Y189" i="4" a="1"/>
  <c r="Y189" i="4" s="1"/>
  <c r="Z189" i="4" a="1"/>
  <c r="Z189" i="4" s="1"/>
  <c r="Q190" i="4" a="1"/>
  <c r="Q190" i="4" s="1"/>
  <c r="R190" i="4" a="1"/>
  <c r="R190" i="4" s="1"/>
  <c r="S190" i="4" a="1"/>
  <c r="S190" i="4" s="1"/>
  <c r="T190" i="4" a="1"/>
  <c r="T190" i="4" s="1"/>
  <c r="U190" i="4" a="1"/>
  <c r="U190" i="4" s="1"/>
  <c r="V190" i="4" a="1"/>
  <c r="V190" i="4" s="1"/>
  <c r="W190" i="4" a="1"/>
  <c r="W190" i="4" s="1"/>
  <c r="X190" i="4" a="1"/>
  <c r="X190" i="4" s="1"/>
  <c r="Y190" i="4" a="1"/>
  <c r="Y190" i="4" s="1"/>
  <c r="Z190" i="4" a="1"/>
  <c r="Z190" i="4" s="1"/>
  <c r="Q191" i="4" a="1"/>
  <c r="Q191" i="4" s="1"/>
  <c r="R191" i="4" a="1"/>
  <c r="R191" i="4" s="1"/>
  <c r="S191" i="4" a="1"/>
  <c r="S191" i="4" s="1"/>
  <c r="T191" i="4" a="1"/>
  <c r="T191" i="4" s="1"/>
  <c r="U191" i="4" a="1"/>
  <c r="U191" i="4" s="1"/>
  <c r="V191" i="4" a="1"/>
  <c r="V191" i="4" s="1"/>
  <c r="W191" i="4" a="1"/>
  <c r="W191" i="4" s="1"/>
  <c r="X191" i="4" a="1"/>
  <c r="X191" i="4" s="1"/>
  <c r="Y191" i="4" a="1"/>
  <c r="Y191" i="4" s="1"/>
  <c r="Z191" i="4" a="1"/>
  <c r="Z191" i="4" s="1"/>
  <c r="Q192" i="4" a="1"/>
  <c r="Q192" i="4" s="1"/>
  <c r="R192" i="4" a="1"/>
  <c r="R192" i="4" s="1"/>
  <c r="S192" i="4" a="1"/>
  <c r="S192" i="4" s="1"/>
  <c r="T192" i="4" a="1"/>
  <c r="T192" i="4" s="1"/>
  <c r="U192" i="4" a="1"/>
  <c r="U192" i="4" s="1"/>
  <c r="V192" i="4" a="1"/>
  <c r="V192" i="4" s="1"/>
  <c r="W192" i="4" a="1"/>
  <c r="W192" i="4" s="1"/>
  <c r="X192" i="4" a="1"/>
  <c r="X192" i="4" s="1"/>
  <c r="Y192" i="4" a="1"/>
  <c r="Y192" i="4" s="1"/>
  <c r="Z192" i="4" a="1"/>
  <c r="Z192" i="4" s="1"/>
  <c r="Q193" i="4" a="1"/>
  <c r="Q193" i="4" s="1"/>
  <c r="R193" i="4" a="1"/>
  <c r="R193" i="4" s="1"/>
  <c r="S193" i="4" a="1"/>
  <c r="S193" i="4" s="1"/>
  <c r="T193" i="4" a="1"/>
  <c r="T193" i="4" s="1"/>
  <c r="U193" i="4" a="1"/>
  <c r="U193" i="4" s="1"/>
  <c r="V193" i="4" a="1"/>
  <c r="V193" i="4" s="1"/>
  <c r="W193" i="4" a="1"/>
  <c r="W193" i="4" s="1"/>
  <c r="X193" i="4" a="1"/>
  <c r="X193" i="4" s="1"/>
  <c r="Y193" i="4" a="1"/>
  <c r="Y193" i="4" s="1"/>
  <c r="Z193" i="4" a="1"/>
  <c r="Z193" i="4" s="1"/>
  <c r="Q194" i="4" a="1"/>
  <c r="Q194" i="4" s="1"/>
  <c r="R194" i="4" a="1"/>
  <c r="R194" i="4" s="1"/>
  <c r="S194" i="4" a="1"/>
  <c r="S194" i="4" s="1"/>
  <c r="T194" i="4" a="1"/>
  <c r="T194" i="4" s="1"/>
  <c r="U194" i="4" a="1"/>
  <c r="U194" i="4" s="1"/>
  <c r="V194" i="4" a="1"/>
  <c r="V194" i="4" s="1"/>
  <c r="W194" i="4" a="1"/>
  <c r="W194" i="4" s="1"/>
  <c r="X194" i="4" a="1"/>
  <c r="X194" i="4" s="1"/>
  <c r="Y194" i="4" a="1"/>
  <c r="Y194" i="4" s="1"/>
  <c r="Z194" i="4" a="1"/>
  <c r="Z194" i="4" s="1"/>
  <c r="Q195" i="4" a="1"/>
  <c r="Q195" i="4" s="1"/>
  <c r="R195" i="4" a="1"/>
  <c r="R195" i="4" s="1"/>
  <c r="S195" i="4" a="1"/>
  <c r="S195" i="4" s="1"/>
  <c r="T195" i="4" a="1"/>
  <c r="T195" i="4" s="1"/>
  <c r="U195" i="4" a="1"/>
  <c r="U195" i="4" s="1"/>
  <c r="V195" i="4" a="1"/>
  <c r="V195" i="4" s="1"/>
  <c r="W195" i="4" a="1"/>
  <c r="W195" i="4" s="1"/>
  <c r="X195" i="4" a="1"/>
  <c r="X195" i="4" s="1"/>
  <c r="Y195" i="4" a="1"/>
  <c r="Y195" i="4" s="1"/>
  <c r="Z195" i="4" a="1"/>
  <c r="Z195" i="4" s="1"/>
  <c r="Q196" i="4" a="1"/>
  <c r="Q196" i="4" s="1"/>
  <c r="R196" i="4" a="1"/>
  <c r="R196" i="4" s="1"/>
  <c r="S196" i="4" a="1"/>
  <c r="S196" i="4" s="1"/>
  <c r="T196" i="4" a="1"/>
  <c r="T196" i="4" s="1"/>
  <c r="U196" i="4" a="1"/>
  <c r="U196" i="4" s="1"/>
  <c r="V196" i="4" a="1"/>
  <c r="V196" i="4" s="1"/>
  <c r="W196" i="4" a="1"/>
  <c r="W196" i="4" s="1"/>
  <c r="X196" i="4" a="1"/>
  <c r="X196" i="4" s="1"/>
  <c r="Y196" i="4" a="1"/>
  <c r="Y196" i="4" s="1"/>
  <c r="Z196" i="4" a="1"/>
  <c r="Z196" i="4" s="1"/>
  <c r="Q197" i="4" a="1"/>
  <c r="Q197" i="4" s="1"/>
  <c r="R197" i="4" a="1"/>
  <c r="R197" i="4" s="1"/>
  <c r="S197" i="4" a="1"/>
  <c r="S197" i="4" s="1"/>
  <c r="T197" i="4" a="1"/>
  <c r="T197" i="4" s="1"/>
  <c r="U197" i="4" a="1"/>
  <c r="U197" i="4" s="1"/>
  <c r="V197" i="4" a="1"/>
  <c r="V197" i="4" s="1"/>
  <c r="W197" i="4" a="1"/>
  <c r="W197" i="4" s="1"/>
  <c r="X197" i="4" a="1"/>
  <c r="X197" i="4" s="1"/>
  <c r="Y197" i="4" a="1"/>
  <c r="Y197" i="4" s="1"/>
  <c r="Z197" i="4" a="1"/>
  <c r="Z197" i="4" s="1"/>
  <c r="Q198" i="4" a="1"/>
  <c r="Q198" i="4" s="1"/>
  <c r="R198" i="4" a="1"/>
  <c r="R198" i="4" s="1"/>
  <c r="S198" i="4" a="1"/>
  <c r="S198" i="4" s="1"/>
  <c r="T198" i="4" a="1"/>
  <c r="T198" i="4" s="1"/>
  <c r="U198" i="4" a="1"/>
  <c r="U198" i="4" s="1"/>
  <c r="V198" i="4" a="1"/>
  <c r="V198" i="4" s="1"/>
  <c r="W198" i="4" a="1"/>
  <c r="W198" i="4" s="1"/>
  <c r="X198" i="4" a="1"/>
  <c r="X198" i="4" s="1"/>
  <c r="Y198" i="4" a="1"/>
  <c r="Y198" i="4" s="1"/>
  <c r="Z198" i="4" a="1"/>
  <c r="Z198" i="4" s="1"/>
  <c r="Q199" i="4" a="1"/>
  <c r="Q199" i="4" s="1"/>
  <c r="R199" i="4" a="1"/>
  <c r="R199" i="4" s="1"/>
  <c r="S199" i="4" a="1"/>
  <c r="S199" i="4" s="1"/>
  <c r="T199" i="4" a="1"/>
  <c r="T199" i="4" s="1"/>
  <c r="U199" i="4" a="1"/>
  <c r="U199" i="4" s="1"/>
  <c r="V199" i="4" a="1"/>
  <c r="V199" i="4" s="1"/>
  <c r="W199" i="4" a="1"/>
  <c r="W199" i="4" s="1"/>
  <c r="X199" i="4" a="1"/>
  <c r="X199" i="4" s="1"/>
  <c r="Y199" i="4" a="1"/>
  <c r="Y199" i="4" s="1"/>
  <c r="Z199" i="4" a="1"/>
  <c r="Z199" i="4" s="1"/>
  <c r="Q200" i="4" a="1"/>
  <c r="Q200" i="4" s="1"/>
  <c r="R200" i="4" a="1"/>
  <c r="R200" i="4" s="1"/>
  <c r="S200" i="4" a="1"/>
  <c r="S200" i="4" s="1"/>
  <c r="T200" i="4" a="1"/>
  <c r="T200" i="4" s="1"/>
  <c r="U200" i="4" a="1"/>
  <c r="U200" i="4" s="1"/>
  <c r="V200" i="4" a="1"/>
  <c r="V200" i="4" s="1"/>
  <c r="W200" i="4" a="1"/>
  <c r="W200" i="4" s="1"/>
  <c r="X200" i="4" a="1"/>
  <c r="X200" i="4" s="1"/>
  <c r="Y200" i="4" a="1"/>
  <c r="Y200" i="4" s="1"/>
  <c r="Z200" i="4" a="1"/>
  <c r="Z200" i="4" s="1"/>
  <c r="Q201" i="4" a="1"/>
  <c r="Q201" i="4" s="1"/>
  <c r="R201" i="4" a="1"/>
  <c r="R201" i="4" s="1"/>
  <c r="S201" i="4" a="1"/>
  <c r="S201" i="4" s="1"/>
  <c r="T201" i="4" a="1"/>
  <c r="T201" i="4" s="1"/>
  <c r="U201" i="4" a="1"/>
  <c r="U201" i="4" s="1"/>
  <c r="V201" i="4" a="1"/>
  <c r="V201" i="4" s="1"/>
  <c r="W201" i="4" a="1"/>
  <c r="W201" i="4" s="1"/>
  <c r="X201" i="4" a="1"/>
  <c r="X201" i="4" s="1"/>
  <c r="Y201" i="4" a="1"/>
  <c r="Y201" i="4" s="1"/>
  <c r="Z201" i="4" a="1"/>
  <c r="Z201" i="4" s="1"/>
  <c r="Q202" i="4" a="1"/>
  <c r="Q202" i="4" s="1"/>
  <c r="R202" i="4" a="1"/>
  <c r="R202" i="4" s="1"/>
  <c r="S202" i="4" a="1"/>
  <c r="S202" i="4" s="1"/>
  <c r="T202" i="4" a="1"/>
  <c r="T202" i="4" s="1"/>
  <c r="U202" i="4" a="1"/>
  <c r="U202" i="4" s="1"/>
  <c r="V202" i="4" a="1"/>
  <c r="V202" i="4" s="1"/>
  <c r="W202" i="4" a="1"/>
  <c r="W202" i="4" s="1"/>
  <c r="X202" i="4" a="1"/>
  <c r="X202" i="4" s="1"/>
  <c r="Y202" i="4" a="1"/>
  <c r="Y202" i="4" s="1"/>
  <c r="Z202" i="4" a="1"/>
  <c r="Z202" i="4" s="1"/>
  <c r="Q203" i="4" a="1"/>
  <c r="Q203" i="4" s="1"/>
  <c r="R203" i="4" a="1"/>
  <c r="R203" i="4" s="1"/>
  <c r="S203" i="4" a="1"/>
  <c r="S203" i="4" s="1"/>
  <c r="T203" i="4" a="1"/>
  <c r="T203" i="4" s="1"/>
  <c r="U203" i="4" a="1"/>
  <c r="U203" i="4" s="1"/>
  <c r="V203" i="4" a="1"/>
  <c r="V203" i="4" s="1"/>
  <c r="W203" i="4" a="1"/>
  <c r="W203" i="4" s="1"/>
  <c r="X203" i="4" a="1"/>
  <c r="X203" i="4" s="1"/>
  <c r="Y203" i="4" a="1"/>
  <c r="Y203" i="4" s="1"/>
  <c r="Z203" i="4" a="1"/>
  <c r="Z203" i="4" s="1"/>
  <c r="Q204" i="4" a="1"/>
  <c r="Q204" i="4" s="1"/>
  <c r="R204" i="4" a="1"/>
  <c r="R204" i="4" s="1"/>
  <c r="S204" i="4" a="1"/>
  <c r="S204" i="4" s="1"/>
  <c r="T204" i="4" a="1"/>
  <c r="T204" i="4" s="1"/>
  <c r="U204" i="4" a="1"/>
  <c r="U204" i="4" s="1"/>
  <c r="V204" i="4" a="1"/>
  <c r="V204" i="4" s="1"/>
  <c r="W204" i="4" a="1"/>
  <c r="W204" i="4" s="1"/>
  <c r="X204" i="4" a="1"/>
  <c r="X204" i="4" s="1"/>
  <c r="Y204" i="4" a="1"/>
  <c r="Y204" i="4" s="1"/>
  <c r="Z204" i="4" a="1"/>
  <c r="Z204" i="4" s="1"/>
  <c r="Q205" i="4" a="1"/>
  <c r="Q205" i="4" s="1"/>
  <c r="R205" i="4" a="1"/>
  <c r="R205" i="4" s="1"/>
  <c r="S205" i="4" a="1"/>
  <c r="S205" i="4" s="1"/>
  <c r="T205" i="4" a="1"/>
  <c r="T205" i="4" s="1"/>
  <c r="U205" i="4" a="1"/>
  <c r="U205" i="4" s="1"/>
  <c r="V205" i="4" a="1"/>
  <c r="V205" i="4" s="1"/>
  <c r="W205" i="4" a="1"/>
  <c r="W205" i="4" s="1"/>
  <c r="X205" i="4" a="1"/>
  <c r="X205" i="4" s="1"/>
  <c r="Y205" i="4" a="1"/>
  <c r="Y205" i="4" s="1"/>
  <c r="Z205" i="4" a="1"/>
  <c r="Z205" i="4" s="1"/>
  <c r="Q206" i="4" a="1"/>
  <c r="Q206" i="4" s="1"/>
  <c r="R206" i="4" a="1"/>
  <c r="R206" i="4" s="1"/>
  <c r="S206" i="4" a="1"/>
  <c r="S206" i="4" s="1"/>
  <c r="T206" i="4" a="1"/>
  <c r="T206" i="4" s="1"/>
  <c r="U206" i="4" a="1"/>
  <c r="U206" i="4" s="1"/>
  <c r="V206" i="4" a="1"/>
  <c r="V206" i="4" s="1"/>
  <c r="W206" i="4" a="1"/>
  <c r="W206" i="4" s="1"/>
  <c r="X206" i="4" a="1"/>
  <c r="X206" i="4" s="1"/>
  <c r="Y206" i="4" a="1"/>
  <c r="Y206" i="4" s="1"/>
  <c r="Z206" i="4" a="1"/>
  <c r="Z206" i="4" s="1"/>
  <c r="Q207" i="4" a="1"/>
  <c r="Q207" i="4" s="1"/>
  <c r="R207" i="4" a="1"/>
  <c r="R207" i="4" s="1"/>
  <c r="S207" i="4" a="1"/>
  <c r="S207" i="4" s="1"/>
  <c r="T207" i="4" a="1"/>
  <c r="T207" i="4" s="1"/>
  <c r="U207" i="4" a="1"/>
  <c r="U207" i="4" s="1"/>
  <c r="V207" i="4" a="1"/>
  <c r="V207" i="4" s="1"/>
  <c r="W207" i="4" a="1"/>
  <c r="W207" i="4" s="1"/>
  <c r="X207" i="4" a="1"/>
  <c r="X207" i="4" s="1"/>
  <c r="Y207" i="4" a="1"/>
  <c r="Y207" i="4" s="1"/>
  <c r="Z207" i="4" a="1"/>
  <c r="Z207" i="4" s="1"/>
  <c r="Q208" i="4" a="1"/>
  <c r="Q208" i="4" s="1"/>
  <c r="R179" i="4" a="1"/>
  <c r="R179" i="4" s="1"/>
  <c r="S179" i="4" a="1"/>
  <c r="S179" i="4" s="1"/>
  <c r="T179" i="4" a="1"/>
  <c r="T179" i="4" s="1"/>
  <c r="U179" i="4" a="1"/>
  <c r="U179" i="4" s="1"/>
  <c r="V179" i="4" a="1"/>
  <c r="V179" i="4" s="1"/>
  <c r="W179" i="4" a="1"/>
  <c r="W179" i="4" s="1"/>
  <c r="X179" i="4" a="1"/>
  <c r="X179" i="4" s="1"/>
  <c r="Y179" i="4" a="1"/>
  <c r="Y179" i="4" s="1"/>
  <c r="Z179" i="4" a="1"/>
  <c r="Z179" i="4" s="1"/>
  <c r="Q179" i="4" a="1"/>
  <c r="Q179" i="4" s="1"/>
  <c r="Q161" i="4" a="1"/>
  <c r="Q161" i="4" s="1"/>
  <c r="Q162" i="4" a="1"/>
  <c r="Q162" i="4" s="1"/>
  <c r="Q163" i="4" a="1"/>
  <c r="Q163" i="4" s="1"/>
  <c r="Q164" i="4" a="1"/>
  <c r="Q164" i="4" s="1"/>
  <c r="Q165" i="4" a="1"/>
  <c r="Q165" i="4" s="1"/>
  <c r="Q166" i="4" a="1"/>
  <c r="Q166" i="4" s="1"/>
  <c r="Q167" i="4" a="1"/>
  <c r="Q167" i="4" s="1"/>
  <c r="Q168" i="4" a="1"/>
  <c r="Q168" i="4" s="1"/>
  <c r="Q169" i="4" a="1"/>
  <c r="Q169" i="4" s="1"/>
  <c r="Q170" i="4" a="1"/>
  <c r="Q170" i="4" s="1"/>
  <c r="Q171" i="4" a="1"/>
  <c r="Q171" i="4" s="1"/>
  <c r="Q172" i="4" a="1"/>
  <c r="Q172" i="4" s="1"/>
  <c r="Q173" i="4" a="1"/>
  <c r="Q173" i="4" s="1"/>
  <c r="Q174" i="4" a="1"/>
  <c r="Q174" i="4" s="1"/>
  <c r="Q175" i="4" a="1"/>
  <c r="Q175" i="4" s="1"/>
  <c r="Q176" i="4" a="1"/>
  <c r="Q176" i="4" s="1"/>
  <c r="Q177" i="4" a="1"/>
  <c r="Q177" i="4" s="1"/>
  <c r="Q178" i="4" a="1"/>
  <c r="Q178" i="4" s="1"/>
  <c r="S168" i="4" a="1"/>
  <c r="S168" i="4" s="1"/>
  <c r="AU158" i="4"/>
  <c r="AM126" i="4"/>
  <c r="AD2" i="4"/>
  <c r="AP323" i="4" s="1" a="1"/>
  <c r="AP323" i="4" s="1"/>
  <c r="AD3" i="4"/>
  <c r="AD4" i="4"/>
  <c r="AD5" i="4"/>
  <c r="AD6" i="4"/>
  <c r="AD7" i="4"/>
  <c r="AD8" i="4"/>
  <c r="AE8" i="4" s="1" a="1"/>
  <c r="AE8" i="4" s="1"/>
  <c r="AD9" i="4"/>
  <c r="AD10" i="4"/>
  <c r="AD11" i="4"/>
  <c r="AD12" i="4"/>
  <c r="AE12" i="4" s="1" a="1"/>
  <c r="AE12" i="4" s="1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6" i="4"/>
  <c r="AD57" i="4"/>
  <c r="AD58" i="4"/>
  <c r="AD59" i="4"/>
  <c r="AD60" i="4"/>
  <c r="AD61" i="4"/>
  <c r="AD62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U3" i="4"/>
  <c r="AP316" i="4"/>
  <c r="AP315" i="4"/>
  <c r="AP314" i="4"/>
  <c r="AP313" i="4"/>
  <c r="AP312" i="4"/>
  <c r="AM316" i="4"/>
  <c r="AM315" i="4"/>
  <c r="AM314" i="4"/>
  <c r="AM313" i="4"/>
  <c r="AM312" i="4"/>
  <c r="AM311" i="4"/>
  <c r="AU251" i="4"/>
  <c r="AP255" i="4"/>
  <c r="AM255" i="4"/>
  <c r="AM253" i="4"/>
  <c r="AU255" i="4"/>
  <c r="AU253" i="4"/>
  <c r="AP253" i="4"/>
  <c r="AM249" i="4"/>
  <c r="AM251" i="4"/>
  <c r="AP251" i="4"/>
  <c r="AU249" i="4"/>
  <c r="AP249" i="4"/>
  <c r="Y162" i="4" a="1"/>
  <c r="Y162" i="4" s="1"/>
  <c r="Z162" i="4" a="1"/>
  <c r="Z162" i="4" s="1"/>
  <c r="Y163" i="4" a="1"/>
  <c r="Y163" i="4" s="1"/>
  <c r="Z163" i="4" a="1"/>
  <c r="Z163" i="4" s="1"/>
  <c r="Y164" i="4" a="1"/>
  <c r="Y164" i="4" s="1"/>
  <c r="Z164" i="4" a="1"/>
  <c r="Z164" i="4" s="1"/>
  <c r="Y165" i="4" a="1"/>
  <c r="Y165" i="4" s="1"/>
  <c r="Z165" i="4" a="1"/>
  <c r="Z165" i="4" s="1"/>
  <c r="Y166" i="4" a="1"/>
  <c r="Y166" i="4" s="1"/>
  <c r="Z166" i="4" a="1"/>
  <c r="Z166" i="4" s="1"/>
  <c r="Y167" i="4" a="1"/>
  <c r="Y167" i="4" s="1"/>
  <c r="Z167" i="4" a="1"/>
  <c r="Z167" i="4" s="1"/>
  <c r="Y168" i="4" a="1"/>
  <c r="Y168" i="4" s="1"/>
  <c r="Z168" i="4" a="1"/>
  <c r="Z168" i="4" s="1"/>
  <c r="Y169" i="4" a="1"/>
  <c r="Y169" i="4" s="1"/>
  <c r="Z169" i="4" a="1"/>
  <c r="Z169" i="4" s="1"/>
  <c r="Y170" i="4" a="1"/>
  <c r="Y170" i="4" s="1"/>
  <c r="Z170" i="4" a="1"/>
  <c r="Z170" i="4" s="1"/>
  <c r="Y171" i="4" a="1"/>
  <c r="Y171" i="4" s="1"/>
  <c r="Z171" i="4" a="1"/>
  <c r="Z171" i="4" s="1"/>
  <c r="Y172" i="4" a="1"/>
  <c r="Y172" i="4" s="1"/>
  <c r="Z172" i="4" a="1"/>
  <c r="Z172" i="4" s="1"/>
  <c r="Y173" i="4" a="1"/>
  <c r="Y173" i="4" s="1"/>
  <c r="Z173" i="4" a="1"/>
  <c r="Z173" i="4" s="1"/>
  <c r="Y174" i="4" a="1"/>
  <c r="Y174" i="4" s="1"/>
  <c r="Z174" i="4" a="1"/>
  <c r="Z174" i="4" s="1"/>
  <c r="Y175" i="4" a="1"/>
  <c r="Y175" i="4" s="1"/>
  <c r="Z175" i="4" a="1"/>
  <c r="Z175" i="4" s="1"/>
  <c r="Y176" i="4" a="1"/>
  <c r="Y176" i="4" s="1"/>
  <c r="Z176" i="4" a="1"/>
  <c r="Z176" i="4" s="1"/>
  <c r="Y177" i="4" a="1"/>
  <c r="Y177" i="4" s="1"/>
  <c r="Z177" i="4" a="1"/>
  <c r="Z177" i="4" s="1"/>
  <c r="Y178" i="4" a="1"/>
  <c r="Y178" i="4" s="1"/>
  <c r="Z178" i="4" a="1"/>
  <c r="Z178" i="4" s="1"/>
  <c r="Z161" i="4" a="1"/>
  <c r="Z161" i="4" s="1"/>
  <c r="Y161" i="4" a="1"/>
  <c r="Y161" i="4" s="1"/>
  <c r="S161" i="4" a="1"/>
  <c r="S161" i="4" s="1"/>
  <c r="T161" i="4" a="1"/>
  <c r="T161" i="4" s="1"/>
  <c r="U161" i="4" a="1"/>
  <c r="U161" i="4" s="1"/>
  <c r="V161" i="4" a="1"/>
  <c r="V161" i="4" s="1"/>
  <c r="W161" i="4" a="1"/>
  <c r="W161" i="4" s="1"/>
  <c r="X161" i="4" a="1"/>
  <c r="X161" i="4" s="1"/>
  <c r="S162" i="4" a="1"/>
  <c r="S162" i="4" s="1"/>
  <c r="T162" i="4" a="1"/>
  <c r="T162" i="4" s="1"/>
  <c r="U162" i="4" a="1"/>
  <c r="U162" i="4" s="1"/>
  <c r="V162" i="4" a="1"/>
  <c r="V162" i="4" s="1"/>
  <c r="W162" i="4" a="1"/>
  <c r="W162" i="4" s="1"/>
  <c r="X162" i="4" a="1"/>
  <c r="X162" i="4" s="1"/>
  <c r="S163" i="4" a="1"/>
  <c r="S163" i="4" s="1"/>
  <c r="T163" i="4" a="1"/>
  <c r="T163" i="4" s="1"/>
  <c r="U163" i="4" a="1"/>
  <c r="U163" i="4" s="1"/>
  <c r="V163" i="4" a="1"/>
  <c r="V163" i="4" s="1"/>
  <c r="W163" i="4" a="1"/>
  <c r="W163" i="4" s="1"/>
  <c r="X163" i="4" a="1"/>
  <c r="X163" i="4" s="1"/>
  <c r="S164" i="4" a="1"/>
  <c r="S164" i="4" s="1"/>
  <c r="T164" i="4" a="1"/>
  <c r="T164" i="4" s="1"/>
  <c r="U164" i="4" a="1"/>
  <c r="U164" i="4" s="1"/>
  <c r="V164" i="4" a="1"/>
  <c r="V164" i="4" s="1"/>
  <c r="W164" i="4" a="1"/>
  <c r="W164" i="4" s="1"/>
  <c r="X164" i="4" a="1"/>
  <c r="X164" i="4" s="1"/>
  <c r="S165" i="4" a="1"/>
  <c r="S165" i="4" s="1"/>
  <c r="T165" i="4" a="1"/>
  <c r="T165" i="4" s="1"/>
  <c r="U165" i="4" a="1"/>
  <c r="U165" i="4" s="1"/>
  <c r="V165" i="4" a="1"/>
  <c r="V165" i="4" s="1"/>
  <c r="W165" i="4" a="1"/>
  <c r="W165" i="4" s="1"/>
  <c r="X165" i="4" a="1"/>
  <c r="X165" i="4" s="1"/>
  <c r="S166" i="4" a="1"/>
  <c r="S166" i="4" s="1"/>
  <c r="T166" i="4" a="1"/>
  <c r="T166" i="4" s="1"/>
  <c r="U166" i="4" a="1"/>
  <c r="U166" i="4" s="1"/>
  <c r="V166" i="4" a="1"/>
  <c r="V166" i="4" s="1"/>
  <c r="W166" i="4" a="1"/>
  <c r="W166" i="4" s="1"/>
  <c r="X166" i="4" a="1"/>
  <c r="X166" i="4" s="1"/>
  <c r="S167" i="4" a="1"/>
  <c r="S167" i="4" s="1"/>
  <c r="T167" i="4" a="1"/>
  <c r="T167" i="4" s="1"/>
  <c r="U167" i="4" a="1"/>
  <c r="U167" i="4" s="1"/>
  <c r="V167" i="4" a="1"/>
  <c r="V167" i="4" s="1"/>
  <c r="W167" i="4" a="1"/>
  <c r="W167" i="4" s="1"/>
  <c r="X167" i="4" a="1"/>
  <c r="X167" i="4" s="1"/>
  <c r="T168" i="4" a="1"/>
  <c r="T168" i="4" s="1"/>
  <c r="U168" i="4" a="1"/>
  <c r="U168" i="4" s="1"/>
  <c r="V168" i="4" a="1"/>
  <c r="V168" i="4" s="1"/>
  <c r="W168" i="4" a="1"/>
  <c r="W168" i="4" s="1"/>
  <c r="X168" i="4" a="1"/>
  <c r="X168" i="4" s="1"/>
  <c r="S169" i="4" a="1"/>
  <c r="S169" i="4" s="1"/>
  <c r="T169" i="4" a="1"/>
  <c r="T169" i="4" s="1"/>
  <c r="U169" i="4" a="1"/>
  <c r="U169" i="4" s="1"/>
  <c r="V169" i="4" a="1"/>
  <c r="V169" i="4" s="1"/>
  <c r="W169" i="4" a="1"/>
  <c r="W169" i="4" s="1"/>
  <c r="X169" i="4" a="1"/>
  <c r="X169" i="4" s="1"/>
  <c r="S170" i="4" a="1"/>
  <c r="S170" i="4" s="1"/>
  <c r="T170" i="4" a="1"/>
  <c r="T170" i="4" s="1"/>
  <c r="U170" i="4" a="1"/>
  <c r="U170" i="4" s="1"/>
  <c r="V170" i="4" a="1"/>
  <c r="V170" i="4" s="1"/>
  <c r="W170" i="4" a="1"/>
  <c r="W170" i="4" s="1"/>
  <c r="X170" i="4" a="1"/>
  <c r="X170" i="4" s="1"/>
  <c r="S171" i="4" a="1"/>
  <c r="S171" i="4" s="1"/>
  <c r="T171" i="4" a="1"/>
  <c r="T171" i="4" s="1"/>
  <c r="U171" i="4" a="1"/>
  <c r="U171" i="4" s="1"/>
  <c r="V171" i="4" a="1"/>
  <c r="V171" i="4" s="1"/>
  <c r="W171" i="4" a="1"/>
  <c r="W171" i="4" s="1"/>
  <c r="X171" i="4" a="1"/>
  <c r="X171" i="4" s="1"/>
  <c r="S172" i="4" a="1"/>
  <c r="S172" i="4" s="1"/>
  <c r="T172" i="4" a="1"/>
  <c r="T172" i="4" s="1"/>
  <c r="U172" i="4" a="1"/>
  <c r="U172" i="4" s="1"/>
  <c r="V172" i="4" a="1"/>
  <c r="V172" i="4" s="1"/>
  <c r="W172" i="4" a="1"/>
  <c r="W172" i="4" s="1"/>
  <c r="X172" i="4" a="1"/>
  <c r="X172" i="4" s="1"/>
  <c r="S173" i="4" a="1"/>
  <c r="S173" i="4" s="1"/>
  <c r="T173" i="4" a="1"/>
  <c r="T173" i="4" s="1"/>
  <c r="U173" i="4" a="1"/>
  <c r="U173" i="4" s="1"/>
  <c r="V173" i="4" a="1"/>
  <c r="V173" i="4" s="1"/>
  <c r="W173" i="4" a="1"/>
  <c r="W173" i="4" s="1"/>
  <c r="X173" i="4" a="1"/>
  <c r="X173" i="4" s="1"/>
  <c r="S174" i="4" a="1"/>
  <c r="S174" i="4" s="1"/>
  <c r="T174" i="4" a="1"/>
  <c r="T174" i="4" s="1"/>
  <c r="U174" i="4" a="1"/>
  <c r="U174" i="4" s="1"/>
  <c r="V174" i="4" a="1"/>
  <c r="V174" i="4" s="1"/>
  <c r="W174" i="4" a="1"/>
  <c r="W174" i="4" s="1"/>
  <c r="X174" i="4" a="1"/>
  <c r="X174" i="4" s="1"/>
  <c r="S175" i="4" a="1"/>
  <c r="S175" i="4" s="1"/>
  <c r="T175" i="4" a="1"/>
  <c r="T175" i="4" s="1"/>
  <c r="U175" i="4" a="1"/>
  <c r="U175" i="4" s="1"/>
  <c r="V175" i="4" a="1"/>
  <c r="V175" i="4" s="1"/>
  <c r="W175" i="4" a="1"/>
  <c r="W175" i="4" s="1"/>
  <c r="X175" i="4" a="1"/>
  <c r="X175" i="4" s="1"/>
  <c r="T176" i="4" a="1"/>
  <c r="T176" i="4" s="1"/>
  <c r="U176" i="4" a="1"/>
  <c r="U176" i="4" s="1"/>
  <c r="V176" i="4" a="1"/>
  <c r="V176" i="4" s="1"/>
  <c r="W176" i="4" a="1"/>
  <c r="W176" i="4" s="1"/>
  <c r="X176" i="4" a="1"/>
  <c r="X176" i="4" s="1"/>
  <c r="S177" i="4" a="1"/>
  <c r="S177" i="4" s="1"/>
  <c r="T177" i="4" a="1"/>
  <c r="T177" i="4" s="1"/>
  <c r="U177" i="4" a="1"/>
  <c r="U177" i="4" s="1"/>
  <c r="V177" i="4" a="1"/>
  <c r="V177" i="4" s="1"/>
  <c r="W177" i="4" a="1"/>
  <c r="W177" i="4" s="1"/>
  <c r="X177" i="4" a="1"/>
  <c r="X177" i="4" s="1"/>
  <c r="S178" i="4" a="1"/>
  <c r="S178" i="4" s="1"/>
  <c r="T178" i="4" a="1"/>
  <c r="T178" i="4" s="1"/>
  <c r="U178" i="4" a="1"/>
  <c r="U178" i="4" s="1"/>
  <c r="V178" i="4" a="1"/>
  <c r="V178" i="4" s="1"/>
  <c r="W178" i="4" a="1"/>
  <c r="W178" i="4" s="1"/>
  <c r="X178" i="4" a="1"/>
  <c r="X178" i="4" s="1"/>
  <c r="R162" i="4" a="1"/>
  <c r="R162" i="4" s="1"/>
  <c r="R163" i="4" a="1"/>
  <c r="R163" i="4" s="1"/>
  <c r="R164" i="4" a="1"/>
  <c r="R164" i="4" s="1"/>
  <c r="R165" i="4" a="1"/>
  <c r="R165" i="4" s="1"/>
  <c r="R166" i="4" a="1"/>
  <c r="R166" i="4" s="1"/>
  <c r="R167" i="4" a="1"/>
  <c r="R167" i="4" s="1"/>
  <c r="R168" i="4" a="1"/>
  <c r="R168" i="4" s="1"/>
  <c r="R169" i="4" a="1"/>
  <c r="R169" i="4" s="1"/>
  <c r="R170" i="4" a="1"/>
  <c r="R170" i="4" s="1"/>
  <c r="R171" i="4" a="1"/>
  <c r="R171" i="4" s="1"/>
  <c r="R172" i="4" a="1"/>
  <c r="R172" i="4" s="1"/>
  <c r="R173" i="4" a="1"/>
  <c r="R173" i="4" s="1"/>
  <c r="R174" i="4" a="1"/>
  <c r="R174" i="4" s="1"/>
  <c r="R175" i="4" a="1"/>
  <c r="R175" i="4" s="1"/>
  <c r="R176" i="4" a="1"/>
  <c r="R176" i="4" s="1"/>
  <c r="R177" i="4" a="1"/>
  <c r="R177" i="4" s="1"/>
  <c r="R178" i="4" a="1"/>
  <c r="R178" i="4" s="1"/>
  <c r="R161" i="4" a="1"/>
  <c r="R161" i="4" s="1"/>
  <c r="AT42" i="4"/>
  <c r="AP31" i="4"/>
  <c r="AP30" i="4"/>
  <c r="AP28" i="4"/>
  <c r="AP27" i="4"/>
  <c r="AP25" i="4"/>
  <c r="AP24" i="4"/>
  <c r="AP22" i="4"/>
  <c r="AP21" i="4"/>
  <c r="AP19" i="4"/>
  <c r="AP18" i="4"/>
  <c r="AP16" i="4"/>
  <c r="AP15" i="4"/>
  <c r="AP13" i="4"/>
  <c r="AP12" i="4"/>
  <c r="AH49" i="4"/>
  <c r="AH48" i="4"/>
  <c r="AT43" i="4"/>
  <c r="AU32" i="4"/>
  <c r="AU31" i="4"/>
  <c r="AU30" i="4"/>
  <c r="AU28" i="4"/>
  <c r="AU27" i="4"/>
  <c r="AU19" i="4"/>
  <c r="AU18" i="4"/>
  <c r="AU16" i="4"/>
  <c r="AU15" i="4"/>
  <c r="AM12" i="4"/>
  <c r="AM13" i="4"/>
  <c r="AM15" i="4"/>
  <c r="AM16" i="4"/>
  <c r="AM18" i="4"/>
  <c r="AM19" i="4"/>
  <c r="AM21" i="4"/>
  <c r="AM22" i="4"/>
  <c r="AM24" i="4"/>
  <c r="AM25" i="4"/>
  <c r="AM27" i="4"/>
  <c r="AM28" i="4"/>
  <c r="AM30" i="4"/>
  <c r="AM31" i="4"/>
  <c r="AM33" i="4"/>
  <c r="AM34" i="4"/>
  <c r="AM36" i="4"/>
  <c r="AM37" i="4"/>
  <c r="AM39" i="4"/>
  <c r="AM40" i="4"/>
  <c r="AM42" i="4"/>
  <c r="AM43" i="4"/>
  <c r="AM45" i="4"/>
  <c r="AM46" i="4"/>
  <c r="AM48" i="4"/>
  <c r="AM49" i="4"/>
  <c r="AM51" i="4"/>
  <c r="AM52" i="4"/>
  <c r="AM54" i="4"/>
  <c r="AM55" i="4"/>
  <c r="AP42" i="4"/>
  <c r="AP40" i="4"/>
  <c r="AP39" i="4"/>
  <c r="AP37" i="4"/>
  <c r="AP36" i="4"/>
  <c r="AP34" i="4"/>
  <c r="AP33" i="4"/>
  <c r="AL49" i="4"/>
  <c r="AK49" i="4"/>
  <c r="AG49" i="4"/>
  <c r="AF49" i="4"/>
  <c r="AL48" i="4"/>
  <c r="AK48" i="4"/>
  <c r="AG48" i="4"/>
  <c r="AF48" i="4"/>
  <c r="AE49" i="4"/>
  <c r="AE48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29" i="4"/>
  <c r="N26" i="4"/>
  <c r="N23" i="4"/>
  <c r="N20" i="4"/>
  <c r="N17" i="4"/>
  <c r="N14" i="4"/>
  <c r="N11" i="4"/>
  <c r="AA144" i="4"/>
  <c r="Q144" i="4"/>
  <c r="P144" i="4"/>
  <c r="AA143" i="4"/>
  <c r="Q143" i="4"/>
  <c r="P143" i="4"/>
  <c r="AA142" i="4"/>
  <c r="Q142" i="4"/>
  <c r="P142" i="4"/>
  <c r="AA141" i="4"/>
  <c r="Q141" i="4"/>
  <c r="P141" i="4"/>
  <c r="AA140" i="4"/>
  <c r="Q140" i="4"/>
  <c r="P140" i="4"/>
  <c r="AA139" i="4"/>
  <c r="Q139" i="4"/>
  <c r="P139" i="4"/>
  <c r="AA138" i="4"/>
  <c r="Q138" i="4"/>
  <c r="P138" i="4"/>
  <c r="AA137" i="4"/>
  <c r="Q137" i="4"/>
  <c r="P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L124" i="4"/>
  <c r="L123" i="4"/>
  <c r="L122" i="4"/>
  <c r="L121" i="4"/>
  <c r="L119" i="4"/>
  <c r="L118" i="4"/>
  <c r="L117" i="4"/>
  <c r="L116" i="4"/>
  <c r="L114" i="4"/>
  <c r="L113" i="4"/>
  <c r="L112" i="4"/>
  <c r="L111" i="4"/>
  <c r="L109" i="4"/>
  <c r="L108" i="4"/>
  <c r="L107" i="4"/>
  <c r="L106" i="4"/>
  <c r="P104" i="4"/>
  <c r="P103" i="4"/>
  <c r="P100" i="4"/>
  <c r="P99" i="4"/>
  <c r="P97" i="4"/>
  <c r="P96" i="4"/>
  <c r="P93" i="4"/>
  <c r="P92" i="4"/>
  <c r="AA61" i="4"/>
  <c r="T61" i="4"/>
  <c r="P61" i="4"/>
  <c r="M61" i="4"/>
  <c r="I61" i="4"/>
  <c r="P60" i="4"/>
  <c r="M60" i="4"/>
  <c r="I60" i="4"/>
  <c r="AA59" i="4"/>
  <c r="T59" i="4"/>
  <c r="P59" i="4"/>
  <c r="M59" i="4"/>
  <c r="I59" i="4"/>
  <c r="P58" i="4"/>
  <c r="M58" i="4"/>
  <c r="I58" i="4"/>
  <c r="AA57" i="4"/>
  <c r="P57" i="4"/>
  <c r="M57" i="4"/>
  <c r="I57" i="4"/>
  <c r="P56" i="4"/>
  <c r="M56" i="4"/>
  <c r="I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K43" i="4"/>
  <c r="M42" i="4"/>
  <c r="M41" i="4"/>
  <c r="J41" i="4"/>
  <c r="M40" i="4"/>
  <c r="K40" i="4"/>
  <c r="M39" i="4"/>
  <c r="M38" i="4"/>
  <c r="J38" i="4"/>
  <c r="M37" i="4"/>
  <c r="K37" i="4"/>
  <c r="M36" i="4"/>
  <c r="M35" i="4"/>
  <c r="J35" i="4"/>
  <c r="M34" i="4"/>
  <c r="K34" i="4"/>
  <c r="M33" i="4"/>
  <c r="M32" i="4"/>
  <c r="J32" i="4"/>
  <c r="M29" i="4"/>
  <c r="M26" i="4"/>
  <c r="M23" i="4"/>
  <c r="M20" i="4"/>
  <c r="M17" i="4"/>
  <c r="M14" i="4"/>
  <c r="M11" i="4"/>
  <c r="AA10" i="4"/>
  <c r="Q10" i="4"/>
  <c r="P10" i="4"/>
  <c r="AA9" i="4"/>
  <c r="Q9" i="4"/>
  <c r="P9" i="4"/>
  <c r="AA8" i="4"/>
  <c r="Q8" i="4"/>
  <c r="AA6" i="4"/>
  <c r="Q6" i="4"/>
  <c r="AA5" i="4"/>
  <c r="Q5" i="4"/>
  <c r="O5" i="4"/>
  <c r="AA3" i="4"/>
  <c r="Q3" i="4"/>
  <c r="P3" i="4"/>
  <c r="AA2" i="4"/>
  <c r="Q2" i="4"/>
  <c r="P2" i="4"/>
  <c r="AG164" i="2"/>
  <c r="AG162" i="2"/>
  <c r="G164" i="2"/>
  <c r="G163" i="2"/>
  <c r="G162" i="2"/>
  <c r="G161" i="2"/>
  <c r="G160" i="2"/>
  <c r="G159" i="2"/>
  <c r="AA159" i="2" s="1"/>
  <c r="N59" i="2"/>
  <c r="I197" i="2"/>
  <c r="I196" i="2"/>
  <c r="I195" i="2"/>
  <c r="I193" i="2"/>
  <c r="I192" i="2"/>
  <c r="I191" i="2"/>
  <c r="I189" i="2"/>
  <c r="I188" i="2"/>
  <c r="I187" i="2"/>
  <c r="I185" i="2"/>
  <c r="I184" i="2"/>
  <c r="I183" i="2"/>
  <c r="I181" i="2"/>
  <c r="I180" i="2"/>
  <c r="I179" i="2"/>
  <c r="I178" i="2"/>
  <c r="I176" i="2"/>
  <c r="I175" i="2"/>
  <c r="I174" i="2"/>
  <c r="I172" i="2"/>
  <c r="I171" i="2"/>
  <c r="I170" i="2"/>
  <c r="I168" i="2"/>
  <c r="I167" i="2"/>
  <c r="I166" i="2"/>
  <c r="AD193" i="2"/>
  <c r="AD192" i="2"/>
  <c r="AD188" i="2"/>
  <c r="AD183" i="2"/>
  <c r="AD181" i="2"/>
  <c r="AD179" i="2"/>
  <c r="AD178" i="2"/>
  <c r="AD172" i="2"/>
  <c r="AD171" i="2"/>
  <c r="AD170" i="2"/>
  <c r="AD168" i="2"/>
  <c r="AD167" i="2"/>
  <c r="AB195" i="2"/>
  <c r="AD195" i="2"/>
  <c r="AE195" i="2"/>
  <c r="AF195" i="2"/>
  <c r="AB196" i="2"/>
  <c r="AD196" i="2"/>
  <c r="AE196" i="2"/>
  <c r="AF196" i="2"/>
  <c r="AB197" i="2"/>
  <c r="AD197" i="2"/>
  <c r="AE197" i="2"/>
  <c r="AF197" i="2"/>
  <c r="AA196" i="2"/>
  <c r="AA197" i="2"/>
  <c r="AA195" i="2"/>
  <c r="AA192" i="2"/>
  <c r="AB192" i="2"/>
  <c r="AE192" i="2"/>
  <c r="AF192" i="2"/>
  <c r="AA193" i="2"/>
  <c r="AB193" i="2"/>
  <c r="AE193" i="2"/>
  <c r="AF193" i="2"/>
  <c r="AB191" i="2"/>
  <c r="AD191" i="2"/>
  <c r="AE191" i="2"/>
  <c r="AF191" i="2"/>
  <c r="AA191" i="2"/>
  <c r="AA188" i="2"/>
  <c r="AB188" i="2"/>
  <c r="AE188" i="2"/>
  <c r="AF188" i="2"/>
  <c r="AA189" i="2"/>
  <c r="AB189" i="2"/>
  <c r="AD189" i="2"/>
  <c r="AE189" i="2"/>
  <c r="AF189" i="2"/>
  <c r="AB187" i="2"/>
  <c r="AD187" i="2"/>
  <c r="AE187" i="2"/>
  <c r="AF187" i="2"/>
  <c r="AA187" i="2"/>
  <c r="AA184" i="2"/>
  <c r="AB184" i="2"/>
  <c r="AD184" i="2"/>
  <c r="AE184" i="2"/>
  <c r="AF184" i="2"/>
  <c r="AA185" i="2"/>
  <c r="AB185" i="2"/>
  <c r="AD185" i="2"/>
  <c r="AE185" i="2"/>
  <c r="AF185" i="2"/>
  <c r="AB183" i="2"/>
  <c r="AE183" i="2"/>
  <c r="AF183" i="2"/>
  <c r="AA183" i="2"/>
  <c r="AA179" i="2"/>
  <c r="AB179" i="2"/>
  <c r="AE179" i="2"/>
  <c r="AF179" i="2"/>
  <c r="AA180" i="2"/>
  <c r="AB180" i="2"/>
  <c r="AD180" i="2"/>
  <c r="AE180" i="2"/>
  <c r="AF180" i="2"/>
  <c r="AA181" i="2"/>
  <c r="AB181" i="2"/>
  <c r="AE181" i="2"/>
  <c r="AF181" i="2"/>
  <c r="AB178" i="2"/>
  <c r="AE178" i="2"/>
  <c r="AF178" i="2"/>
  <c r="AA178" i="2"/>
  <c r="AB174" i="2"/>
  <c r="AD174" i="2"/>
  <c r="AE174" i="2"/>
  <c r="AF174" i="2"/>
  <c r="AB175" i="2"/>
  <c r="AD175" i="2"/>
  <c r="AE175" i="2"/>
  <c r="AF175" i="2"/>
  <c r="AB176" i="2"/>
  <c r="AD176" i="2"/>
  <c r="AE176" i="2"/>
  <c r="AF176" i="2"/>
  <c r="AA175" i="2"/>
  <c r="AA176" i="2"/>
  <c r="AB170" i="2"/>
  <c r="AE170" i="2"/>
  <c r="AF170" i="2"/>
  <c r="AB171" i="2"/>
  <c r="AE171" i="2"/>
  <c r="AF171" i="2"/>
  <c r="AB172" i="2"/>
  <c r="AE172" i="2"/>
  <c r="AF172" i="2"/>
  <c r="AB166" i="2"/>
  <c r="AD166" i="2"/>
  <c r="AE166" i="2"/>
  <c r="AF166" i="2"/>
  <c r="AB167" i="2"/>
  <c r="AE167" i="2"/>
  <c r="AF167" i="2"/>
  <c r="AB168" i="2"/>
  <c r="AE168" i="2"/>
  <c r="AF168" i="2"/>
  <c r="AA174" i="2"/>
  <c r="AA166" i="2"/>
  <c r="AJ163" i="2"/>
  <c r="AJ162" i="2"/>
  <c r="AJ161" i="2"/>
  <c r="AJ159" i="2"/>
  <c r="AG163" i="2"/>
  <c r="AB164" i="2"/>
  <c r="AC164" i="2"/>
  <c r="AD164" i="2"/>
  <c r="AB163" i="2"/>
  <c r="AC163" i="2"/>
  <c r="AD163" i="2"/>
  <c r="AB162" i="2"/>
  <c r="AC162" i="2"/>
  <c r="AD162" i="2"/>
  <c r="AB161" i="2"/>
  <c r="AC161" i="2"/>
  <c r="AD161" i="2"/>
  <c r="Q160" i="2"/>
  <c r="AJ160" i="2" s="1"/>
  <c r="Q162" i="2"/>
  <c r="Q164" i="2"/>
  <c r="AJ164" i="2" s="1"/>
  <c r="AO135" i="2"/>
  <c r="AO134" i="2"/>
  <c r="AO133" i="2"/>
  <c r="AO132" i="2"/>
  <c r="AO130" i="2"/>
  <c r="AO129" i="2"/>
  <c r="AO128" i="2"/>
  <c r="AO127" i="2"/>
  <c r="AO115" i="2"/>
  <c r="AO114" i="2"/>
  <c r="AO113" i="2"/>
  <c r="AO112" i="2"/>
  <c r="AO109" i="2"/>
  <c r="AO108" i="2"/>
  <c r="AO107" i="2"/>
  <c r="AO110" i="2"/>
  <c r="AA102" i="2"/>
  <c r="AN146" i="2"/>
  <c r="AN145" i="2"/>
  <c r="AJ146" i="2"/>
  <c r="AJ145" i="2"/>
  <c r="AJ143" i="2"/>
  <c r="AJ142" i="2"/>
  <c r="AJ140" i="2"/>
  <c r="AJ139" i="2"/>
  <c r="AJ137" i="2"/>
  <c r="AE136" i="2"/>
  <c r="AJ136" i="2"/>
  <c r="Q53" i="2"/>
  <c r="R53" i="2"/>
  <c r="S53" i="2"/>
  <c r="T53" i="2"/>
  <c r="U53" i="2"/>
  <c r="V53" i="2"/>
  <c r="W53" i="2"/>
  <c r="Q54" i="2"/>
  <c r="R54" i="2"/>
  <c r="S54" i="2"/>
  <c r="T54" i="2"/>
  <c r="U54" i="2"/>
  <c r="V54" i="2"/>
  <c r="W54" i="2"/>
  <c r="Q55" i="2"/>
  <c r="R55" i="2"/>
  <c r="S55" i="2"/>
  <c r="T55" i="2"/>
  <c r="U55" i="2"/>
  <c r="V55" i="2"/>
  <c r="W55" i="2"/>
  <c r="Q56" i="2"/>
  <c r="R56" i="2"/>
  <c r="S56" i="2"/>
  <c r="T56" i="2"/>
  <c r="U56" i="2"/>
  <c r="V56" i="2"/>
  <c r="W56" i="2"/>
  <c r="Q57" i="2"/>
  <c r="R57" i="2"/>
  <c r="S57" i="2"/>
  <c r="T57" i="2"/>
  <c r="U57" i="2"/>
  <c r="V57" i="2"/>
  <c r="W57" i="2"/>
  <c r="Q58" i="2"/>
  <c r="R58" i="2"/>
  <c r="S58" i="2"/>
  <c r="T58" i="2"/>
  <c r="U58" i="2"/>
  <c r="V58" i="2"/>
  <c r="W58" i="2"/>
  <c r="Q59" i="2"/>
  <c r="R59" i="2"/>
  <c r="S59" i="2"/>
  <c r="T59" i="2"/>
  <c r="U59" i="2"/>
  <c r="V59" i="2"/>
  <c r="W59" i="2"/>
  <c r="Q60" i="2"/>
  <c r="R60" i="2"/>
  <c r="S60" i="2"/>
  <c r="T60" i="2"/>
  <c r="U60" i="2"/>
  <c r="V60" i="2"/>
  <c r="W60" i="2"/>
  <c r="Q61" i="2"/>
  <c r="R61" i="2"/>
  <c r="S61" i="2"/>
  <c r="T61" i="2"/>
  <c r="U61" i="2"/>
  <c r="V61" i="2"/>
  <c r="W61" i="2"/>
  <c r="Q62" i="2"/>
  <c r="R62" i="2"/>
  <c r="S62" i="2"/>
  <c r="T62" i="2"/>
  <c r="U62" i="2"/>
  <c r="V62" i="2"/>
  <c r="W62" i="2"/>
  <c r="Q63" i="2"/>
  <c r="R63" i="2"/>
  <c r="S63" i="2"/>
  <c r="T63" i="2"/>
  <c r="U63" i="2"/>
  <c r="V63" i="2"/>
  <c r="W63" i="2"/>
  <c r="Q64" i="2"/>
  <c r="R64" i="2"/>
  <c r="S64" i="2"/>
  <c r="T64" i="2"/>
  <c r="U64" i="2"/>
  <c r="V64" i="2"/>
  <c r="W64" i="2"/>
  <c r="Q65" i="2"/>
  <c r="R65" i="2"/>
  <c r="S65" i="2"/>
  <c r="T65" i="2"/>
  <c r="U65" i="2"/>
  <c r="V65" i="2"/>
  <c r="W65" i="2"/>
  <c r="Q66" i="2"/>
  <c r="R66" i="2"/>
  <c r="S66" i="2"/>
  <c r="T66" i="2"/>
  <c r="U66" i="2"/>
  <c r="V66" i="2"/>
  <c r="W66" i="2"/>
  <c r="Q67" i="2"/>
  <c r="R67" i="2"/>
  <c r="S67" i="2"/>
  <c r="T67" i="2"/>
  <c r="U67" i="2"/>
  <c r="V67" i="2"/>
  <c r="W67" i="2"/>
  <c r="Q68" i="2"/>
  <c r="R68" i="2"/>
  <c r="S68" i="2"/>
  <c r="T68" i="2"/>
  <c r="U68" i="2"/>
  <c r="V68" i="2"/>
  <c r="W68" i="2"/>
  <c r="Q69" i="2"/>
  <c r="R69" i="2"/>
  <c r="S69" i="2"/>
  <c r="T69" i="2"/>
  <c r="U69" i="2"/>
  <c r="V69" i="2"/>
  <c r="W69" i="2"/>
  <c r="Q70" i="2"/>
  <c r="R70" i="2"/>
  <c r="S70" i="2"/>
  <c r="T70" i="2"/>
  <c r="U70" i="2"/>
  <c r="V70" i="2"/>
  <c r="W70" i="2"/>
  <c r="Q71" i="2"/>
  <c r="R71" i="2"/>
  <c r="S71" i="2"/>
  <c r="T71" i="2"/>
  <c r="U71" i="2"/>
  <c r="V71" i="2"/>
  <c r="W71" i="2"/>
  <c r="Q72" i="2"/>
  <c r="R72" i="2"/>
  <c r="S72" i="2"/>
  <c r="T72" i="2"/>
  <c r="U72" i="2"/>
  <c r="V72" i="2"/>
  <c r="W72" i="2"/>
  <c r="Q73" i="2"/>
  <c r="R73" i="2"/>
  <c r="S73" i="2"/>
  <c r="T73" i="2"/>
  <c r="U73" i="2"/>
  <c r="V73" i="2"/>
  <c r="W73" i="2"/>
  <c r="Q74" i="2"/>
  <c r="R74" i="2"/>
  <c r="S74" i="2"/>
  <c r="T74" i="2"/>
  <c r="U74" i="2"/>
  <c r="V74" i="2"/>
  <c r="W74" i="2"/>
  <c r="Q75" i="2"/>
  <c r="R75" i="2"/>
  <c r="S75" i="2"/>
  <c r="T75" i="2"/>
  <c r="U75" i="2"/>
  <c r="V75" i="2"/>
  <c r="W75" i="2"/>
  <c r="Q76" i="2"/>
  <c r="R76" i="2"/>
  <c r="S76" i="2"/>
  <c r="T76" i="2"/>
  <c r="U76" i="2"/>
  <c r="V76" i="2"/>
  <c r="W76" i="2"/>
  <c r="Q77" i="2"/>
  <c r="R77" i="2"/>
  <c r="S77" i="2"/>
  <c r="T77" i="2"/>
  <c r="U77" i="2"/>
  <c r="V77" i="2"/>
  <c r="W77" i="2"/>
  <c r="Q78" i="2"/>
  <c r="R78" i="2"/>
  <c r="S78" i="2"/>
  <c r="T78" i="2"/>
  <c r="U78" i="2"/>
  <c r="V78" i="2"/>
  <c r="W78" i="2"/>
  <c r="Q79" i="2"/>
  <c r="R79" i="2"/>
  <c r="S79" i="2"/>
  <c r="T79" i="2"/>
  <c r="U79" i="2"/>
  <c r="V79" i="2"/>
  <c r="W79" i="2"/>
  <c r="Q80" i="2"/>
  <c r="R80" i="2"/>
  <c r="S80" i="2"/>
  <c r="T80" i="2"/>
  <c r="U80" i="2"/>
  <c r="V80" i="2"/>
  <c r="W80" i="2"/>
  <c r="Q81" i="2"/>
  <c r="R81" i="2"/>
  <c r="S81" i="2"/>
  <c r="T81" i="2"/>
  <c r="U81" i="2"/>
  <c r="V81" i="2"/>
  <c r="W81" i="2"/>
  <c r="Q82" i="2"/>
  <c r="R82" i="2"/>
  <c r="S82" i="2"/>
  <c r="T82" i="2"/>
  <c r="U82" i="2"/>
  <c r="V82" i="2"/>
  <c r="W82" i="2"/>
  <c r="Q83" i="2"/>
  <c r="R83" i="2"/>
  <c r="S83" i="2"/>
  <c r="T83" i="2"/>
  <c r="U83" i="2"/>
  <c r="V83" i="2"/>
  <c r="W83" i="2"/>
  <c r="Q84" i="2"/>
  <c r="R84" i="2"/>
  <c r="S84" i="2"/>
  <c r="T84" i="2"/>
  <c r="U84" i="2"/>
  <c r="V84" i="2"/>
  <c r="W84" i="2"/>
  <c r="Q85" i="2"/>
  <c r="R85" i="2"/>
  <c r="S85" i="2"/>
  <c r="T85" i="2"/>
  <c r="U85" i="2"/>
  <c r="V85" i="2"/>
  <c r="W85" i="2"/>
  <c r="Q86" i="2"/>
  <c r="R86" i="2"/>
  <c r="S86" i="2"/>
  <c r="T86" i="2"/>
  <c r="U86" i="2"/>
  <c r="V86" i="2"/>
  <c r="W86" i="2"/>
  <c r="Q87" i="2"/>
  <c r="AJ87" i="2" s="1"/>
  <c r="R87" i="2"/>
  <c r="AK87" i="2" s="1"/>
  <c r="S87" i="2"/>
  <c r="AL87" i="2" s="1"/>
  <c r="T87" i="2"/>
  <c r="AM87" i="2" s="1"/>
  <c r="U87" i="2"/>
  <c r="AN87" i="2" s="1"/>
  <c r="V87" i="2"/>
  <c r="AO87" i="2" s="1"/>
  <c r="W87" i="2"/>
  <c r="AP87" i="2" s="1"/>
  <c r="Q88" i="2"/>
  <c r="R88" i="2"/>
  <c r="S88" i="2"/>
  <c r="T88" i="2"/>
  <c r="U88" i="2"/>
  <c r="V88" i="2"/>
  <c r="W88" i="2"/>
  <c r="Q35" i="2"/>
  <c r="R35" i="2"/>
  <c r="S35" i="2"/>
  <c r="T35" i="2"/>
  <c r="U35" i="2"/>
  <c r="V35" i="2"/>
  <c r="W35" i="2"/>
  <c r="Q36" i="2"/>
  <c r="R36" i="2"/>
  <c r="S36" i="2"/>
  <c r="T36" i="2"/>
  <c r="U36" i="2"/>
  <c r="V36" i="2"/>
  <c r="W36" i="2"/>
  <c r="Q37" i="2"/>
  <c r="R37" i="2"/>
  <c r="S37" i="2"/>
  <c r="T37" i="2"/>
  <c r="U37" i="2"/>
  <c r="V37" i="2"/>
  <c r="W37" i="2"/>
  <c r="Q38" i="2"/>
  <c r="R38" i="2"/>
  <c r="S38" i="2"/>
  <c r="T38" i="2"/>
  <c r="U38" i="2"/>
  <c r="V38" i="2"/>
  <c r="W38" i="2"/>
  <c r="Q39" i="2"/>
  <c r="R39" i="2"/>
  <c r="S39" i="2"/>
  <c r="T39" i="2"/>
  <c r="U39" i="2"/>
  <c r="V39" i="2"/>
  <c r="W39" i="2"/>
  <c r="Q40" i="2"/>
  <c r="R40" i="2"/>
  <c r="S40" i="2"/>
  <c r="T40" i="2"/>
  <c r="U40" i="2"/>
  <c r="V40" i="2"/>
  <c r="W40" i="2"/>
  <c r="Q41" i="2"/>
  <c r="R41" i="2"/>
  <c r="S41" i="2"/>
  <c r="T41" i="2"/>
  <c r="U41" i="2"/>
  <c r="V41" i="2"/>
  <c r="W41" i="2"/>
  <c r="Q42" i="2"/>
  <c r="R42" i="2"/>
  <c r="S42" i="2"/>
  <c r="T42" i="2"/>
  <c r="U42" i="2"/>
  <c r="V42" i="2"/>
  <c r="W42" i="2"/>
  <c r="Q43" i="2"/>
  <c r="R43" i="2"/>
  <c r="S43" i="2"/>
  <c r="T43" i="2"/>
  <c r="U43" i="2"/>
  <c r="V43" i="2"/>
  <c r="W43" i="2"/>
  <c r="Q44" i="2"/>
  <c r="R44" i="2"/>
  <c r="S44" i="2"/>
  <c r="T44" i="2"/>
  <c r="U44" i="2"/>
  <c r="V44" i="2"/>
  <c r="W44" i="2"/>
  <c r="Q45" i="2"/>
  <c r="R45" i="2"/>
  <c r="S45" i="2"/>
  <c r="T45" i="2"/>
  <c r="U45" i="2"/>
  <c r="V45" i="2"/>
  <c r="W45" i="2"/>
  <c r="Q46" i="2"/>
  <c r="R46" i="2"/>
  <c r="S46" i="2"/>
  <c r="T46" i="2"/>
  <c r="U46" i="2"/>
  <c r="V46" i="2"/>
  <c r="W46" i="2"/>
  <c r="Q47" i="2"/>
  <c r="R47" i="2"/>
  <c r="S47" i="2"/>
  <c r="T47" i="2"/>
  <c r="U47" i="2"/>
  <c r="V47" i="2"/>
  <c r="W47" i="2"/>
  <c r="Q48" i="2"/>
  <c r="R48" i="2"/>
  <c r="S48" i="2"/>
  <c r="T48" i="2"/>
  <c r="U48" i="2"/>
  <c r="V48" i="2"/>
  <c r="W48" i="2"/>
  <c r="Q49" i="2"/>
  <c r="R49" i="2"/>
  <c r="S49" i="2"/>
  <c r="T49" i="2"/>
  <c r="U49" i="2"/>
  <c r="V49" i="2"/>
  <c r="W49" i="2"/>
  <c r="Q50" i="2"/>
  <c r="R50" i="2"/>
  <c r="S50" i="2"/>
  <c r="T50" i="2"/>
  <c r="U50" i="2"/>
  <c r="V50" i="2"/>
  <c r="W50" i="2"/>
  <c r="Q51" i="2"/>
  <c r="R51" i="2"/>
  <c r="S51" i="2"/>
  <c r="T51" i="2"/>
  <c r="U51" i="2"/>
  <c r="V51" i="2"/>
  <c r="W51" i="2"/>
  <c r="Q52" i="2"/>
  <c r="R52" i="2"/>
  <c r="S52" i="2"/>
  <c r="T52" i="2"/>
  <c r="U52" i="2"/>
  <c r="V52" i="2"/>
  <c r="W52" i="2"/>
  <c r="Q3" i="2"/>
  <c r="R3" i="2"/>
  <c r="S3" i="2"/>
  <c r="T3" i="2"/>
  <c r="U3" i="2"/>
  <c r="V3" i="2"/>
  <c r="W3" i="2"/>
  <c r="Q4" i="2"/>
  <c r="R4" i="2"/>
  <c r="S4" i="2"/>
  <c r="T4" i="2"/>
  <c r="U4" i="2"/>
  <c r="V4" i="2"/>
  <c r="W4" i="2"/>
  <c r="Q5" i="2"/>
  <c r="R5" i="2"/>
  <c r="S5" i="2"/>
  <c r="T5" i="2"/>
  <c r="U5" i="2"/>
  <c r="V5" i="2"/>
  <c r="W5" i="2"/>
  <c r="Q6" i="2"/>
  <c r="R6" i="2"/>
  <c r="S6" i="2"/>
  <c r="T6" i="2"/>
  <c r="U6" i="2"/>
  <c r="V6" i="2"/>
  <c r="W6" i="2"/>
  <c r="Q7" i="2"/>
  <c r="R7" i="2"/>
  <c r="S7" i="2"/>
  <c r="T7" i="2"/>
  <c r="U7" i="2"/>
  <c r="V7" i="2"/>
  <c r="W7" i="2"/>
  <c r="Q8" i="2"/>
  <c r="R8" i="2"/>
  <c r="S8" i="2"/>
  <c r="T8" i="2"/>
  <c r="U8" i="2"/>
  <c r="V8" i="2"/>
  <c r="W8" i="2"/>
  <c r="Q9" i="2"/>
  <c r="R9" i="2"/>
  <c r="S9" i="2"/>
  <c r="T9" i="2"/>
  <c r="U9" i="2"/>
  <c r="V9" i="2"/>
  <c r="W9" i="2"/>
  <c r="Q10" i="2"/>
  <c r="R10" i="2"/>
  <c r="S10" i="2"/>
  <c r="T10" i="2"/>
  <c r="U10" i="2"/>
  <c r="V10" i="2"/>
  <c r="W10" i="2"/>
  <c r="Q11" i="2"/>
  <c r="R11" i="2"/>
  <c r="S11" i="2"/>
  <c r="T11" i="2"/>
  <c r="U11" i="2"/>
  <c r="V11" i="2"/>
  <c r="W11" i="2"/>
  <c r="Q12" i="2"/>
  <c r="R12" i="2"/>
  <c r="S12" i="2"/>
  <c r="T12" i="2"/>
  <c r="U12" i="2"/>
  <c r="V12" i="2"/>
  <c r="W12" i="2"/>
  <c r="Q13" i="2"/>
  <c r="R13" i="2"/>
  <c r="S13" i="2"/>
  <c r="T13" i="2"/>
  <c r="U13" i="2"/>
  <c r="V13" i="2"/>
  <c r="W13" i="2"/>
  <c r="Q14" i="2"/>
  <c r="R14" i="2"/>
  <c r="S14" i="2"/>
  <c r="T14" i="2"/>
  <c r="U14" i="2"/>
  <c r="V14" i="2"/>
  <c r="W14" i="2"/>
  <c r="Q15" i="2"/>
  <c r="R15" i="2"/>
  <c r="S15" i="2"/>
  <c r="T15" i="2"/>
  <c r="U15" i="2"/>
  <c r="V15" i="2"/>
  <c r="W15" i="2"/>
  <c r="Q16" i="2"/>
  <c r="R16" i="2"/>
  <c r="S16" i="2"/>
  <c r="T16" i="2"/>
  <c r="U16" i="2"/>
  <c r="V16" i="2"/>
  <c r="W16" i="2"/>
  <c r="Q17" i="2"/>
  <c r="R17" i="2"/>
  <c r="S17" i="2"/>
  <c r="T17" i="2"/>
  <c r="U17" i="2"/>
  <c r="V17" i="2"/>
  <c r="W17" i="2"/>
  <c r="Q18" i="2"/>
  <c r="R18" i="2"/>
  <c r="S18" i="2"/>
  <c r="T18" i="2"/>
  <c r="U18" i="2"/>
  <c r="V18" i="2"/>
  <c r="W18" i="2"/>
  <c r="Q19" i="2"/>
  <c r="R19" i="2"/>
  <c r="S19" i="2"/>
  <c r="T19" i="2"/>
  <c r="U19" i="2"/>
  <c r="V19" i="2"/>
  <c r="W19" i="2"/>
  <c r="Q20" i="2"/>
  <c r="R20" i="2"/>
  <c r="S20" i="2"/>
  <c r="T20" i="2"/>
  <c r="U20" i="2"/>
  <c r="V20" i="2"/>
  <c r="W20" i="2"/>
  <c r="Q21" i="2"/>
  <c r="R21" i="2"/>
  <c r="S21" i="2"/>
  <c r="T21" i="2"/>
  <c r="U21" i="2"/>
  <c r="V21" i="2"/>
  <c r="W21" i="2"/>
  <c r="Q22" i="2"/>
  <c r="R22" i="2"/>
  <c r="S22" i="2"/>
  <c r="T22" i="2"/>
  <c r="U22" i="2"/>
  <c r="V22" i="2"/>
  <c r="W22" i="2"/>
  <c r="Q23" i="2"/>
  <c r="R23" i="2"/>
  <c r="S23" i="2"/>
  <c r="T23" i="2"/>
  <c r="U23" i="2"/>
  <c r="V23" i="2"/>
  <c r="W23" i="2"/>
  <c r="Q24" i="2"/>
  <c r="R24" i="2"/>
  <c r="S24" i="2"/>
  <c r="T24" i="2"/>
  <c r="U24" i="2"/>
  <c r="V24" i="2"/>
  <c r="W24" i="2"/>
  <c r="Q25" i="2"/>
  <c r="R25" i="2"/>
  <c r="S25" i="2"/>
  <c r="T25" i="2"/>
  <c r="U25" i="2"/>
  <c r="V25" i="2"/>
  <c r="W25" i="2"/>
  <c r="Q26" i="2"/>
  <c r="R26" i="2"/>
  <c r="S26" i="2"/>
  <c r="T26" i="2"/>
  <c r="U26" i="2"/>
  <c r="V26" i="2"/>
  <c r="W26" i="2"/>
  <c r="Q27" i="2"/>
  <c r="R27" i="2"/>
  <c r="S27" i="2"/>
  <c r="T27" i="2"/>
  <c r="U27" i="2"/>
  <c r="V27" i="2"/>
  <c r="W27" i="2"/>
  <c r="Q28" i="2"/>
  <c r="AJ28" i="2" s="1"/>
  <c r="R28" i="2"/>
  <c r="AK28" i="2" s="1"/>
  <c r="S28" i="2"/>
  <c r="AL28" i="2" s="1"/>
  <c r="T28" i="2"/>
  <c r="AM28" i="2" s="1"/>
  <c r="U28" i="2"/>
  <c r="AN28" i="2" s="1"/>
  <c r="V28" i="2"/>
  <c r="AO28" i="2" s="1"/>
  <c r="W28" i="2"/>
  <c r="AP28" i="2" s="1"/>
  <c r="Q29" i="2"/>
  <c r="R29" i="2"/>
  <c r="S29" i="2"/>
  <c r="T29" i="2"/>
  <c r="U29" i="2"/>
  <c r="V29" i="2"/>
  <c r="W29" i="2"/>
  <c r="Q30" i="2"/>
  <c r="R30" i="2"/>
  <c r="S30" i="2"/>
  <c r="T30" i="2"/>
  <c r="U30" i="2"/>
  <c r="V30" i="2"/>
  <c r="W30" i="2"/>
  <c r="Q31" i="2"/>
  <c r="R31" i="2"/>
  <c r="S31" i="2"/>
  <c r="T31" i="2"/>
  <c r="U31" i="2"/>
  <c r="V31" i="2"/>
  <c r="W31" i="2"/>
  <c r="Q32" i="2"/>
  <c r="R32" i="2"/>
  <c r="S32" i="2"/>
  <c r="T32" i="2"/>
  <c r="U32" i="2"/>
  <c r="V32" i="2"/>
  <c r="W32" i="2"/>
  <c r="Q33" i="2"/>
  <c r="R33" i="2"/>
  <c r="S33" i="2"/>
  <c r="T33" i="2"/>
  <c r="U33" i="2"/>
  <c r="V33" i="2"/>
  <c r="W33" i="2"/>
  <c r="Q34" i="2"/>
  <c r="R34" i="2"/>
  <c r="S34" i="2"/>
  <c r="T34" i="2"/>
  <c r="U34" i="2"/>
  <c r="V34" i="2"/>
  <c r="W34" i="2"/>
  <c r="W2" i="2"/>
  <c r="V2" i="2"/>
  <c r="U2" i="2"/>
  <c r="Q2" i="2"/>
  <c r="R2" i="2"/>
  <c r="S2" i="2"/>
  <c r="T2" i="2"/>
  <c r="AA8" i="2"/>
  <c r="AB8" i="2"/>
  <c r="AC8" i="2"/>
  <c r="AD8" i="2"/>
  <c r="AE8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AA9" i="2"/>
  <c r="AB9" i="2"/>
  <c r="AC9" i="2"/>
  <c r="AD9" i="2"/>
  <c r="AE9" i="2"/>
  <c r="AA10" i="2"/>
  <c r="AB10" i="2"/>
  <c r="AC10" i="2"/>
  <c r="AD10" i="2"/>
  <c r="AE10" i="2"/>
  <c r="AA11" i="2"/>
  <c r="AB11" i="2"/>
  <c r="AC11" i="2"/>
  <c r="AD11" i="2"/>
  <c r="AE11" i="2"/>
  <c r="AA12" i="2"/>
  <c r="AB12" i="2"/>
  <c r="AC12" i="2"/>
  <c r="AD12" i="2"/>
  <c r="AE12" i="2"/>
  <c r="AA13" i="2"/>
  <c r="AB13" i="2"/>
  <c r="AC13" i="2"/>
  <c r="AD13" i="2"/>
  <c r="AE13" i="2"/>
  <c r="AA14" i="2"/>
  <c r="AB14" i="2"/>
  <c r="AC14" i="2"/>
  <c r="AD14" i="2"/>
  <c r="AE14" i="2"/>
  <c r="AA15" i="2"/>
  <c r="AB15" i="2"/>
  <c r="AC15" i="2"/>
  <c r="AD15" i="2"/>
  <c r="AE15" i="2"/>
  <c r="AA16" i="2"/>
  <c r="AB16" i="2"/>
  <c r="AC16" i="2"/>
  <c r="AD16" i="2"/>
  <c r="AE16" i="2"/>
  <c r="AA17" i="2"/>
  <c r="AB17" i="2"/>
  <c r="AC17" i="2"/>
  <c r="AD17" i="2"/>
  <c r="AE17" i="2"/>
  <c r="AA18" i="2"/>
  <c r="AB18" i="2"/>
  <c r="AC18" i="2"/>
  <c r="AD18" i="2"/>
  <c r="AE18" i="2"/>
  <c r="AA19" i="2"/>
  <c r="AB19" i="2"/>
  <c r="AC19" i="2"/>
  <c r="AD19" i="2"/>
  <c r="AE19" i="2"/>
  <c r="AA26" i="2"/>
  <c r="AB26" i="2"/>
  <c r="AC26" i="2"/>
  <c r="AD26" i="2"/>
  <c r="AE26" i="2"/>
  <c r="AA27" i="2"/>
  <c r="AB27" i="2"/>
  <c r="AC27" i="2"/>
  <c r="AD27" i="2"/>
  <c r="AE27" i="2"/>
  <c r="AA28" i="2"/>
  <c r="AB28" i="2"/>
  <c r="AC28" i="2"/>
  <c r="AD28" i="2"/>
  <c r="AE28" i="2"/>
  <c r="AA29" i="2"/>
  <c r="AB29" i="2"/>
  <c r="AC29" i="2"/>
  <c r="AD29" i="2"/>
  <c r="AE29" i="2"/>
  <c r="AA30" i="2"/>
  <c r="AB30" i="2"/>
  <c r="AC30" i="2"/>
  <c r="AD30" i="2"/>
  <c r="AE30" i="2"/>
  <c r="AA31" i="2"/>
  <c r="AB31" i="2"/>
  <c r="AC31" i="2"/>
  <c r="AD31" i="2"/>
  <c r="AE31" i="2"/>
  <c r="AA32" i="2"/>
  <c r="AB32" i="2"/>
  <c r="AC32" i="2"/>
  <c r="AD32" i="2"/>
  <c r="AE32" i="2"/>
  <c r="AA33" i="2"/>
  <c r="AB33" i="2"/>
  <c r="AC33" i="2"/>
  <c r="AD33" i="2"/>
  <c r="AE33" i="2"/>
  <c r="AA34" i="2"/>
  <c r="AB34" i="2"/>
  <c r="AC34" i="2"/>
  <c r="AD34" i="2"/>
  <c r="AE34" i="2"/>
  <c r="AA35" i="2"/>
  <c r="AB35" i="2"/>
  <c r="AC35" i="2"/>
  <c r="AD35" i="2"/>
  <c r="AE35" i="2"/>
  <c r="AA36" i="2"/>
  <c r="AB36" i="2"/>
  <c r="AC36" i="2"/>
  <c r="AD36" i="2"/>
  <c r="AE36" i="2"/>
  <c r="AA37" i="2"/>
  <c r="AB37" i="2"/>
  <c r="AC37" i="2"/>
  <c r="AD37" i="2"/>
  <c r="AE37" i="2"/>
  <c r="AA38" i="2"/>
  <c r="AB38" i="2"/>
  <c r="AC38" i="2"/>
  <c r="AD38" i="2"/>
  <c r="AE38" i="2"/>
  <c r="AA39" i="2"/>
  <c r="AB39" i="2"/>
  <c r="AC39" i="2"/>
  <c r="AD39" i="2"/>
  <c r="AE39" i="2"/>
  <c r="AA40" i="2"/>
  <c r="AB40" i="2"/>
  <c r="AC40" i="2"/>
  <c r="AD40" i="2"/>
  <c r="AE40" i="2"/>
  <c r="AA41" i="2"/>
  <c r="AB41" i="2"/>
  <c r="AC41" i="2"/>
  <c r="AD41" i="2"/>
  <c r="AE41" i="2"/>
  <c r="AA42" i="2"/>
  <c r="AB42" i="2"/>
  <c r="AC42" i="2"/>
  <c r="AD42" i="2"/>
  <c r="AE42" i="2"/>
  <c r="AA43" i="2"/>
  <c r="AB43" i="2"/>
  <c r="AC43" i="2"/>
  <c r="AD43" i="2"/>
  <c r="AE43" i="2"/>
  <c r="AA44" i="2"/>
  <c r="AB44" i="2"/>
  <c r="AC44" i="2"/>
  <c r="AD44" i="2"/>
  <c r="AE44" i="2"/>
  <c r="AA45" i="2"/>
  <c r="AB45" i="2"/>
  <c r="AC45" i="2"/>
  <c r="AD45" i="2"/>
  <c r="AE45" i="2"/>
  <c r="AA46" i="2"/>
  <c r="AB46" i="2"/>
  <c r="AC46" i="2"/>
  <c r="AD46" i="2"/>
  <c r="AE46" i="2"/>
  <c r="AA47" i="2"/>
  <c r="AB47" i="2"/>
  <c r="AC47" i="2"/>
  <c r="AD47" i="2"/>
  <c r="AE47" i="2"/>
  <c r="AA48" i="2"/>
  <c r="AB48" i="2"/>
  <c r="AC48" i="2"/>
  <c r="AD48" i="2"/>
  <c r="AE48" i="2"/>
  <c r="AA49" i="2"/>
  <c r="AB49" i="2"/>
  <c r="AC49" i="2"/>
  <c r="AD49" i="2"/>
  <c r="AE49" i="2"/>
  <c r="AA55" i="2"/>
  <c r="AB55" i="2"/>
  <c r="AC55" i="2"/>
  <c r="AD55" i="2"/>
  <c r="AE55" i="2"/>
  <c r="AA56" i="2"/>
  <c r="AB56" i="2"/>
  <c r="AC56" i="2"/>
  <c r="AD56" i="2"/>
  <c r="AE56" i="2"/>
  <c r="AA57" i="2"/>
  <c r="AB57" i="2"/>
  <c r="AC57" i="2"/>
  <c r="AD57" i="2"/>
  <c r="AE57" i="2"/>
  <c r="AA58" i="2"/>
  <c r="AB58" i="2"/>
  <c r="AC58" i="2"/>
  <c r="AD58" i="2"/>
  <c r="AE58" i="2"/>
  <c r="AA59" i="2"/>
  <c r="AB59" i="2"/>
  <c r="AC59" i="2"/>
  <c r="AD59" i="2"/>
  <c r="AE59" i="2"/>
  <c r="AA60" i="2"/>
  <c r="AB60" i="2"/>
  <c r="AC60" i="2"/>
  <c r="AD60" i="2"/>
  <c r="AE60" i="2"/>
  <c r="P11" i="2"/>
  <c r="N87" i="2"/>
  <c r="O87" i="2"/>
  <c r="P87" i="2"/>
  <c r="X87" i="2" a="1"/>
  <c r="X87" i="2" s="1"/>
  <c r="Y87" i="2" a="1"/>
  <c r="Y87" i="2" s="1"/>
  <c r="Z87" i="2" a="1"/>
  <c r="Z87" i="2" s="1"/>
  <c r="N88" i="2"/>
  <c r="O88" i="2"/>
  <c r="P88" i="2"/>
  <c r="X88" i="2" a="1"/>
  <c r="X88" i="2" s="1"/>
  <c r="Y88" i="2" a="1"/>
  <c r="Y88" i="2" s="1"/>
  <c r="Z88" i="2" a="1"/>
  <c r="Z88" i="2" s="1"/>
  <c r="N89" i="2"/>
  <c r="X89" i="2"/>
  <c r="AH90" i="2"/>
  <c r="N85" i="2"/>
  <c r="O85" i="2"/>
  <c r="P85" i="2"/>
  <c r="X85" i="2" a="1"/>
  <c r="X85" i="2" s="1"/>
  <c r="Y85" i="2" a="1"/>
  <c r="Y85" i="2" s="1"/>
  <c r="Z85" i="2" a="1"/>
  <c r="Z85" i="2" s="1"/>
  <c r="N86" i="2"/>
  <c r="O86" i="2"/>
  <c r="P86" i="2"/>
  <c r="X86" i="2" a="1"/>
  <c r="X86" i="2" s="1"/>
  <c r="Y86" i="2" a="1"/>
  <c r="Y86" i="2" s="1"/>
  <c r="Z86" i="2" a="1"/>
  <c r="Z86" i="2" s="1"/>
  <c r="N52" i="2"/>
  <c r="O52" i="2"/>
  <c r="P52" i="2"/>
  <c r="X52" i="2" a="1"/>
  <c r="X52" i="2" s="1"/>
  <c r="Y52" i="2" a="1"/>
  <c r="Y52" i="2" s="1"/>
  <c r="Z52" i="2" a="1"/>
  <c r="Z52" i="2" s="1"/>
  <c r="N53" i="2"/>
  <c r="O53" i="2"/>
  <c r="P53" i="2"/>
  <c r="X53" i="2" a="1"/>
  <c r="X53" i="2" s="1"/>
  <c r="Y53" i="2" a="1"/>
  <c r="Y53" i="2" s="1"/>
  <c r="Z53" i="2" a="1"/>
  <c r="Z53" i="2" s="1"/>
  <c r="N54" i="2"/>
  <c r="O54" i="2"/>
  <c r="P54" i="2"/>
  <c r="X54" i="2" a="1"/>
  <c r="X54" i="2" s="1"/>
  <c r="Y54" i="2" a="1"/>
  <c r="Y54" i="2" s="1"/>
  <c r="Z54" i="2" a="1"/>
  <c r="Z54" i="2" s="1"/>
  <c r="N55" i="2"/>
  <c r="O55" i="2"/>
  <c r="P55" i="2"/>
  <c r="X55" i="2" a="1"/>
  <c r="X55" i="2" s="1"/>
  <c r="Y55" i="2" a="1"/>
  <c r="Y55" i="2" s="1"/>
  <c r="Z55" i="2" a="1"/>
  <c r="Z55" i="2" s="1"/>
  <c r="N56" i="2"/>
  <c r="O56" i="2"/>
  <c r="P56" i="2"/>
  <c r="X56" i="2" a="1"/>
  <c r="X56" i="2" s="1"/>
  <c r="Y56" i="2" a="1"/>
  <c r="Y56" i="2" s="1"/>
  <c r="Z56" i="2" a="1"/>
  <c r="Z56" i="2" s="1"/>
  <c r="N57" i="2"/>
  <c r="O57" i="2"/>
  <c r="P57" i="2"/>
  <c r="X57" i="2" a="1"/>
  <c r="X57" i="2" s="1"/>
  <c r="Y57" i="2" a="1"/>
  <c r="Y57" i="2" s="1"/>
  <c r="Z57" i="2" a="1"/>
  <c r="Z57" i="2" s="1"/>
  <c r="N58" i="2"/>
  <c r="O58" i="2"/>
  <c r="P58" i="2"/>
  <c r="X58" i="2" a="1"/>
  <c r="X58" i="2" s="1"/>
  <c r="Y58" i="2" a="1"/>
  <c r="Y58" i="2" s="1"/>
  <c r="Z58" i="2" a="1"/>
  <c r="Z58" i="2" s="1"/>
  <c r="O59" i="2"/>
  <c r="P59" i="2"/>
  <c r="X59" i="2" a="1"/>
  <c r="X59" i="2" s="1"/>
  <c r="Y59" i="2" a="1"/>
  <c r="Y59" i="2" s="1"/>
  <c r="Z59" i="2" a="1"/>
  <c r="Z59" i="2" s="1"/>
  <c r="N60" i="2"/>
  <c r="O60" i="2"/>
  <c r="P60" i="2"/>
  <c r="X60" i="2" a="1"/>
  <c r="X60" i="2" s="1"/>
  <c r="Y60" i="2" a="1"/>
  <c r="Y60" i="2" s="1"/>
  <c r="Z60" i="2" a="1"/>
  <c r="Z60" i="2" s="1"/>
  <c r="N61" i="2"/>
  <c r="O61" i="2"/>
  <c r="P61" i="2"/>
  <c r="X61" i="2" a="1"/>
  <c r="X61" i="2" s="1"/>
  <c r="Y61" i="2" a="1"/>
  <c r="Y61" i="2" s="1"/>
  <c r="Z61" i="2" a="1"/>
  <c r="Z61" i="2" s="1"/>
  <c r="N62" i="2"/>
  <c r="O62" i="2"/>
  <c r="P62" i="2"/>
  <c r="X62" i="2" a="1"/>
  <c r="X62" i="2" s="1"/>
  <c r="Y62" i="2" a="1"/>
  <c r="Y62" i="2" s="1"/>
  <c r="Z62" i="2" a="1"/>
  <c r="Z62" i="2" s="1"/>
  <c r="N63" i="2"/>
  <c r="O63" i="2"/>
  <c r="P63" i="2"/>
  <c r="X63" i="2" a="1"/>
  <c r="X63" i="2" s="1"/>
  <c r="Y63" i="2" a="1"/>
  <c r="Y63" i="2" s="1"/>
  <c r="Z63" i="2" a="1"/>
  <c r="Z63" i="2" s="1"/>
  <c r="N64" i="2"/>
  <c r="O64" i="2"/>
  <c r="P64" i="2"/>
  <c r="X64" i="2" a="1"/>
  <c r="X64" i="2" s="1"/>
  <c r="Y64" i="2" a="1"/>
  <c r="Y64" i="2" s="1"/>
  <c r="Z64" i="2" a="1"/>
  <c r="Z64" i="2" s="1"/>
  <c r="N65" i="2"/>
  <c r="O65" i="2"/>
  <c r="P65" i="2"/>
  <c r="X65" i="2" a="1"/>
  <c r="X65" i="2" s="1"/>
  <c r="Y65" i="2" a="1"/>
  <c r="Y65" i="2" s="1"/>
  <c r="Z65" i="2" a="1"/>
  <c r="Z65" i="2" s="1"/>
  <c r="N66" i="2"/>
  <c r="O66" i="2"/>
  <c r="P66" i="2"/>
  <c r="X66" i="2" a="1"/>
  <c r="X66" i="2" s="1"/>
  <c r="Y66" i="2" a="1"/>
  <c r="Y66" i="2" s="1"/>
  <c r="Z66" i="2" a="1"/>
  <c r="Z66" i="2" s="1"/>
  <c r="N67" i="2"/>
  <c r="O67" i="2"/>
  <c r="P67" i="2"/>
  <c r="X67" i="2" a="1"/>
  <c r="X67" i="2" s="1"/>
  <c r="Y67" i="2" a="1"/>
  <c r="Y67" i="2" s="1"/>
  <c r="Z67" i="2" a="1"/>
  <c r="Z67" i="2" s="1"/>
  <c r="N68" i="2"/>
  <c r="O68" i="2"/>
  <c r="P68" i="2"/>
  <c r="X68" i="2" a="1"/>
  <c r="X68" i="2" s="1"/>
  <c r="Y68" i="2" a="1"/>
  <c r="Y68" i="2" s="1"/>
  <c r="Z68" i="2" a="1"/>
  <c r="Z68" i="2" s="1"/>
  <c r="N69" i="2"/>
  <c r="O69" i="2"/>
  <c r="P69" i="2"/>
  <c r="X69" i="2" a="1"/>
  <c r="X69" i="2" s="1"/>
  <c r="Y69" i="2" a="1"/>
  <c r="Y69" i="2" s="1"/>
  <c r="Z69" i="2" a="1"/>
  <c r="Z69" i="2" s="1"/>
  <c r="N70" i="2"/>
  <c r="O70" i="2"/>
  <c r="P70" i="2"/>
  <c r="X70" i="2" a="1"/>
  <c r="X70" i="2" s="1"/>
  <c r="Y70" i="2" a="1"/>
  <c r="Y70" i="2" s="1"/>
  <c r="Z70" i="2" a="1"/>
  <c r="Z70" i="2" s="1"/>
  <c r="N71" i="2"/>
  <c r="O71" i="2"/>
  <c r="P71" i="2"/>
  <c r="X71" i="2" a="1"/>
  <c r="X71" i="2" s="1"/>
  <c r="Y71" i="2" a="1"/>
  <c r="Y71" i="2" s="1"/>
  <c r="Z71" i="2" a="1"/>
  <c r="Z71" i="2" s="1"/>
  <c r="N72" i="2"/>
  <c r="O72" i="2"/>
  <c r="P72" i="2"/>
  <c r="X72" i="2" a="1"/>
  <c r="X72" i="2" s="1"/>
  <c r="Y72" i="2" a="1"/>
  <c r="Y72" i="2" s="1"/>
  <c r="Z72" i="2" a="1"/>
  <c r="Z72" i="2" s="1"/>
  <c r="N73" i="2"/>
  <c r="O73" i="2"/>
  <c r="P73" i="2"/>
  <c r="X73" i="2" a="1"/>
  <c r="X73" i="2" s="1"/>
  <c r="Y73" i="2" a="1"/>
  <c r="Y73" i="2" s="1"/>
  <c r="Z73" i="2" a="1"/>
  <c r="Z73" i="2" s="1"/>
  <c r="N74" i="2"/>
  <c r="O74" i="2"/>
  <c r="P74" i="2"/>
  <c r="X74" i="2" a="1"/>
  <c r="X74" i="2" s="1"/>
  <c r="Y74" i="2" a="1"/>
  <c r="Y74" i="2" s="1"/>
  <c r="Z74" i="2" a="1"/>
  <c r="Z74" i="2" s="1"/>
  <c r="N75" i="2"/>
  <c r="O75" i="2"/>
  <c r="P75" i="2"/>
  <c r="X75" i="2" a="1"/>
  <c r="X75" i="2" s="1"/>
  <c r="Y75" i="2" a="1"/>
  <c r="Y75" i="2" s="1"/>
  <c r="Z75" i="2" a="1"/>
  <c r="Z75" i="2" s="1"/>
  <c r="N76" i="2"/>
  <c r="O76" i="2"/>
  <c r="P76" i="2"/>
  <c r="X76" i="2" a="1"/>
  <c r="X76" i="2" s="1"/>
  <c r="Y76" i="2" a="1"/>
  <c r="Y76" i="2" s="1"/>
  <c r="Z76" i="2" a="1"/>
  <c r="Z76" i="2" s="1"/>
  <c r="N77" i="2"/>
  <c r="O77" i="2"/>
  <c r="P77" i="2"/>
  <c r="X77" i="2" a="1"/>
  <c r="X77" i="2" s="1"/>
  <c r="Y77" i="2" a="1"/>
  <c r="Y77" i="2" s="1"/>
  <c r="Z77" i="2" a="1"/>
  <c r="Z77" i="2" s="1"/>
  <c r="N78" i="2"/>
  <c r="O78" i="2"/>
  <c r="P78" i="2"/>
  <c r="X78" i="2" a="1"/>
  <c r="X78" i="2" s="1"/>
  <c r="Y78" i="2" a="1"/>
  <c r="Y78" i="2" s="1"/>
  <c r="Z78" i="2" a="1"/>
  <c r="Z78" i="2" s="1"/>
  <c r="N79" i="2"/>
  <c r="O79" i="2"/>
  <c r="AH88" i="2" s="1"/>
  <c r="P79" i="2"/>
  <c r="AI85" i="2" s="1"/>
  <c r="X79" i="2" a="1"/>
  <c r="X79" i="2" s="1"/>
  <c r="Y79" i="2" a="1"/>
  <c r="Y79" i="2" s="1"/>
  <c r="Z79" i="2" a="1"/>
  <c r="Z79" i="2" s="1"/>
  <c r="N80" i="2"/>
  <c r="O80" i="2"/>
  <c r="P80" i="2"/>
  <c r="X80" i="2" a="1"/>
  <c r="X80" i="2" s="1"/>
  <c r="Y80" i="2" a="1"/>
  <c r="Y80" i="2" s="1"/>
  <c r="Z80" i="2" a="1"/>
  <c r="Z80" i="2" s="1"/>
  <c r="N81" i="2"/>
  <c r="O81" i="2"/>
  <c r="P81" i="2"/>
  <c r="X81" i="2" a="1"/>
  <c r="X81" i="2" s="1"/>
  <c r="Y81" i="2" a="1"/>
  <c r="Y81" i="2" s="1"/>
  <c r="Z81" i="2" a="1"/>
  <c r="Z81" i="2" s="1"/>
  <c r="N82" i="2"/>
  <c r="O82" i="2"/>
  <c r="P82" i="2"/>
  <c r="X82" i="2" a="1"/>
  <c r="X82" i="2" s="1"/>
  <c r="Y82" i="2" a="1"/>
  <c r="Y82" i="2" s="1"/>
  <c r="Z82" i="2" a="1"/>
  <c r="Z82" i="2" s="1"/>
  <c r="N83" i="2"/>
  <c r="O83" i="2"/>
  <c r="P83" i="2"/>
  <c r="X83" i="2" a="1"/>
  <c r="X83" i="2" s="1"/>
  <c r="Y83" i="2" a="1"/>
  <c r="Y83" i="2" s="1"/>
  <c r="Z83" i="2" a="1"/>
  <c r="Z83" i="2" s="1"/>
  <c r="N84" i="2"/>
  <c r="O84" i="2"/>
  <c r="P84" i="2"/>
  <c r="X84" i="2" a="1"/>
  <c r="X84" i="2" s="1"/>
  <c r="Y84" i="2" a="1"/>
  <c r="Y84" i="2" s="1"/>
  <c r="Z84" i="2" a="1"/>
  <c r="Z84" i="2" s="1"/>
  <c r="N37" i="2"/>
  <c r="O37" i="2"/>
  <c r="P37" i="2"/>
  <c r="X37" i="2" a="1"/>
  <c r="X37" i="2" s="1"/>
  <c r="Y37" i="2" a="1"/>
  <c r="Y37" i="2" s="1"/>
  <c r="Z37" i="2" a="1"/>
  <c r="Z37" i="2" s="1"/>
  <c r="N38" i="2"/>
  <c r="O38" i="2"/>
  <c r="P38" i="2"/>
  <c r="X38" i="2" a="1"/>
  <c r="X38" i="2" s="1"/>
  <c r="Y38" i="2" a="1"/>
  <c r="Y38" i="2" s="1"/>
  <c r="Z38" i="2" a="1"/>
  <c r="Z38" i="2" s="1"/>
  <c r="N39" i="2"/>
  <c r="O39" i="2"/>
  <c r="P39" i="2"/>
  <c r="X39" i="2" a="1"/>
  <c r="X39" i="2" s="1"/>
  <c r="Y39" i="2" a="1"/>
  <c r="Y39" i="2" s="1"/>
  <c r="Z39" i="2" a="1"/>
  <c r="Z39" i="2" s="1"/>
  <c r="N40" i="2"/>
  <c r="O40" i="2"/>
  <c r="P40" i="2"/>
  <c r="X40" i="2" a="1"/>
  <c r="X40" i="2" s="1"/>
  <c r="Y40" i="2" a="1"/>
  <c r="Y40" i="2" s="1"/>
  <c r="Z40" i="2" a="1"/>
  <c r="Z40" i="2" s="1"/>
  <c r="N41" i="2"/>
  <c r="O41" i="2"/>
  <c r="P41" i="2"/>
  <c r="X41" i="2" a="1"/>
  <c r="X41" i="2" s="1"/>
  <c r="Y41" i="2" a="1"/>
  <c r="Y41" i="2" s="1"/>
  <c r="Z41" i="2" a="1"/>
  <c r="Z41" i="2" s="1"/>
  <c r="N42" i="2"/>
  <c r="O42" i="2"/>
  <c r="P42" i="2"/>
  <c r="X42" i="2" a="1"/>
  <c r="X42" i="2" s="1"/>
  <c r="Y42" i="2" a="1"/>
  <c r="Y42" i="2" s="1"/>
  <c r="Z42" i="2" a="1"/>
  <c r="Z42" i="2" s="1"/>
  <c r="N43" i="2"/>
  <c r="O43" i="2"/>
  <c r="P43" i="2"/>
  <c r="X43" i="2" a="1"/>
  <c r="X43" i="2" s="1"/>
  <c r="Y43" i="2" a="1"/>
  <c r="Y43" i="2" s="1"/>
  <c r="Z43" i="2" a="1"/>
  <c r="Z43" i="2" s="1"/>
  <c r="N44" i="2"/>
  <c r="O44" i="2"/>
  <c r="P44" i="2"/>
  <c r="X44" i="2" a="1"/>
  <c r="X44" i="2" s="1"/>
  <c r="Y44" i="2" a="1"/>
  <c r="Y44" i="2" s="1"/>
  <c r="Z44" i="2" a="1"/>
  <c r="Z44" i="2" s="1"/>
  <c r="N45" i="2"/>
  <c r="O45" i="2"/>
  <c r="P45" i="2"/>
  <c r="X45" i="2" a="1"/>
  <c r="X45" i="2" s="1"/>
  <c r="Y45" i="2" a="1"/>
  <c r="Y45" i="2" s="1"/>
  <c r="Z45" i="2" a="1"/>
  <c r="Z45" i="2" s="1"/>
  <c r="N46" i="2"/>
  <c r="O46" i="2"/>
  <c r="P46" i="2"/>
  <c r="X46" i="2" a="1"/>
  <c r="X46" i="2" s="1"/>
  <c r="Y46" i="2" a="1"/>
  <c r="Y46" i="2" s="1"/>
  <c r="Z46" i="2" a="1"/>
  <c r="Z46" i="2" s="1"/>
  <c r="N47" i="2"/>
  <c r="O47" i="2"/>
  <c r="P47" i="2"/>
  <c r="X47" i="2" a="1"/>
  <c r="X47" i="2" s="1"/>
  <c r="Y47" i="2" a="1"/>
  <c r="Y47" i="2" s="1"/>
  <c r="Z47" i="2" a="1"/>
  <c r="Z47" i="2" s="1"/>
  <c r="N48" i="2"/>
  <c r="O48" i="2"/>
  <c r="P48" i="2"/>
  <c r="X48" i="2" a="1"/>
  <c r="X48" i="2" s="1"/>
  <c r="Y48" i="2" a="1"/>
  <c r="Y48" i="2" s="1"/>
  <c r="Z48" i="2" a="1"/>
  <c r="Z48" i="2" s="1"/>
  <c r="N49" i="2"/>
  <c r="O49" i="2"/>
  <c r="P49" i="2"/>
  <c r="X49" i="2" a="1"/>
  <c r="X49" i="2" s="1"/>
  <c r="Y49" i="2" a="1"/>
  <c r="Y49" i="2" s="1"/>
  <c r="Z49" i="2" a="1"/>
  <c r="Z49" i="2" s="1"/>
  <c r="N50" i="2"/>
  <c r="AG53" i="2" s="1"/>
  <c r="O50" i="2"/>
  <c r="AH70" i="2" s="1"/>
  <c r="P50" i="2"/>
  <c r="AI54" i="2" s="1"/>
  <c r="X50" i="2" a="1"/>
  <c r="X50" i="2" s="1"/>
  <c r="Y50" i="2" a="1"/>
  <c r="Y50" i="2" s="1"/>
  <c r="Z50" i="2" a="1"/>
  <c r="Z50" i="2" s="1"/>
  <c r="N51" i="2"/>
  <c r="O51" i="2"/>
  <c r="P51" i="2"/>
  <c r="X51" i="2" a="1"/>
  <c r="X51" i="2" s="1"/>
  <c r="Y51" i="2" a="1"/>
  <c r="Y51" i="2" s="1"/>
  <c r="Z51" i="2" a="1"/>
  <c r="Z51" i="2" s="1"/>
  <c r="N3" i="2"/>
  <c r="O3" i="2"/>
  <c r="P3" i="2"/>
  <c r="X3" i="2" a="1"/>
  <c r="X3" i="2" s="1"/>
  <c r="Y3" i="2" a="1"/>
  <c r="Y3" i="2" s="1"/>
  <c r="Z3" i="2" a="1"/>
  <c r="Z3" i="2" s="1"/>
  <c r="N4" i="2"/>
  <c r="O4" i="2"/>
  <c r="P4" i="2"/>
  <c r="X4" i="2" a="1"/>
  <c r="X4" i="2" s="1"/>
  <c r="Y4" i="2" a="1"/>
  <c r="Y4" i="2" s="1"/>
  <c r="Z4" i="2" a="1"/>
  <c r="Z4" i="2" s="1"/>
  <c r="N5" i="2"/>
  <c r="O5" i="2"/>
  <c r="P5" i="2"/>
  <c r="X5" i="2" a="1"/>
  <c r="X5" i="2" s="1"/>
  <c r="Y5" i="2" a="1"/>
  <c r="Y5" i="2" s="1"/>
  <c r="Z5" i="2" a="1"/>
  <c r="Z5" i="2" s="1"/>
  <c r="N6" i="2"/>
  <c r="O6" i="2"/>
  <c r="P6" i="2"/>
  <c r="X6" i="2" a="1"/>
  <c r="X6" i="2" s="1"/>
  <c r="Y6" i="2" a="1"/>
  <c r="Y6" i="2" s="1"/>
  <c r="Z6" i="2" a="1"/>
  <c r="Z6" i="2" s="1"/>
  <c r="N7" i="2"/>
  <c r="O7" i="2"/>
  <c r="P7" i="2"/>
  <c r="X7" i="2" a="1"/>
  <c r="X7" i="2" s="1"/>
  <c r="Y7" i="2" a="1"/>
  <c r="Y7" i="2" s="1"/>
  <c r="Z7" i="2" a="1"/>
  <c r="Z7" i="2" s="1"/>
  <c r="N8" i="2"/>
  <c r="O8" i="2"/>
  <c r="P8" i="2"/>
  <c r="X8" i="2" a="1"/>
  <c r="X8" i="2" s="1"/>
  <c r="Y8" i="2" a="1"/>
  <c r="Y8" i="2" s="1"/>
  <c r="Z8" i="2" a="1"/>
  <c r="Z8" i="2" s="1"/>
  <c r="N9" i="2"/>
  <c r="O9" i="2"/>
  <c r="P9" i="2"/>
  <c r="X9" i="2" a="1"/>
  <c r="X9" i="2" s="1"/>
  <c r="Y9" i="2" a="1"/>
  <c r="Y9" i="2" s="1"/>
  <c r="Z9" i="2" a="1"/>
  <c r="Z9" i="2" s="1"/>
  <c r="N10" i="2"/>
  <c r="O10" i="2"/>
  <c r="P10" i="2"/>
  <c r="X10" i="2" a="1"/>
  <c r="X10" i="2" s="1"/>
  <c r="Y10" i="2" a="1"/>
  <c r="Y10" i="2" s="1"/>
  <c r="Z10" i="2" a="1"/>
  <c r="Z10" i="2" s="1"/>
  <c r="N11" i="2"/>
  <c r="O11" i="2"/>
  <c r="X11" i="2" a="1"/>
  <c r="X11" i="2" s="1"/>
  <c r="Y11" i="2" a="1"/>
  <c r="Y11" i="2" s="1"/>
  <c r="Z11" i="2" a="1"/>
  <c r="Z11" i="2" s="1"/>
  <c r="N12" i="2"/>
  <c r="O12" i="2"/>
  <c r="P12" i="2"/>
  <c r="X12" i="2" a="1"/>
  <c r="X12" i="2" s="1"/>
  <c r="Y12" i="2" a="1"/>
  <c r="Y12" i="2" s="1"/>
  <c r="Z12" i="2" a="1"/>
  <c r="Z12" i="2" s="1"/>
  <c r="N13" i="2"/>
  <c r="O13" i="2"/>
  <c r="P13" i="2"/>
  <c r="X13" i="2" a="1"/>
  <c r="X13" i="2" s="1"/>
  <c r="Y13" i="2" a="1"/>
  <c r="Y13" i="2" s="1"/>
  <c r="Z13" i="2" a="1"/>
  <c r="Z13" i="2" s="1"/>
  <c r="N14" i="2"/>
  <c r="O14" i="2"/>
  <c r="P14" i="2"/>
  <c r="X14" i="2" a="1"/>
  <c r="X14" i="2" s="1"/>
  <c r="Y14" i="2" a="1"/>
  <c r="Y14" i="2" s="1"/>
  <c r="Z14" i="2" a="1"/>
  <c r="Z14" i="2" s="1"/>
  <c r="N15" i="2"/>
  <c r="O15" i="2"/>
  <c r="P15" i="2"/>
  <c r="X15" i="2" a="1"/>
  <c r="X15" i="2" s="1"/>
  <c r="Y15" i="2" a="1"/>
  <c r="Y15" i="2" s="1"/>
  <c r="Z15" i="2" a="1"/>
  <c r="Z15" i="2" s="1"/>
  <c r="N16" i="2"/>
  <c r="O16" i="2"/>
  <c r="P16" i="2"/>
  <c r="X16" i="2" a="1"/>
  <c r="X16" i="2" s="1"/>
  <c r="Y16" i="2" a="1"/>
  <c r="Y16" i="2" s="1"/>
  <c r="Z16" i="2" a="1"/>
  <c r="Z16" i="2" s="1"/>
  <c r="N17" i="2"/>
  <c r="O17" i="2"/>
  <c r="P17" i="2"/>
  <c r="X17" i="2" a="1"/>
  <c r="X17" i="2" s="1"/>
  <c r="Y17" i="2" a="1"/>
  <c r="Y17" i="2" s="1"/>
  <c r="Z17" i="2" a="1"/>
  <c r="Z17" i="2" s="1"/>
  <c r="N18" i="2"/>
  <c r="O18" i="2"/>
  <c r="P18" i="2"/>
  <c r="X18" i="2" a="1"/>
  <c r="X18" i="2" s="1"/>
  <c r="Y18" i="2" a="1"/>
  <c r="Y18" i="2" s="1"/>
  <c r="Z18" i="2" a="1"/>
  <c r="Z18" i="2" s="1"/>
  <c r="N19" i="2"/>
  <c r="O19" i="2"/>
  <c r="P19" i="2"/>
  <c r="X19" i="2" a="1"/>
  <c r="X19" i="2" s="1"/>
  <c r="Y19" i="2" a="1"/>
  <c r="Y19" i="2" s="1"/>
  <c r="Z19" i="2" a="1"/>
  <c r="Z19" i="2" s="1"/>
  <c r="N20" i="2"/>
  <c r="O20" i="2"/>
  <c r="P20" i="2"/>
  <c r="X20" i="2" a="1"/>
  <c r="X20" i="2" s="1"/>
  <c r="Y20" i="2" a="1"/>
  <c r="Y20" i="2" s="1"/>
  <c r="Z20" i="2" a="1"/>
  <c r="Z20" i="2" s="1"/>
  <c r="N21" i="2"/>
  <c r="O21" i="2"/>
  <c r="P21" i="2"/>
  <c r="X21" i="2" a="1"/>
  <c r="X21" i="2" s="1"/>
  <c r="Y21" i="2" a="1"/>
  <c r="Y21" i="2" s="1"/>
  <c r="Z21" i="2" a="1"/>
  <c r="Z21" i="2" s="1"/>
  <c r="N22" i="2"/>
  <c r="O22" i="2"/>
  <c r="P22" i="2"/>
  <c r="X22" i="2" a="1"/>
  <c r="X22" i="2" s="1"/>
  <c r="Y22" i="2" a="1"/>
  <c r="Y22" i="2" s="1"/>
  <c r="Z22" i="2" a="1"/>
  <c r="Z22" i="2" s="1"/>
  <c r="N23" i="2"/>
  <c r="O23" i="2"/>
  <c r="P23" i="2"/>
  <c r="X23" i="2" a="1"/>
  <c r="X23" i="2" s="1"/>
  <c r="Y23" i="2" a="1"/>
  <c r="Y23" i="2" s="1"/>
  <c r="Z23" i="2" a="1"/>
  <c r="Z23" i="2" s="1"/>
  <c r="N24" i="2"/>
  <c r="O24" i="2"/>
  <c r="P24" i="2"/>
  <c r="X24" i="2" a="1"/>
  <c r="X24" i="2" s="1"/>
  <c r="Y24" i="2" a="1"/>
  <c r="Y24" i="2" s="1"/>
  <c r="Z24" i="2" a="1"/>
  <c r="Z24" i="2" s="1"/>
  <c r="N25" i="2"/>
  <c r="O25" i="2"/>
  <c r="P25" i="2"/>
  <c r="X25" i="2" a="1"/>
  <c r="X25" i="2" s="1"/>
  <c r="Y25" i="2" a="1"/>
  <c r="Y25" i="2" s="1"/>
  <c r="Z25" i="2" a="1"/>
  <c r="Z25" i="2" s="1"/>
  <c r="N26" i="2"/>
  <c r="O26" i="2"/>
  <c r="P26" i="2"/>
  <c r="X26" i="2" a="1"/>
  <c r="X26" i="2" s="1"/>
  <c r="Y26" i="2" a="1"/>
  <c r="Y26" i="2" s="1"/>
  <c r="Z26" i="2" a="1"/>
  <c r="Z26" i="2" s="1"/>
  <c r="N27" i="2"/>
  <c r="O27" i="2"/>
  <c r="P27" i="2"/>
  <c r="X27" i="2" a="1"/>
  <c r="X27" i="2" s="1"/>
  <c r="Y27" i="2" a="1"/>
  <c r="Y27" i="2" s="1"/>
  <c r="Z27" i="2" a="1"/>
  <c r="Z27" i="2" s="1"/>
  <c r="N28" i="2"/>
  <c r="O28" i="2"/>
  <c r="P28" i="2"/>
  <c r="X28" i="2" a="1"/>
  <c r="X28" i="2" s="1"/>
  <c r="Y28" i="2" a="1"/>
  <c r="Y28" i="2" s="1"/>
  <c r="Z28" i="2" a="1"/>
  <c r="Z28" i="2" s="1"/>
  <c r="N29" i="2"/>
  <c r="O29" i="2"/>
  <c r="P29" i="2"/>
  <c r="X29" i="2" a="1"/>
  <c r="X29" i="2" s="1"/>
  <c r="Y29" i="2" a="1"/>
  <c r="Y29" i="2" s="1"/>
  <c r="Z29" i="2" a="1"/>
  <c r="Z29" i="2" s="1"/>
  <c r="N30" i="2"/>
  <c r="O30" i="2"/>
  <c r="P30" i="2"/>
  <c r="X30" i="2" a="1"/>
  <c r="X30" i="2" s="1"/>
  <c r="Y30" i="2" a="1"/>
  <c r="Y30" i="2" s="1"/>
  <c r="Z30" i="2" a="1"/>
  <c r="Z30" i="2" s="1"/>
  <c r="N31" i="2"/>
  <c r="O31" i="2"/>
  <c r="P31" i="2"/>
  <c r="X31" i="2" a="1"/>
  <c r="X31" i="2" s="1"/>
  <c r="Y31" i="2" a="1"/>
  <c r="Y31" i="2" s="1"/>
  <c r="Z31" i="2" a="1"/>
  <c r="Z31" i="2" s="1"/>
  <c r="N32" i="2"/>
  <c r="O32" i="2"/>
  <c r="P32" i="2"/>
  <c r="X32" i="2" a="1"/>
  <c r="X32" i="2" s="1"/>
  <c r="Y32" i="2" a="1"/>
  <c r="Y32" i="2" s="1"/>
  <c r="Z32" i="2" a="1"/>
  <c r="Z32" i="2" s="1"/>
  <c r="N33" i="2"/>
  <c r="O33" i="2"/>
  <c r="P33" i="2"/>
  <c r="X33" i="2" a="1"/>
  <c r="X33" i="2" s="1"/>
  <c r="Y33" i="2" a="1"/>
  <c r="Y33" i="2" s="1"/>
  <c r="Z33" i="2" a="1"/>
  <c r="Z33" i="2" s="1"/>
  <c r="N34" i="2"/>
  <c r="O34" i="2"/>
  <c r="P34" i="2"/>
  <c r="X34" i="2" a="1"/>
  <c r="X34" i="2" s="1"/>
  <c r="Y34" i="2" a="1"/>
  <c r="Y34" i="2" s="1"/>
  <c r="Z34" i="2" a="1"/>
  <c r="Z34" i="2" s="1"/>
  <c r="N35" i="2"/>
  <c r="O35" i="2"/>
  <c r="P35" i="2"/>
  <c r="X35" i="2" a="1"/>
  <c r="X35" i="2" s="1"/>
  <c r="Y35" i="2" a="1"/>
  <c r="Y35" i="2" s="1"/>
  <c r="Z35" i="2" a="1"/>
  <c r="Z35" i="2" s="1"/>
  <c r="N36" i="2"/>
  <c r="O36" i="2"/>
  <c r="P36" i="2"/>
  <c r="X36" i="2" a="1"/>
  <c r="X36" i="2" s="1"/>
  <c r="Y36" i="2" a="1"/>
  <c r="Y36" i="2" s="1"/>
  <c r="Z36" i="2" a="1"/>
  <c r="Z36" i="2" s="1"/>
  <c r="O2" i="2"/>
  <c r="P2" i="2"/>
  <c r="N2" i="2"/>
  <c r="AA100" i="2"/>
  <c r="AB100" i="2"/>
  <c r="AC100" i="2"/>
  <c r="AD100" i="2"/>
  <c r="AH100" i="2"/>
  <c r="AI100" i="2"/>
  <c r="AB99" i="2"/>
  <c r="AC99" i="2"/>
  <c r="AD99" i="2"/>
  <c r="AH99" i="2"/>
  <c r="AI99" i="2"/>
  <c r="AA99" i="2"/>
  <c r="AA95" i="2"/>
  <c r="AA96" i="2"/>
  <c r="AB96" i="2"/>
  <c r="AC96" i="2"/>
  <c r="AD96" i="2"/>
  <c r="AH96" i="2"/>
  <c r="AI96" i="2"/>
  <c r="AA97" i="2"/>
  <c r="AB97" i="2"/>
  <c r="AC97" i="2"/>
  <c r="AD97" i="2"/>
  <c r="AH97" i="2"/>
  <c r="AI97" i="2"/>
  <c r="AH95" i="2"/>
  <c r="AI95" i="2"/>
  <c r="AB95" i="2"/>
  <c r="AC95" i="2"/>
  <c r="AD95" i="2"/>
  <c r="AF95" i="2"/>
  <c r="AB90" i="2"/>
  <c r="AC90" i="2"/>
  <c r="AD90" i="2"/>
  <c r="AE90" i="2"/>
  <c r="AI90" i="2"/>
  <c r="AA90" i="2"/>
  <c r="AA81" i="2"/>
  <c r="AB81" i="2"/>
  <c r="AC81" i="2"/>
  <c r="AD81" i="2"/>
  <c r="AE81" i="2"/>
  <c r="AG81" i="2"/>
  <c r="AH81" i="2"/>
  <c r="AI81" i="2"/>
  <c r="AA82" i="2"/>
  <c r="AB82" i="2"/>
  <c r="AC82" i="2"/>
  <c r="AD82" i="2"/>
  <c r="AE82" i="2"/>
  <c r="AG82" i="2"/>
  <c r="AH82" i="2"/>
  <c r="AI82" i="2"/>
  <c r="AA83" i="2"/>
  <c r="AB83" i="2"/>
  <c r="AC83" i="2"/>
  <c r="AD83" i="2"/>
  <c r="AE83" i="2"/>
  <c r="AG83" i="2"/>
  <c r="AH83" i="2"/>
  <c r="AI83" i="2"/>
  <c r="AA84" i="2"/>
  <c r="AB84" i="2"/>
  <c r="AC84" i="2"/>
  <c r="AD84" i="2"/>
  <c r="AE84" i="2"/>
  <c r="AG84" i="2"/>
  <c r="AH84" i="2"/>
  <c r="AI84" i="2"/>
  <c r="AA85" i="2"/>
  <c r="AB85" i="2"/>
  <c r="AC85" i="2"/>
  <c r="AD85" i="2"/>
  <c r="AE85" i="2"/>
  <c r="AG85" i="2"/>
  <c r="AA86" i="2"/>
  <c r="AB86" i="2"/>
  <c r="AC86" i="2"/>
  <c r="AD86" i="2"/>
  <c r="AE86" i="2"/>
  <c r="AA87" i="2"/>
  <c r="AB87" i="2"/>
  <c r="AC87" i="2"/>
  <c r="AD87" i="2"/>
  <c r="AE87" i="2"/>
  <c r="AH87" i="2"/>
  <c r="AA88" i="2"/>
  <c r="AB88" i="2"/>
  <c r="AC88" i="2"/>
  <c r="AD88" i="2"/>
  <c r="AE88" i="2"/>
  <c r="AB80" i="2"/>
  <c r="AC80" i="2"/>
  <c r="AD80" i="2"/>
  <c r="AE80" i="2"/>
  <c r="AH80" i="2"/>
  <c r="AA80" i="2"/>
  <c r="AA71" i="2"/>
  <c r="AB71" i="2"/>
  <c r="AC71" i="2"/>
  <c r="AD71" i="2"/>
  <c r="AE71" i="2"/>
  <c r="AI71" i="2"/>
  <c r="AA72" i="2"/>
  <c r="AB72" i="2"/>
  <c r="AC72" i="2"/>
  <c r="AD72" i="2"/>
  <c r="AE72" i="2"/>
  <c r="AG72" i="2"/>
  <c r="AA73" i="2"/>
  <c r="AB73" i="2"/>
  <c r="AC73" i="2"/>
  <c r="AD73" i="2"/>
  <c r="AE73" i="2"/>
  <c r="AI73" i="2"/>
  <c r="AA74" i="2"/>
  <c r="AB74" i="2"/>
  <c r="AC74" i="2"/>
  <c r="AD74" i="2"/>
  <c r="AE74" i="2"/>
  <c r="AG74" i="2"/>
  <c r="AA75" i="2"/>
  <c r="AB75" i="2"/>
  <c r="AC75" i="2"/>
  <c r="AD75" i="2"/>
  <c r="AE75" i="2"/>
  <c r="AA76" i="2"/>
  <c r="AB76" i="2"/>
  <c r="AC76" i="2"/>
  <c r="AD76" i="2"/>
  <c r="AE76" i="2"/>
  <c r="AA77" i="2"/>
  <c r="AB77" i="2"/>
  <c r="AC77" i="2"/>
  <c r="AD77" i="2"/>
  <c r="AE77" i="2"/>
  <c r="AH77" i="2"/>
  <c r="AA78" i="2"/>
  <c r="AB78" i="2"/>
  <c r="AC78" i="2"/>
  <c r="AD78" i="2"/>
  <c r="AE78" i="2"/>
  <c r="AI78" i="2"/>
  <c r="AA64" i="2"/>
  <c r="AB64" i="2"/>
  <c r="AC64" i="2"/>
  <c r="AD64" i="2"/>
  <c r="AE64" i="2"/>
  <c r="AG64" i="2"/>
  <c r="AA65" i="2"/>
  <c r="AB65" i="2"/>
  <c r="AC65" i="2"/>
  <c r="AD65" i="2"/>
  <c r="AE65" i="2"/>
  <c r="AI65" i="2"/>
  <c r="AA66" i="2"/>
  <c r="AB66" i="2"/>
  <c r="AC66" i="2"/>
  <c r="AD66" i="2"/>
  <c r="AE66" i="2"/>
  <c r="AG66" i="2"/>
  <c r="AA67" i="2"/>
  <c r="AB67" i="2"/>
  <c r="AC67" i="2"/>
  <c r="AD67" i="2"/>
  <c r="AE67" i="2"/>
  <c r="AI67" i="2"/>
  <c r="AA68" i="2"/>
  <c r="AB68" i="2"/>
  <c r="AC68" i="2"/>
  <c r="AD68" i="2"/>
  <c r="AE68" i="2"/>
  <c r="AG68" i="2"/>
  <c r="AA69" i="2"/>
  <c r="AB69" i="2"/>
  <c r="AC69" i="2"/>
  <c r="AD69" i="2"/>
  <c r="AE69" i="2"/>
  <c r="AG69" i="2"/>
  <c r="AA70" i="2"/>
  <c r="AB70" i="2"/>
  <c r="AC70" i="2"/>
  <c r="AD70" i="2"/>
  <c r="AE70" i="2"/>
  <c r="AA52" i="2"/>
  <c r="AB52" i="2"/>
  <c r="AC52" i="2"/>
  <c r="AD52" i="2"/>
  <c r="AE52" i="2"/>
  <c r="AA53" i="2"/>
  <c r="AB53" i="2"/>
  <c r="AC53" i="2"/>
  <c r="AD53" i="2"/>
  <c r="AE53" i="2"/>
  <c r="AA54" i="2"/>
  <c r="AB54" i="2"/>
  <c r="AC54" i="2"/>
  <c r="AD54" i="2"/>
  <c r="AE54" i="2"/>
  <c r="AA61" i="2"/>
  <c r="AB61" i="2"/>
  <c r="AC61" i="2"/>
  <c r="AD61" i="2"/>
  <c r="AE61" i="2"/>
  <c r="AA62" i="2"/>
  <c r="AB62" i="2"/>
  <c r="AC62" i="2"/>
  <c r="AD62" i="2"/>
  <c r="AE62" i="2"/>
  <c r="AA63" i="2"/>
  <c r="AB63" i="2"/>
  <c r="AC63" i="2"/>
  <c r="AD63" i="2"/>
  <c r="AE63" i="2"/>
  <c r="AB51" i="2"/>
  <c r="AC51" i="2"/>
  <c r="AD51" i="2"/>
  <c r="AE51" i="2"/>
  <c r="AA51" i="2"/>
  <c r="AA22" i="2"/>
  <c r="AB22" i="2"/>
  <c r="AC22" i="2"/>
  <c r="AD22" i="2"/>
  <c r="AE22" i="2"/>
  <c r="AA23" i="2"/>
  <c r="AB23" i="2"/>
  <c r="AC23" i="2"/>
  <c r="AD23" i="2"/>
  <c r="AE23" i="2"/>
  <c r="AA24" i="2"/>
  <c r="AB24" i="2"/>
  <c r="AC24" i="2"/>
  <c r="AD24" i="2"/>
  <c r="AE24" i="2"/>
  <c r="AA25" i="2"/>
  <c r="AB25" i="2"/>
  <c r="AC25" i="2"/>
  <c r="AD25" i="2"/>
  <c r="AE25" i="2"/>
  <c r="AB21" i="2"/>
  <c r="AC21" i="2"/>
  <c r="AD21" i="2"/>
  <c r="AE21" i="2"/>
  <c r="AA21" i="2"/>
  <c r="AA4" i="2"/>
  <c r="AB4" i="2"/>
  <c r="AC4" i="2"/>
  <c r="AD4" i="2"/>
  <c r="AE4" i="2"/>
  <c r="AA5" i="2"/>
  <c r="AB5" i="2"/>
  <c r="AC5" i="2"/>
  <c r="AD5" i="2"/>
  <c r="AE5" i="2"/>
  <c r="AA6" i="2"/>
  <c r="AB6" i="2"/>
  <c r="AC6" i="2"/>
  <c r="AD6" i="2"/>
  <c r="AE6" i="2"/>
  <c r="AA7" i="2"/>
  <c r="AB7" i="2"/>
  <c r="AC7" i="2"/>
  <c r="AD7" i="2"/>
  <c r="AE7" i="2"/>
  <c r="AB3" i="2"/>
  <c r="AC3" i="2"/>
  <c r="AD3" i="2"/>
  <c r="AE3" i="2"/>
  <c r="AA3" i="2"/>
  <c r="AH251" i="2"/>
  <c r="AH250" i="2"/>
  <c r="AH249" i="2"/>
  <c r="AH248" i="2"/>
  <c r="AH247" i="2"/>
  <c r="AH246" i="2"/>
  <c r="AH245" i="2"/>
  <c r="AH243" i="2"/>
  <c r="AH242" i="2"/>
  <c r="AH241" i="2"/>
  <c r="AH239" i="2"/>
  <c r="AH238" i="2"/>
  <c r="AH237" i="2"/>
  <c r="AH235" i="2"/>
  <c r="AH234" i="2"/>
  <c r="AH233" i="2"/>
  <c r="AH231" i="2"/>
  <c r="AH230" i="2"/>
  <c r="AH229" i="2"/>
  <c r="AH228" i="2"/>
  <c r="AH227" i="2"/>
  <c r="AH226" i="2"/>
  <c r="AH225" i="2"/>
  <c r="AH224" i="2"/>
  <c r="AH223" i="2"/>
  <c r="AH221" i="2"/>
  <c r="AH220" i="2"/>
  <c r="AH219" i="2"/>
  <c r="AH218" i="2"/>
  <c r="AH217" i="2"/>
  <c r="AH216" i="2"/>
  <c r="AH215" i="2"/>
  <c r="AH214" i="2"/>
  <c r="AH213" i="2"/>
  <c r="AH211" i="2"/>
  <c r="AH210" i="2"/>
  <c r="AH209" i="2"/>
  <c r="AH208" i="2"/>
  <c r="AH207" i="2"/>
  <c r="AH206" i="2"/>
  <c r="AH205" i="2"/>
  <c r="AH204" i="2"/>
  <c r="AH203" i="2"/>
  <c r="AH202" i="2"/>
  <c r="AH201" i="2"/>
  <c r="AH200" i="2"/>
  <c r="AH199" i="2"/>
  <c r="AA254" i="2"/>
  <c r="AB254" i="2"/>
  <c r="AC254" i="2"/>
  <c r="AD254" i="2"/>
  <c r="AE254" i="2"/>
  <c r="AA255" i="2"/>
  <c r="AB255" i="2"/>
  <c r="AC255" i="2"/>
  <c r="AD255" i="2"/>
  <c r="AE255" i="2"/>
  <c r="AA256" i="2"/>
  <c r="AB256" i="2"/>
  <c r="AC256" i="2"/>
  <c r="AD256" i="2"/>
  <c r="AE256" i="2"/>
  <c r="AA257" i="2"/>
  <c r="AB257" i="2"/>
  <c r="AC257" i="2"/>
  <c r="AD257" i="2"/>
  <c r="AE257" i="2"/>
  <c r="AA258" i="2"/>
  <c r="AB258" i="2"/>
  <c r="AC258" i="2"/>
  <c r="AD258" i="2"/>
  <c r="AE258" i="2"/>
  <c r="AA259" i="2"/>
  <c r="AB259" i="2"/>
  <c r="AC259" i="2"/>
  <c r="AD259" i="2"/>
  <c r="AE259" i="2"/>
  <c r="AA260" i="2"/>
  <c r="AB260" i="2"/>
  <c r="AC260" i="2"/>
  <c r="AD260" i="2"/>
  <c r="AE260" i="2"/>
  <c r="AA261" i="2"/>
  <c r="AB261" i="2"/>
  <c r="AC261" i="2"/>
  <c r="AD261" i="2"/>
  <c r="AE261" i="2"/>
  <c r="AA262" i="2"/>
  <c r="AB262" i="2"/>
  <c r="AC262" i="2"/>
  <c r="AD262" i="2"/>
  <c r="AE262" i="2"/>
  <c r="AA263" i="2"/>
  <c r="AB263" i="2"/>
  <c r="AC263" i="2"/>
  <c r="AD263" i="2"/>
  <c r="AE263" i="2"/>
  <c r="AA264" i="2"/>
  <c r="AB264" i="2"/>
  <c r="AC264" i="2"/>
  <c r="AD264" i="2"/>
  <c r="AE264" i="2"/>
  <c r="AA265" i="2"/>
  <c r="AB265" i="2"/>
  <c r="AC265" i="2"/>
  <c r="AD265" i="2"/>
  <c r="AE265" i="2"/>
  <c r="AA266" i="2"/>
  <c r="AB266" i="2"/>
  <c r="AC266" i="2"/>
  <c r="AD266" i="2"/>
  <c r="AE266" i="2"/>
  <c r="AA267" i="2"/>
  <c r="AB267" i="2"/>
  <c r="AC267" i="2"/>
  <c r="AD267" i="2"/>
  <c r="AE267" i="2"/>
  <c r="AE253" i="2"/>
  <c r="AB253" i="2"/>
  <c r="AC253" i="2"/>
  <c r="AD253" i="2"/>
  <c r="AA253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N267" i="2"/>
  <c r="N266" i="2"/>
  <c r="N265" i="2"/>
  <c r="N264" i="2"/>
  <c r="N263" i="2"/>
  <c r="N262" i="2"/>
  <c r="AG262" i="2" s="1"/>
  <c r="N261" i="2"/>
  <c r="N260" i="2"/>
  <c r="N259" i="2"/>
  <c r="N258" i="2"/>
  <c r="N257" i="2"/>
  <c r="N256" i="2"/>
  <c r="N255" i="2"/>
  <c r="N254" i="2"/>
  <c r="N253" i="2"/>
  <c r="N252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AA105" i="2"/>
  <c r="AA248" i="2"/>
  <c r="AB248" i="2"/>
  <c r="AC248" i="2"/>
  <c r="AD248" i="2"/>
  <c r="AA249" i="2"/>
  <c r="AB249" i="2"/>
  <c r="AC249" i="2"/>
  <c r="AD249" i="2"/>
  <c r="AA250" i="2"/>
  <c r="AB250" i="2"/>
  <c r="AC250" i="2"/>
  <c r="AD250" i="2"/>
  <c r="AA251" i="2"/>
  <c r="AB251" i="2"/>
  <c r="AC251" i="2"/>
  <c r="AD251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1" i="2"/>
  <c r="M52" i="2"/>
  <c r="M53" i="2"/>
  <c r="M54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AA245" i="2"/>
  <c r="AB245" i="2"/>
  <c r="AC245" i="2"/>
  <c r="AD245" i="2"/>
  <c r="AA246" i="2"/>
  <c r="AB246" i="2"/>
  <c r="AC246" i="2"/>
  <c r="AD246" i="2"/>
  <c r="AA247" i="2"/>
  <c r="AB247" i="2"/>
  <c r="AC247" i="2"/>
  <c r="AD247" i="2"/>
  <c r="M245" i="2"/>
  <c r="M246" i="2"/>
  <c r="M247" i="2"/>
  <c r="M251" i="2"/>
  <c r="M250" i="2"/>
  <c r="M249" i="2"/>
  <c r="M248" i="2"/>
  <c r="M244" i="2"/>
  <c r="X251" i="2"/>
  <c r="X250" i="2"/>
  <c r="X249" i="2"/>
  <c r="X248" i="2"/>
  <c r="X247" i="2"/>
  <c r="X246" i="2"/>
  <c r="X245" i="2"/>
  <c r="X244" i="2"/>
  <c r="N251" i="2"/>
  <c r="N250" i="2"/>
  <c r="N249" i="2"/>
  <c r="N248" i="2"/>
  <c r="AG248" i="2" s="1"/>
  <c r="N247" i="2"/>
  <c r="N246" i="2"/>
  <c r="N245" i="2"/>
  <c r="N244" i="2"/>
  <c r="AA223" i="2"/>
  <c r="AB223" i="2"/>
  <c r="AD223" i="2"/>
  <c r="AA224" i="2"/>
  <c r="AB224" i="2"/>
  <c r="AD224" i="2"/>
  <c r="AA225" i="2"/>
  <c r="AB225" i="2"/>
  <c r="AC225" i="2"/>
  <c r="AD225" i="2"/>
  <c r="AA226" i="2"/>
  <c r="AB226" i="2"/>
  <c r="AD226" i="2"/>
  <c r="AA227" i="2"/>
  <c r="AB227" i="2"/>
  <c r="AC227" i="2"/>
  <c r="AD227" i="2"/>
  <c r="AA228" i="2"/>
  <c r="AB228" i="2"/>
  <c r="AC228" i="2"/>
  <c r="AD228" i="2"/>
  <c r="AA229" i="2"/>
  <c r="AB229" i="2"/>
  <c r="AC229" i="2"/>
  <c r="AD229" i="2"/>
  <c r="AA230" i="2"/>
  <c r="AB230" i="2"/>
  <c r="AC230" i="2"/>
  <c r="AD230" i="2"/>
  <c r="AA231" i="2"/>
  <c r="AB231" i="2"/>
  <c r="AC231" i="2"/>
  <c r="AD231" i="2"/>
  <c r="AF224" i="2"/>
  <c r="AF225" i="2"/>
  <c r="AF226" i="2"/>
  <c r="AF227" i="2"/>
  <c r="AF228" i="2"/>
  <c r="AF229" i="2"/>
  <c r="AF230" i="2"/>
  <c r="AF231" i="2"/>
  <c r="AF223" i="2"/>
  <c r="AA213" i="2"/>
  <c r="AB213" i="2"/>
  <c r="AD213" i="2"/>
  <c r="AA214" i="2"/>
  <c r="AB214" i="2"/>
  <c r="AD214" i="2"/>
  <c r="AA215" i="2"/>
  <c r="AB215" i="2"/>
  <c r="AC215" i="2"/>
  <c r="AD215" i="2"/>
  <c r="AA216" i="2"/>
  <c r="AB216" i="2"/>
  <c r="AD216" i="2"/>
  <c r="AA217" i="2"/>
  <c r="AB217" i="2"/>
  <c r="AC217" i="2"/>
  <c r="AD217" i="2"/>
  <c r="AA218" i="2"/>
  <c r="AB218" i="2"/>
  <c r="AC218" i="2"/>
  <c r="AD218" i="2"/>
  <c r="AA219" i="2"/>
  <c r="AB219" i="2"/>
  <c r="AC219" i="2"/>
  <c r="AD219" i="2"/>
  <c r="AA220" i="2"/>
  <c r="AB220" i="2"/>
  <c r="AC220" i="2"/>
  <c r="AD220" i="2"/>
  <c r="AA221" i="2"/>
  <c r="AB221" i="2"/>
  <c r="AC221" i="2"/>
  <c r="AD221" i="2"/>
  <c r="AF214" i="2"/>
  <c r="AF215" i="2"/>
  <c r="AF216" i="2"/>
  <c r="AF217" i="2"/>
  <c r="AF218" i="2"/>
  <c r="AF219" i="2"/>
  <c r="AF220" i="2"/>
  <c r="AF221" i="2"/>
  <c r="AF213" i="2"/>
  <c r="AA233" i="2"/>
  <c r="AB233" i="2"/>
  <c r="AC233" i="2"/>
  <c r="AD233" i="2"/>
  <c r="AE233" i="2"/>
  <c r="AA234" i="2"/>
  <c r="AB234" i="2"/>
  <c r="AC234" i="2"/>
  <c r="AD234" i="2"/>
  <c r="AE234" i="2"/>
  <c r="AA235" i="2"/>
  <c r="AB235" i="2"/>
  <c r="AC235" i="2"/>
  <c r="AD235" i="2"/>
  <c r="AE235" i="2"/>
  <c r="AA237" i="2"/>
  <c r="AB237" i="2"/>
  <c r="AC237" i="2"/>
  <c r="AD237" i="2"/>
  <c r="AE237" i="2"/>
  <c r="AA238" i="2"/>
  <c r="AB238" i="2"/>
  <c r="AC238" i="2"/>
  <c r="AD238" i="2"/>
  <c r="AE238" i="2"/>
  <c r="AA239" i="2"/>
  <c r="AB239" i="2"/>
  <c r="AC239" i="2"/>
  <c r="AD239" i="2"/>
  <c r="AE239" i="2"/>
  <c r="AA241" i="2"/>
  <c r="AB241" i="2"/>
  <c r="AC241" i="2"/>
  <c r="AD241" i="2"/>
  <c r="AE241" i="2"/>
  <c r="AA242" i="2"/>
  <c r="AB242" i="2"/>
  <c r="AC242" i="2"/>
  <c r="AD242" i="2"/>
  <c r="AE242" i="2"/>
  <c r="AA243" i="2"/>
  <c r="AB243" i="2"/>
  <c r="AC243" i="2"/>
  <c r="AD243" i="2"/>
  <c r="AE243" i="2"/>
  <c r="AG231" i="2"/>
  <c r="AG230" i="2"/>
  <c r="AG229" i="2"/>
  <c r="AG228" i="2"/>
  <c r="AG227" i="2"/>
  <c r="AG226" i="2"/>
  <c r="AG225" i="2"/>
  <c r="AG224" i="2"/>
  <c r="AG223" i="2"/>
  <c r="AG221" i="2"/>
  <c r="AG220" i="2"/>
  <c r="AG219" i="2"/>
  <c r="AG218" i="2"/>
  <c r="AG217" i="2"/>
  <c r="AG216" i="2"/>
  <c r="AG215" i="2"/>
  <c r="AG214" i="2"/>
  <c r="AG213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J231" i="2"/>
  <c r="AE231" i="2" s="1"/>
  <c r="J230" i="2"/>
  <c r="AE230" i="2" s="1"/>
  <c r="J229" i="2"/>
  <c r="AE229" i="2" s="1"/>
  <c r="J228" i="2"/>
  <c r="AE228" i="2" s="1"/>
  <c r="J227" i="2"/>
  <c r="AE227" i="2" s="1"/>
  <c r="J226" i="2"/>
  <c r="AE226" i="2" s="1"/>
  <c r="J225" i="2"/>
  <c r="AE225" i="2" s="1"/>
  <c r="J224" i="2"/>
  <c r="AE224" i="2" s="1"/>
  <c r="J223" i="2"/>
  <c r="AE223" i="2" s="1"/>
  <c r="J221" i="2"/>
  <c r="AE221" i="2" s="1"/>
  <c r="J220" i="2"/>
  <c r="AE220" i="2" s="1"/>
  <c r="J219" i="2"/>
  <c r="AE219" i="2" s="1"/>
  <c r="J218" i="2"/>
  <c r="AE218" i="2" s="1"/>
  <c r="J217" i="2"/>
  <c r="AE217" i="2" s="1"/>
  <c r="J216" i="2"/>
  <c r="AE216" i="2" s="1"/>
  <c r="J215" i="2"/>
  <c r="AE215" i="2" s="1"/>
  <c r="J214" i="2"/>
  <c r="AE214" i="2" s="1"/>
  <c r="J213" i="2"/>
  <c r="AE213" i="2" s="1"/>
  <c r="H226" i="2"/>
  <c r="AC226" i="2" s="1"/>
  <c r="H224" i="2"/>
  <c r="AC224" i="2" s="1"/>
  <c r="H223" i="2"/>
  <c r="AC223" i="2" s="1"/>
  <c r="H216" i="2"/>
  <c r="AC216" i="2" s="1"/>
  <c r="H214" i="2"/>
  <c r="AC214" i="2" s="1"/>
  <c r="H213" i="2"/>
  <c r="AC213" i="2" s="1"/>
  <c r="J211" i="2"/>
  <c r="AD211" i="2" s="1"/>
  <c r="AA199" i="2"/>
  <c r="AB199" i="2"/>
  <c r="AC199" i="2"/>
  <c r="AD199" i="2"/>
  <c r="AE199" i="2"/>
  <c r="AA200" i="2"/>
  <c r="AB200" i="2"/>
  <c r="AC200" i="2"/>
  <c r="AD200" i="2"/>
  <c r="AE200" i="2"/>
  <c r="AA201" i="2"/>
  <c r="AB201" i="2"/>
  <c r="AC201" i="2"/>
  <c r="AD201" i="2"/>
  <c r="AE201" i="2"/>
  <c r="AF201" i="2"/>
  <c r="AA202" i="2"/>
  <c r="AB202" i="2"/>
  <c r="AC202" i="2"/>
  <c r="AD202" i="2"/>
  <c r="AE202" i="2"/>
  <c r="AF202" i="2"/>
  <c r="AA203" i="2"/>
  <c r="AB203" i="2"/>
  <c r="AC203" i="2"/>
  <c r="AD203" i="2"/>
  <c r="AE203" i="2"/>
  <c r="AA204" i="2"/>
  <c r="AB204" i="2"/>
  <c r="AC204" i="2"/>
  <c r="AD204" i="2"/>
  <c r="AE204" i="2"/>
  <c r="AA205" i="2"/>
  <c r="AB205" i="2"/>
  <c r="AC205" i="2"/>
  <c r="AE205" i="2"/>
  <c r="AF205" i="2"/>
  <c r="AA206" i="2"/>
  <c r="AB206" i="2"/>
  <c r="AC206" i="2"/>
  <c r="AE206" i="2"/>
  <c r="AA207" i="2"/>
  <c r="AB207" i="2"/>
  <c r="AC207" i="2"/>
  <c r="AE207" i="2"/>
  <c r="AA208" i="2"/>
  <c r="AB208" i="2"/>
  <c r="AC208" i="2"/>
  <c r="AE208" i="2"/>
  <c r="AF208" i="2"/>
  <c r="AA209" i="2"/>
  <c r="AB209" i="2"/>
  <c r="AC209" i="2"/>
  <c r="AE209" i="2"/>
  <c r="AF209" i="2"/>
  <c r="AA210" i="2"/>
  <c r="AB210" i="2"/>
  <c r="AC210" i="2"/>
  <c r="AE210" i="2"/>
  <c r="AA211" i="2"/>
  <c r="AB211" i="2"/>
  <c r="AC211" i="2"/>
  <c r="AE211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199" i="2"/>
  <c r="M211" i="2"/>
  <c r="AF211" i="2" s="1"/>
  <c r="M210" i="2"/>
  <c r="AF210" i="2" s="1"/>
  <c r="M207" i="2"/>
  <c r="AF207" i="2" s="1"/>
  <c r="M206" i="2"/>
  <c r="AF206" i="2" s="1"/>
  <c r="M204" i="2"/>
  <c r="AF204" i="2" s="1"/>
  <c r="M203" i="2"/>
  <c r="AF203" i="2" s="1"/>
  <c r="M200" i="2"/>
  <c r="AF200" i="2" s="1"/>
  <c r="M199" i="2"/>
  <c r="AF199" i="2" s="1"/>
  <c r="J210" i="2"/>
  <c r="AD210" i="2" s="1"/>
  <c r="J209" i="2"/>
  <c r="AD209" i="2" s="1"/>
  <c r="J208" i="2"/>
  <c r="AD208" i="2" s="1"/>
  <c r="J207" i="2"/>
  <c r="AD207" i="2" s="1"/>
  <c r="J206" i="2"/>
  <c r="AD206" i="2" s="1"/>
  <c r="J205" i="2"/>
  <c r="AD205" i="2" s="1"/>
  <c r="K160" i="2"/>
  <c r="K161" i="2"/>
  <c r="K162" i="2"/>
  <c r="K163" i="2"/>
  <c r="K164" i="2"/>
  <c r="K159" i="2"/>
  <c r="K148" i="2"/>
  <c r="K149" i="2"/>
  <c r="K150" i="2"/>
  <c r="K151" i="2"/>
  <c r="K152" i="2"/>
  <c r="K153" i="2"/>
  <c r="K154" i="2"/>
  <c r="K155" i="2"/>
  <c r="K156" i="2"/>
  <c r="K157" i="2"/>
  <c r="K158" i="2"/>
  <c r="K147" i="2"/>
  <c r="K146" i="2"/>
  <c r="K136" i="2"/>
  <c r="K137" i="2"/>
  <c r="K138" i="2"/>
  <c r="K139" i="2"/>
  <c r="K140" i="2"/>
  <c r="K141" i="2"/>
  <c r="K142" i="2"/>
  <c r="K143" i="2"/>
  <c r="K144" i="2"/>
  <c r="K145" i="2"/>
  <c r="K135" i="2"/>
  <c r="K131" i="2"/>
  <c r="K126" i="2"/>
  <c r="K121" i="2"/>
  <c r="K116" i="2"/>
  <c r="K111" i="2"/>
  <c r="K106" i="2"/>
  <c r="K101" i="2"/>
  <c r="AA171" i="2"/>
  <c r="AA172" i="2"/>
  <c r="AA170" i="2"/>
  <c r="AA167" i="2"/>
  <c r="AA168" i="2"/>
  <c r="AB159" i="2"/>
  <c r="AC159" i="2"/>
  <c r="AD159" i="2"/>
  <c r="AG159" i="2"/>
  <c r="AB157" i="2"/>
  <c r="AC157" i="2"/>
  <c r="AD157" i="2"/>
  <c r="AE157" i="2"/>
  <c r="AF157" i="2"/>
  <c r="AB158" i="2"/>
  <c r="AC158" i="2"/>
  <c r="AD158" i="2"/>
  <c r="AE158" i="2"/>
  <c r="AF158" i="2"/>
  <c r="AA158" i="2"/>
  <c r="AA157" i="2"/>
  <c r="AA155" i="2"/>
  <c r="AB155" i="2"/>
  <c r="AC155" i="2"/>
  <c r="AD155" i="2"/>
  <c r="AE155" i="2"/>
  <c r="AF155" i="2"/>
  <c r="AB154" i="2"/>
  <c r="AC154" i="2"/>
  <c r="AD154" i="2"/>
  <c r="AE154" i="2"/>
  <c r="AF154" i="2"/>
  <c r="AA154" i="2"/>
  <c r="AC136" i="2"/>
  <c r="AD136" i="2"/>
  <c r="AF136" i="2"/>
  <c r="AD137" i="2"/>
  <c r="AE137" i="2"/>
  <c r="AF137" i="2"/>
  <c r="AA137" i="2"/>
  <c r="AA136" i="2"/>
  <c r="AC139" i="2"/>
  <c r="AD139" i="2"/>
  <c r="AE139" i="2"/>
  <c r="AF139" i="2"/>
  <c r="AD140" i="2"/>
  <c r="AE140" i="2"/>
  <c r="AF140" i="2"/>
  <c r="AA140" i="2"/>
  <c r="AA139" i="2"/>
  <c r="AC142" i="2"/>
  <c r="AD142" i="2"/>
  <c r="AE142" i="2"/>
  <c r="AF142" i="2"/>
  <c r="AD143" i="2"/>
  <c r="AE143" i="2"/>
  <c r="AF143" i="2"/>
  <c r="AA143" i="2"/>
  <c r="AA142" i="2"/>
  <c r="AC145" i="2"/>
  <c r="AD145" i="2"/>
  <c r="AE145" i="2"/>
  <c r="AF145" i="2"/>
  <c r="AD146" i="2"/>
  <c r="AE146" i="2"/>
  <c r="AF146" i="2"/>
  <c r="AA146" i="2"/>
  <c r="AA145" i="2"/>
  <c r="AB148" i="2"/>
  <c r="AC148" i="2"/>
  <c r="AD148" i="2"/>
  <c r="AE148" i="2"/>
  <c r="AF148" i="2"/>
  <c r="AB149" i="2"/>
  <c r="AC149" i="2"/>
  <c r="AD149" i="2"/>
  <c r="AE149" i="2"/>
  <c r="AF149" i="2"/>
  <c r="AA149" i="2"/>
  <c r="AA148" i="2"/>
  <c r="AF151" i="2"/>
  <c r="AB151" i="2"/>
  <c r="AC151" i="2"/>
  <c r="AD151" i="2"/>
  <c r="AE151" i="2"/>
  <c r="AB152" i="2"/>
  <c r="AC152" i="2"/>
  <c r="AD152" i="2"/>
  <c r="AE152" i="2"/>
  <c r="AF152" i="2"/>
  <c r="AG151" i="2"/>
  <c r="AG152" i="2"/>
  <c r="AA152" i="2"/>
  <c r="AA151" i="2"/>
  <c r="AG145" i="2"/>
  <c r="AG146" i="2"/>
  <c r="AA132" i="2"/>
  <c r="AC132" i="2"/>
  <c r="AD132" i="2"/>
  <c r="AE132" i="2"/>
  <c r="AA133" i="2"/>
  <c r="AC133" i="2"/>
  <c r="AD133" i="2"/>
  <c r="AE133" i="2"/>
  <c r="AA134" i="2"/>
  <c r="AC134" i="2"/>
  <c r="AD134" i="2"/>
  <c r="AE134" i="2"/>
  <c r="AF133" i="2"/>
  <c r="AF134" i="2"/>
  <c r="AF132" i="2"/>
  <c r="AA127" i="2"/>
  <c r="AC127" i="2"/>
  <c r="AD127" i="2"/>
  <c r="AE127" i="2"/>
  <c r="AA128" i="2"/>
  <c r="AC128" i="2"/>
  <c r="AD128" i="2"/>
  <c r="AE128" i="2"/>
  <c r="AA129" i="2"/>
  <c r="AC129" i="2"/>
  <c r="AD129" i="2"/>
  <c r="AE129" i="2"/>
  <c r="AA130" i="2"/>
  <c r="AC130" i="2"/>
  <c r="AD130" i="2"/>
  <c r="AE130" i="2"/>
  <c r="AF128" i="2"/>
  <c r="AF129" i="2"/>
  <c r="AF130" i="2"/>
  <c r="AF127" i="2"/>
  <c r="AA122" i="2"/>
  <c r="AC122" i="2"/>
  <c r="AD122" i="2"/>
  <c r="AE122" i="2"/>
  <c r="AA123" i="2"/>
  <c r="AC123" i="2"/>
  <c r="AD123" i="2"/>
  <c r="AE123" i="2"/>
  <c r="AA124" i="2"/>
  <c r="AC124" i="2"/>
  <c r="AD124" i="2"/>
  <c r="AE124" i="2"/>
  <c r="AA125" i="2"/>
  <c r="AC125" i="2"/>
  <c r="AD125" i="2"/>
  <c r="AE125" i="2"/>
  <c r="AF123" i="2"/>
  <c r="AF124" i="2"/>
  <c r="AF125" i="2"/>
  <c r="AF122" i="2"/>
  <c r="AA117" i="2"/>
  <c r="AC117" i="2"/>
  <c r="AD117" i="2"/>
  <c r="AE117" i="2"/>
  <c r="AA118" i="2"/>
  <c r="AC118" i="2"/>
  <c r="AD118" i="2"/>
  <c r="AE118" i="2"/>
  <c r="AA119" i="2"/>
  <c r="AC119" i="2"/>
  <c r="AD119" i="2"/>
  <c r="AE119" i="2"/>
  <c r="AA120" i="2"/>
  <c r="AC120" i="2"/>
  <c r="AD120" i="2"/>
  <c r="AE120" i="2"/>
  <c r="AF118" i="2"/>
  <c r="AF119" i="2"/>
  <c r="AF120" i="2"/>
  <c r="AF117" i="2"/>
  <c r="AA112" i="2"/>
  <c r="AC112" i="2"/>
  <c r="AD112" i="2"/>
  <c r="AE112" i="2"/>
  <c r="AA113" i="2"/>
  <c r="AC113" i="2"/>
  <c r="AD113" i="2"/>
  <c r="AE113" i="2"/>
  <c r="AA114" i="2"/>
  <c r="AC114" i="2"/>
  <c r="AD114" i="2"/>
  <c r="AE114" i="2"/>
  <c r="AA115" i="2"/>
  <c r="AC115" i="2"/>
  <c r="AD115" i="2"/>
  <c r="AE115" i="2"/>
  <c r="AF113" i="2"/>
  <c r="AF114" i="2"/>
  <c r="AF115" i="2"/>
  <c r="AF112" i="2"/>
  <c r="AA107" i="2"/>
  <c r="AC107" i="2"/>
  <c r="AD107" i="2"/>
  <c r="AE107" i="2"/>
  <c r="AA108" i="2"/>
  <c r="AC108" i="2"/>
  <c r="AD108" i="2"/>
  <c r="AE108" i="2"/>
  <c r="AA109" i="2"/>
  <c r="AC109" i="2"/>
  <c r="AD109" i="2"/>
  <c r="AE109" i="2"/>
  <c r="AA110" i="2"/>
  <c r="AC110" i="2"/>
  <c r="AD110" i="2"/>
  <c r="AE110" i="2"/>
  <c r="AF108" i="2"/>
  <c r="AF109" i="2"/>
  <c r="AF110" i="2"/>
  <c r="AF107" i="2"/>
  <c r="AC102" i="2"/>
  <c r="AD102" i="2"/>
  <c r="AA103" i="2"/>
  <c r="AC103" i="2"/>
  <c r="AD103" i="2"/>
  <c r="AA104" i="2"/>
  <c r="AC104" i="2"/>
  <c r="AD104" i="2"/>
  <c r="AC105" i="2"/>
  <c r="AD105" i="2"/>
  <c r="N90" i="2"/>
  <c r="X90" i="2"/>
  <c r="X92" i="2"/>
  <c r="AB160" i="2"/>
  <c r="AC160" i="2"/>
  <c r="AD160" i="2"/>
  <c r="AG160" i="2"/>
  <c r="X162" i="2"/>
  <c r="X164" i="2"/>
  <c r="X160" i="2"/>
  <c r="M164" i="2"/>
  <c r="M163" i="2"/>
  <c r="AF163" i="2" s="1"/>
  <c r="M162" i="2"/>
  <c r="M161" i="2"/>
  <c r="AF161" i="2" s="1"/>
  <c r="M160" i="2"/>
  <c r="M159" i="2"/>
  <c r="AF159" i="2" s="1"/>
  <c r="AA163" i="2"/>
  <c r="AA161" i="2"/>
  <c r="AG158" i="2"/>
  <c r="AG157" i="2"/>
  <c r="AG155" i="2"/>
  <c r="AG154" i="2"/>
  <c r="AG149" i="2"/>
  <c r="AG148" i="2"/>
  <c r="I140" i="2"/>
  <c r="AC140" i="2" s="1"/>
  <c r="I143" i="2"/>
  <c r="AC143" i="2" s="1"/>
  <c r="I146" i="2"/>
  <c r="AC146" i="2" s="1"/>
  <c r="I137" i="2"/>
  <c r="AC137" i="2" s="1"/>
  <c r="H144" i="2"/>
  <c r="AB145" i="2" s="1"/>
  <c r="H141" i="2"/>
  <c r="AB143" i="2" s="1"/>
  <c r="H138" i="2"/>
  <c r="AB139" i="2" s="1"/>
  <c r="H135" i="2"/>
  <c r="AB137" i="2" s="1"/>
  <c r="AG143" i="2"/>
  <c r="AG142" i="2"/>
  <c r="AG140" i="2"/>
  <c r="AG139" i="2"/>
  <c r="AG137" i="2"/>
  <c r="AG136" i="2"/>
  <c r="H134" i="2"/>
  <c r="AB134" i="2" s="1"/>
  <c r="H133" i="2"/>
  <c r="AB133" i="2" s="1"/>
  <c r="H132" i="2"/>
  <c r="AB132" i="2" s="1"/>
  <c r="H130" i="2"/>
  <c r="AB130" i="2" s="1"/>
  <c r="H129" i="2"/>
  <c r="AB129" i="2" s="1"/>
  <c r="H128" i="2"/>
  <c r="AB128" i="2" s="1"/>
  <c r="H127" i="2"/>
  <c r="AB127" i="2" s="1"/>
  <c r="H125" i="2"/>
  <c r="AB125" i="2" s="1"/>
  <c r="H124" i="2"/>
  <c r="AB124" i="2" s="1"/>
  <c r="H123" i="2"/>
  <c r="AB123" i="2" s="1"/>
  <c r="H122" i="2"/>
  <c r="AB122" i="2" s="1"/>
  <c r="H120" i="2"/>
  <c r="AB120" i="2" s="1"/>
  <c r="H119" i="2"/>
  <c r="AB119" i="2" s="1"/>
  <c r="H118" i="2"/>
  <c r="AB118" i="2" s="1"/>
  <c r="H117" i="2"/>
  <c r="AB117" i="2" s="1"/>
  <c r="H115" i="2"/>
  <c r="AB115" i="2" s="1"/>
  <c r="H114" i="2"/>
  <c r="AB114" i="2" s="1"/>
  <c r="H113" i="2"/>
  <c r="AB113" i="2" s="1"/>
  <c r="H112" i="2"/>
  <c r="AB112" i="2" s="1"/>
  <c r="H110" i="2"/>
  <c r="AB110" i="2" s="1"/>
  <c r="H109" i="2"/>
  <c r="AB109" i="2" s="1"/>
  <c r="H108" i="2"/>
  <c r="AB108" i="2" s="1"/>
  <c r="H107" i="2"/>
  <c r="AB107" i="2" s="1"/>
  <c r="H105" i="2"/>
  <c r="AB105" i="2" s="1"/>
  <c r="H104" i="2"/>
  <c r="AB104" i="2" s="1"/>
  <c r="H103" i="2"/>
  <c r="AB103" i="2" s="1"/>
  <c r="H102" i="2"/>
  <c r="AB102" i="2" s="1"/>
  <c r="X100" i="2"/>
  <c r="X99" i="2"/>
  <c r="X98" i="2"/>
  <c r="N100" i="2"/>
  <c r="N99" i="2"/>
  <c r="N98" i="2"/>
  <c r="M97" i="2"/>
  <c r="AF97" i="2" s="1"/>
  <c r="M96" i="2"/>
  <c r="AF96" i="2" s="1"/>
  <c r="M90" i="2"/>
  <c r="M89" i="2"/>
  <c r="M99" i="2"/>
  <c r="AF99" i="2" s="1"/>
  <c r="M100" i="2"/>
  <c r="AF102" i="2" s="1"/>
  <c r="L100" i="2"/>
  <c r="AE104" i="2" s="1"/>
  <c r="L99" i="2"/>
  <c r="L98" i="2"/>
  <c r="X97" i="2"/>
  <c r="X96" i="2"/>
  <c r="X95" i="2"/>
  <c r="X93" i="2"/>
  <c r="N97" i="2"/>
  <c r="N96" i="2"/>
  <c r="N95" i="2"/>
  <c r="N93" i="2"/>
  <c r="N92" i="2"/>
  <c r="L97" i="2"/>
  <c r="AE97" i="2" s="1"/>
  <c r="L96" i="2"/>
  <c r="AE96" i="2" s="1"/>
  <c r="L95" i="2"/>
  <c r="AE95" i="2" s="1"/>
  <c r="L92" i="2"/>
  <c r="Y2" i="2" a="1"/>
  <c r="Y2" i="2" s="1"/>
  <c r="Z2" i="2" a="1"/>
  <c r="Z2" i="2" s="1"/>
  <c r="X2" i="2" a="1"/>
  <c r="X2" i="2" s="1"/>
  <c r="AT341" i="4" l="1" a="1"/>
  <c r="AT341" i="4" s="1"/>
  <c r="AL341" i="4" a="1"/>
  <c r="AL341" i="4" s="1"/>
  <c r="AH341" i="4" a="1"/>
  <c r="AH341" i="4" s="1"/>
  <c r="AP341" i="4" a="1"/>
  <c r="AP341" i="4" s="1"/>
  <c r="AU344" i="4" a="1"/>
  <c r="AU344" i="4" s="1"/>
  <c r="AQ344" i="4" a="1"/>
  <c r="AQ344" i="4" s="1"/>
  <c r="AM344" i="4" a="1"/>
  <c r="AM344" i="4" s="1"/>
  <c r="AI344" i="4" a="1"/>
  <c r="AI344" i="4" s="1"/>
  <c r="AE344" i="4" a="1"/>
  <c r="AE344" i="4" s="1"/>
  <c r="AT342" i="4" a="1"/>
  <c r="AT342" i="4" s="1"/>
  <c r="AP342" i="4" a="1"/>
  <c r="AP342" i="4" s="1"/>
  <c r="AL342" i="4" a="1"/>
  <c r="AL342" i="4" s="1"/>
  <c r="AH342" i="4" a="1"/>
  <c r="AH342" i="4" s="1"/>
  <c r="AW341" i="4" a="1"/>
  <c r="AW341" i="4" s="1"/>
  <c r="AO341" i="4" a="1"/>
  <c r="AO341" i="4" s="1"/>
  <c r="AK341" i="4" a="1"/>
  <c r="AK341" i="4" s="1"/>
  <c r="AG341" i="4" a="1"/>
  <c r="AG341" i="4" s="1"/>
  <c r="AS341" i="4" a="1"/>
  <c r="AS341" i="4" s="1"/>
  <c r="AT344" i="4" a="1"/>
  <c r="AT344" i="4" s="1"/>
  <c r="AP344" i="4" a="1"/>
  <c r="AP344" i="4" s="1"/>
  <c r="AL344" i="4" a="1"/>
  <c r="AL344" i="4" s="1"/>
  <c r="AH344" i="4" a="1"/>
  <c r="AH344" i="4" s="1"/>
  <c r="AW342" i="4" a="1"/>
  <c r="AW342" i="4" s="1"/>
  <c r="AS342" i="4" a="1"/>
  <c r="AS342" i="4" s="1"/>
  <c r="AO342" i="4" a="1"/>
  <c r="AO342" i="4" s="1"/>
  <c r="AK342" i="4" a="1"/>
  <c r="AK342" i="4" s="1"/>
  <c r="AG342" i="4" a="1"/>
  <c r="AG342" i="4" s="1"/>
  <c r="AV341" i="4" a="1"/>
  <c r="AV341" i="4" s="1"/>
  <c r="AJ341" i="4" a="1"/>
  <c r="AJ341" i="4" s="1"/>
  <c r="AF341" i="4" a="1"/>
  <c r="AF341" i="4" s="1"/>
  <c r="AR341" i="4" a="1"/>
  <c r="AR341" i="4" s="1"/>
  <c r="AN341" i="4" a="1"/>
  <c r="AN341" i="4" s="1"/>
  <c r="AW344" i="4" a="1"/>
  <c r="AW344" i="4" s="1"/>
  <c r="AS344" i="4" a="1"/>
  <c r="AS344" i="4" s="1"/>
  <c r="AO344" i="4" a="1"/>
  <c r="AO344" i="4" s="1"/>
  <c r="AK344" i="4" a="1"/>
  <c r="AK344" i="4" s="1"/>
  <c r="AG344" i="4" a="1"/>
  <c r="AG344" i="4" s="1"/>
  <c r="AV342" i="4" a="1"/>
  <c r="AV342" i="4" s="1"/>
  <c r="AR342" i="4" a="1"/>
  <c r="AR342" i="4" s="1"/>
  <c r="AN342" i="4" a="1"/>
  <c r="AN342" i="4" s="1"/>
  <c r="AJ342" i="4" a="1"/>
  <c r="AJ342" i="4" s="1"/>
  <c r="AF342" i="4" a="1"/>
  <c r="AF342" i="4" s="1"/>
  <c r="AU341" i="4" a="1"/>
  <c r="AU341" i="4" s="1"/>
  <c r="AI341" i="4" a="1"/>
  <c r="AI341" i="4" s="1"/>
  <c r="AQ341" i="4" a="1"/>
  <c r="AQ341" i="4" s="1"/>
  <c r="AM341" i="4" a="1"/>
  <c r="AM341" i="4" s="1"/>
  <c r="AV344" i="4" a="1"/>
  <c r="AV344" i="4" s="1"/>
  <c r="AR344" i="4" a="1"/>
  <c r="AR344" i="4" s="1"/>
  <c r="AN344" i="4" a="1"/>
  <c r="AN344" i="4" s="1"/>
  <c r="AJ344" i="4" a="1"/>
  <c r="AJ344" i="4" s="1"/>
  <c r="AU342" i="4" a="1"/>
  <c r="AU342" i="4" s="1"/>
  <c r="AQ342" i="4" a="1"/>
  <c r="AQ342" i="4" s="1"/>
  <c r="AM342" i="4" a="1"/>
  <c r="AM342" i="4" s="1"/>
  <c r="AI342" i="4" a="1"/>
  <c r="AI342" i="4" s="1"/>
  <c r="AM57" i="4" a="1"/>
  <c r="AM57" i="4" s="1"/>
  <c r="AP57" i="4" a="1"/>
  <c r="AP57" i="4" s="1"/>
  <c r="AW3" i="4" a="1"/>
  <c r="AW3" i="4" s="1"/>
  <c r="AH51" i="2"/>
  <c r="AG88" i="2"/>
  <c r="AM321" i="4" a="1"/>
  <c r="AM321" i="4" s="1"/>
  <c r="AM128" i="4"/>
  <c r="AM134" i="4"/>
  <c r="AJ48" i="4"/>
  <c r="AN317" i="4" a="1"/>
  <c r="AN317" i="4" s="1"/>
  <c r="AP61" i="4" a="1"/>
  <c r="AP61" i="4" s="1"/>
  <c r="AW8" i="4" a="1"/>
  <c r="AW8" i="4" s="1"/>
  <c r="AL317" i="4" a="1"/>
  <c r="AL317" i="4" s="1"/>
  <c r="AW340" i="4" a="1"/>
  <c r="AW340" i="4" s="1"/>
  <c r="AO340" i="4" a="1"/>
  <c r="AO340" i="4" s="1"/>
  <c r="AU339" i="4" a="1"/>
  <c r="AU339" i="4" s="1"/>
  <c r="AE339" i="4" a="1"/>
  <c r="AE339" i="4" s="1"/>
  <c r="AW337" i="4" a="1"/>
  <c r="AW337" i="4" s="1"/>
  <c r="AV336" i="4" a="1"/>
  <c r="AV336" i="4" s="1"/>
  <c r="AM336" i="4" a="1"/>
  <c r="AM336" i="4" s="1"/>
  <c r="AS335" i="4" a="1"/>
  <c r="AS335" i="4" s="1"/>
  <c r="AE329" i="4" a="1"/>
  <c r="AE329" i="4" s="1"/>
  <c r="AO334" i="4" a="1"/>
  <c r="AO334" i="4" s="1"/>
  <c r="AL332" i="4" a="1"/>
  <c r="AL332" i="4" s="1"/>
  <c r="AN331" i="4" a="1"/>
  <c r="AN331" i="4" s="1"/>
  <c r="AU330" i="4" a="1"/>
  <c r="AU330" i="4" s="1"/>
  <c r="AG330" i="4" a="1"/>
  <c r="AG330" i="4" s="1"/>
  <c r="AE328" i="4" a="1"/>
  <c r="AE328" i="4" s="1"/>
  <c r="AW326" i="4" a="1"/>
  <c r="AW326" i="4" s="1"/>
  <c r="AO326" i="4" a="1"/>
  <c r="AO326" i="4" s="1"/>
  <c r="AE326" i="4" a="1"/>
  <c r="AE326" i="4" s="1"/>
  <c r="AQ324" i="4" a="1"/>
  <c r="AQ324" i="4" s="1"/>
  <c r="AE323" i="4" a="1"/>
  <c r="AE323" i="4" s="1"/>
  <c r="AI322" i="4" a="1"/>
  <c r="AI322" i="4" s="1"/>
  <c r="AS320" i="4" a="1"/>
  <c r="AS320" i="4" s="1"/>
  <c r="AH320" i="4" a="1"/>
  <c r="AH320" i="4" s="1"/>
  <c r="AS318" i="4" a="1"/>
  <c r="AS318" i="4" s="1"/>
  <c r="AH318" i="4" a="1"/>
  <c r="AH318" i="4" s="1"/>
  <c r="AP59" i="4" a="1"/>
  <c r="AP59" i="4" s="1"/>
  <c r="AE28" i="4" a="1"/>
  <c r="AE28" i="4" s="1"/>
  <c r="AW42" i="4" a="1"/>
  <c r="AW42" i="4" s="1"/>
  <c r="AK27" i="4" a="1"/>
  <c r="AK27" i="4" s="1"/>
  <c r="AM317" i="4" a="1"/>
  <c r="AM317" i="4" s="1"/>
  <c r="AN340" i="4" a="1"/>
  <c r="AN340" i="4" s="1"/>
  <c r="AT339" i="4" a="1"/>
  <c r="AT339" i="4" s="1"/>
  <c r="AT336" i="4" a="1"/>
  <c r="AT336" i="4" s="1"/>
  <c r="AE336" i="4" a="1"/>
  <c r="AE336" i="4" s="1"/>
  <c r="AP335" i="4" a="1"/>
  <c r="AP335" i="4" s="1"/>
  <c r="AW334" i="4" a="1"/>
  <c r="AW334" i="4" s="1"/>
  <c r="AM334" i="4" a="1"/>
  <c r="AM334" i="4" s="1"/>
  <c r="AK332" i="4" a="1"/>
  <c r="AK332" i="4" s="1"/>
  <c r="AT330" i="4" a="1"/>
  <c r="AT330" i="4" s="1"/>
  <c r="AF328" i="4" a="1"/>
  <c r="AF328" i="4" s="1"/>
  <c r="AV326" i="4" a="1"/>
  <c r="AV326" i="4" s="1"/>
  <c r="AN326" i="4" a="1"/>
  <c r="AN326" i="4" s="1"/>
  <c r="AO324" i="4" a="1"/>
  <c r="AO324" i="4" s="1"/>
  <c r="AV322" i="4" a="1"/>
  <c r="AV322" i="4" s="1"/>
  <c r="AF322" i="4" a="1"/>
  <c r="AF322" i="4" s="1"/>
  <c r="AQ320" i="4" a="1"/>
  <c r="AQ320" i="4" s="1"/>
  <c r="AG320" i="4" a="1"/>
  <c r="AG320" i="4" s="1"/>
  <c r="AR318" i="4" a="1"/>
  <c r="AR318" i="4" s="1"/>
  <c r="AG318" i="4" a="1"/>
  <c r="AG318" i="4" s="1"/>
  <c r="AV340" i="4" a="1"/>
  <c r="AV340" i="4" s="1"/>
  <c r="AK340" i="4" a="1"/>
  <c r="AK340" i="4" s="1"/>
  <c r="AS339" i="4" a="1"/>
  <c r="AS339" i="4" s="1"/>
  <c r="AR337" i="4" a="1"/>
  <c r="AR337" i="4" s="1"/>
  <c r="AJ336" i="4" a="1"/>
  <c r="AJ336" i="4" s="1"/>
  <c r="AL336" i="4" a="1"/>
  <c r="AL336" i="4" s="1"/>
  <c r="AV334" i="4" a="1"/>
  <c r="AV334" i="4" s="1"/>
  <c r="AL334" i="4" a="1"/>
  <c r="AL334" i="4" s="1"/>
  <c r="AV332" i="4" a="1"/>
  <c r="AV332" i="4" s="1"/>
  <c r="AJ332" i="4" a="1"/>
  <c r="AJ332" i="4" s="1"/>
  <c r="AJ331" i="4" a="1"/>
  <c r="AJ331" i="4" s="1"/>
  <c r="AS330" i="4" a="1"/>
  <c r="AS330" i="4" s="1"/>
  <c r="AW327" i="4" a="1"/>
  <c r="AW327" i="4" s="1"/>
  <c r="AU326" i="4" a="1"/>
  <c r="AU326" i="4" s="1"/>
  <c r="AL326" i="4" a="1"/>
  <c r="AL326" i="4" s="1"/>
  <c r="AW324" i="4" a="1"/>
  <c r="AW324" i="4" s="1"/>
  <c r="AN324" i="4" a="1"/>
  <c r="AN324" i="4" s="1"/>
  <c r="AU322" i="4" a="1"/>
  <c r="AU322" i="4" s="1"/>
  <c r="AE322" i="4" a="1"/>
  <c r="AE322" i="4" s="1"/>
  <c r="AP320" i="4" a="1"/>
  <c r="AP320" i="4" s="1"/>
  <c r="AE320" i="4" a="1"/>
  <c r="AE320" i="4" s="1"/>
  <c r="AP318" i="4" a="1"/>
  <c r="AP318" i="4" s="1"/>
  <c r="AF318" i="4" a="1"/>
  <c r="AF318" i="4" s="1"/>
  <c r="AW40" i="4" a="1"/>
  <c r="AW40" i="4" s="1"/>
  <c r="AK21" i="4" a="1"/>
  <c r="AK21" i="4" s="1"/>
  <c r="AT340" i="4" a="1"/>
  <c r="AT340" i="4" s="1"/>
  <c r="AP339" i="4" a="1"/>
  <c r="AP339" i="4" s="1"/>
  <c r="AV338" i="4" a="1"/>
  <c r="AV338" i="4" s="1"/>
  <c r="AN337" i="4" a="1"/>
  <c r="AN337" i="4" s="1"/>
  <c r="AR336" i="4" a="1"/>
  <c r="AR336" i="4" s="1"/>
  <c r="AO335" i="4" a="1"/>
  <c r="AO335" i="4" s="1"/>
  <c r="AT334" i="4" a="1"/>
  <c r="AT334" i="4" s="1"/>
  <c r="AK334" i="4" a="1"/>
  <c r="AK334" i="4" s="1"/>
  <c r="AU332" i="4" a="1"/>
  <c r="AU332" i="4" s="1"/>
  <c r="AH332" i="4" a="1"/>
  <c r="AH332" i="4" s="1"/>
  <c r="AI331" i="4" a="1"/>
  <c r="AI331" i="4" s="1"/>
  <c r="AQ330" i="4" a="1"/>
  <c r="AQ330" i="4" s="1"/>
  <c r="AU328" i="4" a="1"/>
  <c r="AU328" i="4" s="1"/>
  <c r="AS327" i="4" a="1"/>
  <c r="AS327" i="4" s="1"/>
  <c r="AT326" i="4" a="1"/>
  <c r="AT326" i="4" s="1"/>
  <c r="AK326" i="4" a="1"/>
  <c r="AK326" i="4" s="1"/>
  <c r="AV324" i="4" a="1"/>
  <c r="AV324" i="4" s="1"/>
  <c r="AK324" i="4" a="1"/>
  <c r="AK324" i="4" s="1"/>
  <c r="AR322" i="4" a="1"/>
  <c r="AR322" i="4" s="1"/>
  <c r="AO320" i="4" a="1"/>
  <c r="AO320" i="4" s="1"/>
  <c r="AF320" i="4" a="1"/>
  <c r="AF320" i="4" s="1"/>
  <c r="AO318" i="4" a="1"/>
  <c r="AO318" i="4" s="1"/>
  <c r="AE318" i="4" a="1"/>
  <c r="AE318" i="4" s="1"/>
  <c r="AP317" i="4" a="1"/>
  <c r="AP317" i="4" s="1"/>
  <c r="AQ317" i="4" a="1"/>
  <c r="AQ317" i="4" s="1"/>
  <c r="AJ340" i="4" a="1"/>
  <c r="AJ340" i="4" s="1"/>
  <c r="AN339" i="4" a="1"/>
  <c r="AN339" i="4" s="1"/>
  <c r="AR338" i="4" a="1"/>
  <c r="AR338" i="4" s="1"/>
  <c r="AI336" i="4" a="1"/>
  <c r="AI336" i="4" s="1"/>
  <c r="AW335" i="4" a="1"/>
  <c r="AW335" i="4" s="1"/>
  <c r="AJ334" i="4" a="1"/>
  <c r="AJ334" i="4" s="1"/>
  <c r="AT332" i="4" a="1"/>
  <c r="AT332" i="4" s="1"/>
  <c r="AF332" i="4" a="1"/>
  <c r="AF332" i="4" s="1"/>
  <c r="AE331" i="4" a="1"/>
  <c r="AE331" i="4" s="1"/>
  <c r="AP330" i="4" a="1"/>
  <c r="AP330" i="4" s="1"/>
  <c r="AP328" i="4" a="1"/>
  <c r="AP328" i="4" s="1"/>
  <c r="AL327" i="4" a="1"/>
  <c r="AL327" i="4" s="1"/>
  <c r="AS326" i="4" a="1"/>
  <c r="AS326" i="4" s="1"/>
  <c r="AJ326" i="4" a="1"/>
  <c r="AJ326" i="4" s="1"/>
  <c r="AU324" i="4" a="1"/>
  <c r="AU324" i="4" s="1"/>
  <c r="AJ324" i="4" a="1"/>
  <c r="AJ324" i="4" s="1"/>
  <c r="AQ322" i="4" a="1"/>
  <c r="AQ322" i="4" s="1"/>
  <c r="AL322" i="4" a="1"/>
  <c r="AL322" i="4" s="1"/>
  <c r="AM320" i="4" a="1"/>
  <c r="AM320" i="4" s="1"/>
  <c r="AG319" i="4" a="1"/>
  <c r="AG319" i="4" s="1"/>
  <c r="AN318" i="4" a="1"/>
  <c r="AN318" i="4" s="1"/>
  <c r="AW317" i="4" a="1"/>
  <c r="AW317" i="4" s="1"/>
  <c r="AR317" i="4" a="1"/>
  <c r="AR317" i="4" s="1"/>
  <c r="AS340" i="4" a="1"/>
  <c r="AS340" i="4" s="1"/>
  <c r="AI337" i="4" a="1"/>
  <c r="AI337" i="4" s="1"/>
  <c r="AQ336" i="4" a="1"/>
  <c r="AQ336" i="4" s="1"/>
  <c r="AU335" i="4" a="1"/>
  <c r="AU335" i="4" s="1"/>
  <c r="AL335" i="4" a="1"/>
  <c r="AL335" i="4" s="1"/>
  <c r="AS334" i="4" a="1"/>
  <c r="AS334" i="4" s="1"/>
  <c r="AI334" i="4" a="1"/>
  <c r="AI334" i="4" s="1"/>
  <c r="AE332" i="4" a="1"/>
  <c r="AE332" i="4" s="1"/>
  <c r="AN330" i="4" a="1"/>
  <c r="AN330" i="4" s="1"/>
  <c r="AN328" i="4" a="1"/>
  <c r="AN328" i="4" s="1"/>
  <c r="AH327" i="4" a="1"/>
  <c r="AH327" i="4" s="1"/>
  <c r="AR326" i="4" a="1"/>
  <c r="AR326" i="4" s="1"/>
  <c r="AH326" i="4" a="1"/>
  <c r="AH326" i="4" s="1"/>
  <c r="AS324" i="4" a="1"/>
  <c r="AS324" i="4" s="1"/>
  <c r="AG324" i="4" a="1"/>
  <c r="AG324" i="4" s="1"/>
  <c r="AN322" i="4" a="1"/>
  <c r="AN322" i="4" s="1"/>
  <c r="AW320" i="4" a="1"/>
  <c r="AW320" i="4" s="1"/>
  <c r="AL320" i="4" a="1"/>
  <c r="AL320" i="4" s="1"/>
  <c r="AW318" i="4" a="1"/>
  <c r="AW318" i="4" s="1"/>
  <c r="AL318" i="4" a="1"/>
  <c r="AL318" i="4" s="1"/>
  <c r="AW24" i="4" a="1"/>
  <c r="AW24" i="4" s="1"/>
  <c r="AF317" i="4" a="1"/>
  <c r="AF317" i="4" s="1"/>
  <c r="AV317" i="4" a="1"/>
  <c r="AV317" i="4" s="1"/>
  <c r="AR340" i="4" a="1"/>
  <c r="AR340" i="4" s="1"/>
  <c r="AF340" i="4" a="1"/>
  <c r="AF340" i="4" s="1"/>
  <c r="AK339" i="4" a="1"/>
  <c r="AK339" i="4" s="1"/>
  <c r="AM338" i="4" a="1"/>
  <c r="AM338" i="4" s="1"/>
  <c r="AE337" i="4" a="1"/>
  <c r="AE337" i="4" s="1"/>
  <c r="AH336" i="4" a="1"/>
  <c r="AH336" i="4" s="1"/>
  <c r="AK335" i="4" a="1"/>
  <c r="AK335" i="4" s="1"/>
  <c r="AR334" i="4" a="1"/>
  <c r="AR334" i="4" s="1"/>
  <c r="AG334" i="4" a="1"/>
  <c r="AG334" i="4" s="1"/>
  <c r="AQ332" i="4" a="1"/>
  <c r="AQ332" i="4" s="1"/>
  <c r="AW330" i="4" a="1"/>
  <c r="AW330" i="4" s="1"/>
  <c r="AL330" i="4" a="1"/>
  <c r="AL330" i="4" s="1"/>
  <c r="AK328" i="4" a="1"/>
  <c r="AK328" i="4" s="1"/>
  <c r="AG327" i="4" a="1"/>
  <c r="AG327" i="4" s="1"/>
  <c r="AQ326" i="4" a="1"/>
  <c r="AQ326" i="4" s="1"/>
  <c r="AG326" i="4" a="1"/>
  <c r="AG326" i="4" s="1"/>
  <c r="AR324" i="4" a="1"/>
  <c r="AR324" i="4" s="1"/>
  <c r="AF324" i="4" a="1"/>
  <c r="AF324" i="4" s="1"/>
  <c r="AM322" i="4" a="1"/>
  <c r="AM322" i="4" s="1"/>
  <c r="AU320" i="4" a="1"/>
  <c r="AU320" i="4" s="1"/>
  <c r="AK320" i="4" a="1"/>
  <c r="AK320" i="4" s="1"/>
  <c r="AV318" i="4" a="1"/>
  <c r="AV318" i="4" s="1"/>
  <c r="AK318" i="4" a="1"/>
  <c r="AK318" i="4" s="1"/>
  <c r="AM318" i="4" a="1"/>
  <c r="AM318" i="4" s="1"/>
  <c r="AE30" i="4" a="1"/>
  <c r="AE30" i="4" s="1"/>
  <c r="AW9" i="4" a="1"/>
  <c r="AW9" i="4" s="1"/>
  <c r="AH317" i="4" a="1"/>
  <c r="AH317" i="4" s="1"/>
  <c r="AE317" i="4" a="1"/>
  <c r="AE317" i="4" s="1"/>
  <c r="AW339" i="4" a="1"/>
  <c r="AW339" i="4" s="1"/>
  <c r="AG339" i="4" a="1"/>
  <c r="AG339" i="4" s="1"/>
  <c r="AI338" i="4" a="1"/>
  <c r="AI338" i="4" s="1"/>
  <c r="AF337" i="4" a="1"/>
  <c r="AF337" i="4" s="1"/>
  <c r="AN336" i="4" a="1"/>
  <c r="AN336" i="4" s="1"/>
  <c r="AF336" i="4" a="1"/>
  <c r="AF336" i="4" s="1"/>
  <c r="AT335" i="4" a="1"/>
  <c r="AT335" i="4" s="1"/>
  <c r="AG335" i="4" a="1"/>
  <c r="AG335" i="4" s="1"/>
  <c r="AP334" i="4" a="1"/>
  <c r="AP334" i="4" s="1"/>
  <c r="AF334" i="4" a="1"/>
  <c r="AF334" i="4" s="1"/>
  <c r="AO332" i="4" a="1"/>
  <c r="AO332" i="4" s="1"/>
  <c r="AU331" i="4" a="1"/>
  <c r="AU331" i="4" s="1"/>
  <c r="AV330" i="4" a="1"/>
  <c r="AV330" i="4" s="1"/>
  <c r="AI330" i="4" a="1"/>
  <c r="AI330" i="4" s="1"/>
  <c r="AJ328" i="4" a="1"/>
  <c r="AJ328" i="4" s="1"/>
  <c r="AP326" i="4" a="1"/>
  <c r="AP326" i="4" s="1"/>
  <c r="AF326" i="4" a="1"/>
  <c r="AF326" i="4" s="1"/>
  <c r="AH324" i="4" a="1"/>
  <c r="AH324" i="4" s="1"/>
  <c r="AJ322" i="4" a="1"/>
  <c r="AJ322" i="4" s="1"/>
  <c r="AT320" i="4" a="1"/>
  <c r="AT320" i="4" s="1"/>
  <c r="AI320" i="4" a="1"/>
  <c r="AI320" i="4" s="1"/>
  <c r="AT318" i="4" a="1"/>
  <c r="AT318" i="4" s="1"/>
  <c r="AJ318" i="4" a="1"/>
  <c r="AJ318" i="4" s="1"/>
  <c r="AJ317" i="4" a="1"/>
  <c r="AJ317" i="4" s="1"/>
  <c r="AU317" i="4" a="1"/>
  <c r="AU317" i="4" s="1"/>
  <c r="AP340" i="4" a="1"/>
  <c r="AP340" i="4" s="1"/>
  <c r="AG340" i="4" a="1"/>
  <c r="AG340" i="4" s="1"/>
  <c r="AQ339" i="4" a="1"/>
  <c r="AQ339" i="4" s="1"/>
  <c r="AL339" i="4" a="1"/>
  <c r="AL339" i="4" s="1"/>
  <c r="AW338" i="4" a="1"/>
  <c r="AW338" i="4" s="1"/>
  <c r="AN338" i="4" a="1"/>
  <c r="AN338" i="4" s="1"/>
  <c r="AE338" i="4" a="1"/>
  <c r="AE338" i="4" s="1"/>
  <c r="AS337" i="4" a="1"/>
  <c r="AS337" i="4" s="1"/>
  <c r="AJ337" i="4" a="1"/>
  <c r="AJ337" i="4" s="1"/>
  <c r="AP336" i="4" a="1"/>
  <c r="AP336" i="4" s="1"/>
  <c r="AU329" i="4" a="1"/>
  <c r="AU329" i="4" s="1"/>
  <c r="AS333" i="4" a="1"/>
  <c r="AS333" i="4" s="1"/>
  <c r="AK333" i="4" a="1"/>
  <c r="AK333" i="4" s="1"/>
  <c r="AJ333" i="4" a="1"/>
  <c r="AJ333" i="4" s="1"/>
  <c r="AQ329" i="4" a="1"/>
  <c r="AQ329" i="4" s="1"/>
  <c r="AO325" i="4" a="1"/>
  <c r="AO325" i="4" s="1"/>
  <c r="AO339" i="4" a="1"/>
  <c r="AO339" i="4" s="1"/>
  <c r="AF339" i="4" a="1"/>
  <c r="AF339" i="4" s="1"/>
  <c r="AQ338" i="4" a="1"/>
  <c r="AQ338" i="4" s="1"/>
  <c r="AV337" i="4" a="1"/>
  <c r="AV337" i="4" s="1"/>
  <c r="AM337" i="4" a="1"/>
  <c r="AM337" i="4" s="1"/>
  <c r="AP329" i="4" a="1"/>
  <c r="AP329" i="4" s="1"/>
  <c r="AJ339" i="4" a="1"/>
  <c r="AJ339" i="4" s="1"/>
  <c r="AU338" i="4" a="1"/>
  <c r="AU338" i="4" s="1"/>
  <c r="AG338" i="4" a="1"/>
  <c r="AG338" i="4" s="1"/>
  <c r="AQ337" i="4" a="1"/>
  <c r="AQ337" i="4" s="1"/>
  <c r="AH337" i="4" a="1"/>
  <c r="AH337" i="4" s="1"/>
  <c r="AK338" i="4" a="1"/>
  <c r="AK338" i="4" s="1"/>
  <c r="AU337" i="4" a="1"/>
  <c r="AU337" i="4" s="1"/>
  <c r="AL337" i="4" a="1"/>
  <c r="AL337" i="4" s="1"/>
  <c r="AG337" i="4" a="1"/>
  <c r="AG337" i="4" s="1"/>
  <c r="AO333" i="4" a="1"/>
  <c r="AO333" i="4" s="1"/>
  <c r="AR339" i="4" a="1"/>
  <c r="AR339" i="4" s="1"/>
  <c r="AO338" i="4" a="1"/>
  <c r="AO338" i="4" s="1"/>
  <c r="AF338" i="4" a="1"/>
  <c r="AF338" i="4" s="1"/>
  <c r="AP337" i="4" a="1"/>
  <c r="AP337" i="4" s="1"/>
  <c r="AK337" i="4" a="1"/>
  <c r="AK337" i="4" s="1"/>
  <c r="AN333" i="4" a="1"/>
  <c r="AN333" i="4" s="1"/>
  <c r="AF333" i="4" a="1"/>
  <c r="AF333" i="4" s="1"/>
  <c r="AH340" i="4" a="1"/>
  <c r="AH340" i="4" s="1"/>
  <c r="AI339" i="4" a="1"/>
  <c r="AI339" i="4" s="1"/>
  <c r="AI317" i="4" a="1"/>
  <c r="AI317" i="4" s="1"/>
  <c r="AT317" i="4" a="1"/>
  <c r="AT317" i="4" s="1"/>
  <c r="AL340" i="4" a="1"/>
  <c r="AL340" i="4" s="1"/>
  <c r="AV339" i="4" a="1"/>
  <c r="AV339" i="4" s="1"/>
  <c r="AM339" i="4" a="1"/>
  <c r="AM339" i="4" s="1"/>
  <c r="AH339" i="4" a="1"/>
  <c r="AH339" i="4" s="1"/>
  <c r="AS338" i="4" a="1"/>
  <c r="AS338" i="4" s="1"/>
  <c r="AJ338" i="4" a="1"/>
  <c r="AJ338" i="4" s="1"/>
  <c r="AT337" i="4" a="1"/>
  <c r="AT337" i="4" s="1"/>
  <c r="AO337" i="4" a="1"/>
  <c r="AO337" i="4" s="1"/>
  <c r="AU336" i="4" a="1"/>
  <c r="AU336" i="4" s="1"/>
  <c r="AV335" i="4" a="1"/>
  <c r="AV335" i="4" s="1"/>
  <c r="AQ335" i="4" a="1"/>
  <c r="AQ335" i="4" s="1"/>
  <c r="AV333" i="4" a="1"/>
  <c r="AV333" i="4" s="1"/>
  <c r="AE340" i="4" a="1"/>
  <c r="AE340" i="4" s="1"/>
  <c r="AI340" i="4" a="1"/>
  <c r="AI340" i="4" s="1"/>
  <c r="AM340" i="4" a="1"/>
  <c r="AM340" i="4" s="1"/>
  <c r="AQ340" i="4" a="1"/>
  <c r="AQ340" i="4" s="1"/>
  <c r="AU340" i="4" a="1"/>
  <c r="AU340" i="4" s="1"/>
  <c r="AH338" i="4" a="1"/>
  <c r="AH338" i="4" s="1"/>
  <c r="AL338" i="4" a="1"/>
  <c r="AL338" i="4" s="1"/>
  <c r="AP338" i="4" a="1"/>
  <c r="AP338" i="4" s="1"/>
  <c r="AT338" i="4" a="1"/>
  <c r="AT338" i="4" s="1"/>
  <c r="AG336" i="4" a="1"/>
  <c r="AG336" i="4" s="1"/>
  <c r="AK336" i="4" a="1"/>
  <c r="AK336" i="4" s="1"/>
  <c r="AO336" i="4" a="1"/>
  <c r="AO336" i="4" s="1"/>
  <c r="AS336" i="4" a="1"/>
  <c r="AS336" i="4" s="1"/>
  <c r="AW336" i="4" a="1"/>
  <c r="AW336" i="4" s="1"/>
  <c r="AE335" i="4" a="1"/>
  <c r="AE335" i="4" s="1"/>
  <c r="AI335" i="4" a="1"/>
  <c r="AI335" i="4" s="1"/>
  <c r="AM335" i="4" a="1"/>
  <c r="AM335" i="4" s="1"/>
  <c r="AF335" i="4" a="1"/>
  <c r="AF335" i="4" s="1"/>
  <c r="AJ335" i="4" a="1"/>
  <c r="AJ335" i="4" s="1"/>
  <c r="AN335" i="4" a="1"/>
  <c r="AN335" i="4" s="1"/>
  <c r="AR335" i="4" a="1"/>
  <c r="AR335" i="4" s="1"/>
  <c r="AH335" i="4" a="1"/>
  <c r="AH335" i="4" s="1"/>
  <c r="AH333" i="4" a="1"/>
  <c r="AH333" i="4" s="1"/>
  <c r="AL333" i="4" a="1"/>
  <c r="AL333" i="4" s="1"/>
  <c r="AP333" i="4" a="1"/>
  <c r="AP333" i="4" s="1"/>
  <c r="AT333" i="4" a="1"/>
  <c r="AT333" i="4" s="1"/>
  <c r="AE333" i="4" a="1"/>
  <c r="AE333" i="4" s="1"/>
  <c r="AI333" i="4" a="1"/>
  <c r="AI333" i="4" s="1"/>
  <c r="AM333" i="4" a="1"/>
  <c r="AM333" i="4" s="1"/>
  <c r="AQ333" i="4" a="1"/>
  <c r="AQ333" i="4" s="1"/>
  <c r="AU333" i="4" a="1"/>
  <c r="AU333" i="4" s="1"/>
  <c r="AE334" i="4" a="1"/>
  <c r="AE334" i="4" s="1"/>
  <c r="AU334" i="4" a="1"/>
  <c r="AU334" i="4" s="1"/>
  <c r="AQ334" i="4" a="1"/>
  <c r="AQ334" i="4" s="1"/>
  <c r="AG333" i="4" a="1"/>
  <c r="AG333" i="4" s="1"/>
  <c r="AR333" i="4" a="1"/>
  <c r="AR333" i="4" s="1"/>
  <c r="AW333" i="4" a="1"/>
  <c r="AW333" i="4" s="1"/>
  <c r="AH334" i="4" a="1"/>
  <c r="AH334" i="4" s="1"/>
  <c r="AN334" i="4" a="1"/>
  <c r="AN334" i="4" s="1"/>
  <c r="AL329" i="4" a="1"/>
  <c r="AL329" i="4" s="1"/>
  <c r="AF325" i="4" a="1"/>
  <c r="AF325" i="4" s="1"/>
  <c r="AP332" i="4" a="1"/>
  <c r="AP332" i="4" s="1"/>
  <c r="AG331" i="4" a="1"/>
  <c r="AG331" i="4" s="1"/>
  <c r="AK331" i="4" a="1"/>
  <c r="AK331" i="4" s="1"/>
  <c r="AO331" i="4" a="1"/>
  <c r="AO331" i="4" s="1"/>
  <c r="AS331" i="4" a="1"/>
  <c r="AS331" i="4" s="1"/>
  <c r="AW331" i="4" a="1"/>
  <c r="AW331" i="4" s="1"/>
  <c r="AH331" i="4" a="1"/>
  <c r="AH331" i="4" s="1"/>
  <c r="AL331" i="4" a="1"/>
  <c r="AL331" i="4" s="1"/>
  <c r="AP331" i="4" a="1"/>
  <c r="AP331" i="4" s="1"/>
  <c r="AT331" i="4" a="1"/>
  <c r="AT331" i="4" s="1"/>
  <c r="AR330" i="4" a="1"/>
  <c r="AR330" i="4" s="1"/>
  <c r="AM330" i="4" a="1"/>
  <c r="AM330" i="4" s="1"/>
  <c r="AH330" i="4" a="1"/>
  <c r="AH330" i="4" s="1"/>
  <c r="AT328" i="4" a="1"/>
  <c r="AT328" i="4" s="1"/>
  <c r="AO328" i="4" a="1"/>
  <c r="AO328" i="4" s="1"/>
  <c r="AI328" i="4" a="1"/>
  <c r="AI328" i="4" s="1"/>
  <c r="AR325" i="4" a="1"/>
  <c r="AR325" i="4" s="1"/>
  <c r="AK325" i="4" a="1"/>
  <c r="AK325" i="4" s="1"/>
  <c r="AM324" i="4" a="1"/>
  <c r="AM324" i="4" s="1"/>
  <c r="AE324" i="4" a="1"/>
  <c r="AE324" i="4" s="1"/>
  <c r="AQ323" i="4" a="1"/>
  <c r="AQ323" i="4" s="1"/>
  <c r="AI323" i="4" a="1"/>
  <c r="AI323" i="4" s="1"/>
  <c r="AG322" i="4" a="1"/>
  <c r="AG322" i="4" s="1"/>
  <c r="AK322" i="4" a="1"/>
  <c r="AK322" i="4" s="1"/>
  <c r="AO322" i="4" a="1"/>
  <c r="AO322" i="4" s="1"/>
  <c r="AS322" i="4" a="1"/>
  <c r="AS322" i="4" s="1"/>
  <c r="AW322" i="4" a="1"/>
  <c r="AW322" i="4" s="1"/>
  <c r="AP321" i="4" a="1"/>
  <c r="AP321" i="4" s="1"/>
  <c r="AH321" i="4" a="1"/>
  <c r="AH321" i="4" s="1"/>
  <c r="AW325" i="4" a="1"/>
  <c r="AW325" i="4" s="1"/>
  <c r="AH325" i="4" a="1"/>
  <c r="AH325" i="4" s="1"/>
  <c r="AT322" i="4" a="1"/>
  <c r="AT322" i="4" s="1"/>
  <c r="AW319" i="4" a="1"/>
  <c r="AW319" i="4" s="1"/>
  <c r="AO319" i="4" a="1"/>
  <c r="AO319" i="4" s="1"/>
  <c r="AF330" i="4" a="1"/>
  <c r="AF330" i="4" s="1"/>
  <c r="AF329" i="4" a="1"/>
  <c r="AF329" i="4" s="1"/>
  <c r="AJ329" i="4" a="1"/>
  <c r="AJ329" i="4" s="1"/>
  <c r="AN329" i="4" a="1"/>
  <c r="AN329" i="4" s="1"/>
  <c r="AR329" i="4" a="1"/>
  <c r="AR329" i="4" s="1"/>
  <c r="AV329" i="4" a="1"/>
  <c r="AV329" i="4" s="1"/>
  <c r="AG329" i="4" a="1"/>
  <c r="AG329" i="4" s="1"/>
  <c r="AK329" i="4" a="1"/>
  <c r="AK329" i="4" s="1"/>
  <c r="AO329" i="4" a="1"/>
  <c r="AO329" i="4" s="1"/>
  <c r="AS329" i="4" a="1"/>
  <c r="AS329" i="4" s="1"/>
  <c r="AW329" i="4" a="1"/>
  <c r="AW329" i="4" s="1"/>
  <c r="AS328" i="4" a="1"/>
  <c r="AS328" i="4" s="1"/>
  <c r="AM328" i="4" a="1"/>
  <c r="AM328" i="4" s="1"/>
  <c r="AH328" i="4" a="1"/>
  <c r="AH328" i="4" s="1"/>
  <c r="AJ325" i="4" a="1"/>
  <c r="AJ325" i="4" s="1"/>
  <c r="AS332" i="4" a="1"/>
  <c r="AS332" i="4" s="1"/>
  <c r="AN332" i="4" a="1"/>
  <c r="AN332" i="4" s="1"/>
  <c r="AI332" i="4" a="1"/>
  <c r="AI332" i="4" s="1"/>
  <c r="AR331" i="4" a="1"/>
  <c r="AR331" i="4" s="1"/>
  <c r="AM331" i="4" a="1"/>
  <c r="AM331" i="4" s="1"/>
  <c r="AK330" i="4" a="1"/>
  <c r="AK330" i="4" s="1"/>
  <c r="AT329" i="4" a="1"/>
  <c r="AT329" i="4" s="1"/>
  <c r="AI329" i="4" a="1"/>
  <c r="AI329" i="4" s="1"/>
  <c r="AR328" i="4" a="1"/>
  <c r="AR328" i="4" s="1"/>
  <c r="AP327" i="4" a="1"/>
  <c r="AP327" i="4" s="1"/>
  <c r="AK327" i="4" a="1"/>
  <c r="AK327" i="4" s="1"/>
  <c r="AV325" i="4" a="1"/>
  <c r="AV325" i="4" s="1"/>
  <c r="AF321" i="4" a="1"/>
  <c r="AF321" i="4" s="1"/>
  <c r="AJ321" i="4" a="1"/>
  <c r="AJ321" i="4" s="1"/>
  <c r="AN321" i="4" a="1"/>
  <c r="AN321" i="4" s="1"/>
  <c r="AR321" i="4" a="1"/>
  <c r="AR321" i="4" s="1"/>
  <c r="AV321" i="4" a="1"/>
  <c r="AV321" i="4" s="1"/>
  <c r="AG321" i="4" a="1"/>
  <c r="AG321" i="4" s="1"/>
  <c r="AK321" i="4" a="1"/>
  <c r="AK321" i="4" s="1"/>
  <c r="AO321" i="4" a="1"/>
  <c r="AO321" i="4" s="1"/>
  <c r="AS321" i="4" a="1"/>
  <c r="AS321" i="4" s="1"/>
  <c r="AW321" i="4" a="1"/>
  <c r="AW321" i="4" s="1"/>
  <c r="AE321" i="4" a="1"/>
  <c r="AE321" i="4" s="1"/>
  <c r="AI321" i="4" a="1"/>
  <c r="AI321" i="4" s="1"/>
  <c r="AQ321" i="4" a="1"/>
  <c r="AQ321" i="4" s="1"/>
  <c r="AU321" i="4" a="1"/>
  <c r="AU321" i="4" s="1"/>
  <c r="AE319" i="4" a="1"/>
  <c r="AE319" i="4" s="1"/>
  <c r="AI319" i="4" a="1"/>
  <c r="AI319" i="4" s="1"/>
  <c r="AM319" i="4" a="1"/>
  <c r="AM319" i="4" s="1"/>
  <c r="AQ319" i="4" a="1"/>
  <c r="AQ319" i="4" s="1"/>
  <c r="AU319" i="4" a="1"/>
  <c r="AU319" i="4" s="1"/>
  <c r="AM326" i="4" a="1"/>
  <c r="AM326" i="4" s="1"/>
  <c r="AF319" i="4" a="1"/>
  <c r="AF319" i="4" s="1"/>
  <c r="AJ319" i="4" a="1"/>
  <c r="AJ319" i="4" s="1"/>
  <c r="AN319" i="4" a="1"/>
  <c r="AN319" i="4" s="1"/>
  <c r="AR319" i="4" a="1"/>
  <c r="AR319" i="4" s="1"/>
  <c r="AV319" i="4" a="1"/>
  <c r="AV319" i="4" s="1"/>
  <c r="AH319" i="4" a="1"/>
  <c r="AH319" i="4" s="1"/>
  <c r="AL319" i="4" a="1"/>
  <c r="AL319" i="4" s="1"/>
  <c r="AP319" i="4" a="1"/>
  <c r="AP319" i="4" s="1"/>
  <c r="AT319" i="4" a="1"/>
  <c r="AT319" i="4" s="1"/>
  <c r="AJ330" i="4" a="1"/>
  <c r="AJ330" i="4" s="1"/>
  <c r="AE330" i="4" a="1"/>
  <c r="AE330" i="4" s="1"/>
  <c r="AW328" i="4" a="1"/>
  <c r="AW328" i="4" s="1"/>
  <c r="AQ328" i="4" a="1"/>
  <c r="AQ328" i="4" s="1"/>
  <c r="AL328" i="4" a="1"/>
  <c r="AL328" i="4" s="1"/>
  <c r="AG328" i="4" a="1"/>
  <c r="AG328" i="4" s="1"/>
  <c r="AE327" i="4" a="1"/>
  <c r="AE327" i="4" s="1"/>
  <c r="AI327" i="4" a="1"/>
  <c r="AI327" i="4" s="1"/>
  <c r="AM327" i="4" a="1"/>
  <c r="AM327" i="4" s="1"/>
  <c r="AQ327" i="4" a="1"/>
  <c r="AQ327" i="4" s="1"/>
  <c r="AU327" i="4" a="1"/>
  <c r="AU327" i="4" s="1"/>
  <c r="AF327" i="4" a="1"/>
  <c r="AF327" i="4" s="1"/>
  <c r="AJ327" i="4" a="1"/>
  <c r="AJ327" i="4" s="1"/>
  <c r="AN327" i="4" a="1"/>
  <c r="AN327" i="4" s="1"/>
  <c r="AR327" i="4" a="1"/>
  <c r="AR327" i="4" s="1"/>
  <c r="AV327" i="4" a="1"/>
  <c r="AV327" i="4" s="1"/>
  <c r="AI324" i="4" a="1"/>
  <c r="AI324" i="4" s="1"/>
  <c r="AU323" i="4" a="1"/>
  <c r="AU323" i="4" s="1"/>
  <c r="AM323" i="4" a="1"/>
  <c r="AM323" i="4" s="1"/>
  <c r="AT321" i="4" a="1"/>
  <c r="AT321" i="4" s="1"/>
  <c r="AL321" i="4" a="1"/>
  <c r="AL321" i="4" s="1"/>
  <c r="AW332" i="4" a="1"/>
  <c r="AW332" i="4" s="1"/>
  <c r="AR332" i="4" a="1"/>
  <c r="AR332" i="4" s="1"/>
  <c r="AM332" i="4" a="1"/>
  <c r="AM332" i="4" s="1"/>
  <c r="AG332" i="4" a="1"/>
  <c r="AG332" i="4" s="1"/>
  <c r="AV331" i="4" a="1"/>
  <c r="AV331" i="4" s="1"/>
  <c r="AQ331" i="4" a="1"/>
  <c r="AQ331" i="4" s="1"/>
  <c r="AF331" i="4" a="1"/>
  <c r="AF331" i="4" s="1"/>
  <c r="AO330" i="4" a="1"/>
  <c r="AO330" i="4" s="1"/>
  <c r="AM329" i="4" a="1"/>
  <c r="AM329" i="4" s="1"/>
  <c r="AH329" i="4" a="1"/>
  <c r="AH329" i="4" s="1"/>
  <c r="AV328" i="4" a="1"/>
  <c r="AV328" i="4" s="1"/>
  <c r="AT327" i="4" a="1"/>
  <c r="AT327" i="4" s="1"/>
  <c r="AO327" i="4" a="1"/>
  <c r="AO327" i="4" s="1"/>
  <c r="AN325" i="4" a="1"/>
  <c r="AN325" i="4" s="1"/>
  <c r="AG325" i="4" a="1"/>
  <c r="AG325" i="4" s="1"/>
  <c r="AG323" i="4" a="1"/>
  <c r="AG323" i="4" s="1"/>
  <c r="AK323" i="4" a="1"/>
  <c r="AK323" i="4" s="1"/>
  <c r="AO323" i="4" a="1"/>
  <c r="AO323" i="4" s="1"/>
  <c r="AS323" i="4" a="1"/>
  <c r="AS323" i="4" s="1"/>
  <c r="AW323" i="4" a="1"/>
  <c r="AW323" i="4" s="1"/>
  <c r="AH323" i="4" a="1"/>
  <c r="AH323" i="4" s="1"/>
  <c r="AL323" i="4" a="1"/>
  <c r="AL323" i="4" s="1"/>
  <c r="AT323" i="4" a="1"/>
  <c r="AT323" i="4" s="1"/>
  <c r="AF323" i="4" a="1"/>
  <c r="AF323" i="4" s="1"/>
  <c r="AJ323" i="4" a="1"/>
  <c r="AJ323" i="4" s="1"/>
  <c r="AN323" i="4" a="1"/>
  <c r="AN323" i="4" s="1"/>
  <c r="AR323" i="4" a="1"/>
  <c r="AR323" i="4" s="1"/>
  <c r="AV323" i="4" a="1"/>
  <c r="AV323" i="4" s="1"/>
  <c r="AP322" i="4" a="1"/>
  <c r="AP322" i="4" s="1"/>
  <c r="AH322" i="4" a="1"/>
  <c r="AH322" i="4" s="1"/>
  <c r="AS319" i="4" a="1"/>
  <c r="AS319" i="4" s="1"/>
  <c r="AK319" i="4" a="1"/>
  <c r="AK319" i="4" s="1"/>
  <c r="AS325" i="4" a="1"/>
  <c r="AS325" i="4" s="1"/>
  <c r="AU325" i="4" a="1"/>
  <c r="AU325" i="4" s="1"/>
  <c r="AQ325" i="4" a="1"/>
  <c r="AQ325" i="4" s="1"/>
  <c r="AM325" i="4" a="1"/>
  <c r="AM325" i="4" s="1"/>
  <c r="AI325" i="4" a="1"/>
  <c r="AI325" i="4" s="1"/>
  <c r="AE325" i="4" a="1"/>
  <c r="AE325" i="4" s="1"/>
  <c r="AI326" i="4" a="1"/>
  <c r="AI326" i="4" s="1"/>
  <c r="AT324" i="4" a="1"/>
  <c r="AT324" i="4" s="1"/>
  <c r="AP324" i="4" a="1"/>
  <c r="AP324" i="4" s="1"/>
  <c r="AL324" i="4" a="1"/>
  <c r="AL324" i="4" s="1"/>
  <c r="AV320" i="4" a="1"/>
  <c r="AV320" i="4" s="1"/>
  <c r="AR320" i="4" a="1"/>
  <c r="AR320" i="4" s="1"/>
  <c r="AN320" i="4" a="1"/>
  <c r="AN320" i="4" s="1"/>
  <c r="AJ320" i="4" a="1"/>
  <c r="AJ320" i="4" s="1"/>
  <c r="AU318" i="4" a="1"/>
  <c r="AU318" i="4" s="1"/>
  <c r="AQ318" i="4" a="1"/>
  <c r="AQ318" i="4" s="1"/>
  <c r="AI318" i="4" a="1"/>
  <c r="AI318" i="4" s="1"/>
  <c r="AT325" i="4" a="1"/>
  <c r="AT325" i="4" s="1"/>
  <c r="AP325" i="4" a="1"/>
  <c r="AP325" i="4" s="1"/>
  <c r="AL325" i="4" a="1"/>
  <c r="AL325" i="4" s="1"/>
  <c r="AG317" i="4" a="1"/>
  <c r="AG317" i="4" s="1"/>
  <c r="AK317" i="4" a="1"/>
  <c r="AK317" i="4" s="1"/>
  <c r="AO317" i="4" a="1"/>
  <c r="AO317" i="4" s="1"/>
  <c r="AS317" i="4" a="1"/>
  <c r="AS317" i="4" s="1"/>
  <c r="AI19" i="4" a="1"/>
  <c r="AI19" i="4" s="1"/>
  <c r="AJ55" i="4" a="1"/>
  <c r="AJ55" i="4" s="1"/>
  <c r="AI49" i="4"/>
  <c r="AM132" i="4"/>
  <c r="AW13" i="4" a="1"/>
  <c r="AW13" i="4" s="1"/>
  <c r="AE31" i="4" a="1"/>
  <c r="AE31" i="4" s="1"/>
  <c r="AW25" i="4" a="1"/>
  <c r="AW25" i="4" s="1"/>
  <c r="AH18" i="4" a="1"/>
  <c r="AH18" i="4" s="1"/>
  <c r="AW10" i="4" a="1"/>
  <c r="AW10" i="4" s="1"/>
  <c r="AJ15" i="4" a="1"/>
  <c r="AJ15" i="4" s="1"/>
  <c r="AH90" i="4" a="1"/>
  <c r="AH90" i="4" s="1"/>
  <c r="AI90" i="4" a="1"/>
  <c r="AI90" i="4" s="1"/>
  <c r="AJ90" i="4" a="1"/>
  <c r="AJ90" i="4" s="1"/>
  <c r="AE90" i="4" a="1"/>
  <c r="AE90" i="4" s="1"/>
  <c r="AK90" i="4" a="1"/>
  <c r="AK90" i="4" s="1"/>
  <c r="AF90" i="4" a="1"/>
  <c r="AF90" i="4" s="1"/>
  <c r="AG90" i="4" a="1"/>
  <c r="AG90" i="4" s="1"/>
  <c r="AL90" i="4" a="1"/>
  <c r="AL90" i="4" s="1"/>
  <c r="AE82" i="4" a="1"/>
  <c r="AE82" i="4" s="1"/>
  <c r="AI82" i="4" a="1"/>
  <c r="AI82" i="4" s="1"/>
  <c r="AF82" i="4" a="1"/>
  <c r="AF82" i="4" s="1"/>
  <c r="AJ82" i="4" a="1"/>
  <c r="AJ82" i="4" s="1"/>
  <c r="AG82" i="4" a="1"/>
  <c r="AG82" i="4" s="1"/>
  <c r="AK82" i="4" a="1"/>
  <c r="AK82" i="4" s="1"/>
  <c r="AH82" i="4" a="1"/>
  <c r="AH82" i="4" s="1"/>
  <c r="AL82" i="4" a="1"/>
  <c r="AL82" i="4" s="1"/>
  <c r="AH74" i="4" a="1"/>
  <c r="AH74" i="4" s="1"/>
  <c r="AL74" i="4" a="1"/>
  <c r="AL74" i="4" s="1"/>
  <c r="AE74" i="4" a="1"/>
  <c r="AE74" i="4" s="1"/>
  <c r="AI74" i="4" a="1"/>
  <c r="AI74" i="4" s="1"/>
  <c r="AM74" i="4" a="1"/>
  <c r="AM74" i="4" s="1"/>
  <c r="AF74" i="4" a="1"/>
  <c r="AF74" i="4" s="1"/>
  <c r="AJ74" i="4" a="1"/>
  <c r="AJ74" i="4" s="1"/>
  <c r="AG74" i="4" a="1"/>
  <c r="AG74" i="4" s="1"/>
  <c r="AK74" i="4" a="1"/>
  <c r="AK74" i="4" s="1"/>
  <c r="AG66" i="4" a="1"/>
  <c r="AG66" i="4" s="1"/>
  <c r="AK66" i="4" a="1"/>
  <c r="AK66" i="4" s="1"/>
  <c r="AH66" i="4" a="1"/>
  <c r="AH66" i="4" s="1"/>
  <c r="AL66" i="4" a="1"/>
  <c r="AL66" i="4" s="1"/>
  <c r="AE66" i="4" a="1"/>
  <c r="AE66" i="4" s="1"/>
  <c r="AI66" i="4" a="1"/>
  <c r="AI66" i="4" s="1"/>
  <c r="AM66" i="4" a="1"/>
  <c r="AM66" i="4" s="1"/>
  <c r="AF66" i="4" a="1"/>
  <c r="AF66" i="4" s="1"/>
  <c r="AJ66" i="4" a="1"/>
  <c r="AJ66" i="4" s="1"/>
  <c r="AF57" i="4" a="1"/>
  <c r="AF57" i="4" s="1"/>
  <c r="AF33" i="4" a="1"/>
  <c r="AF33" i="4" s="1"/>
  <c r="AK22" i="4" a="1"/>
  <c r="AK22" i="4" s="1"/>
  <c r="AG12" i="4" a="1"/>
  <c r="AG12" i="4" s="1"/>
  <c r="AG13" i="4" a="1"/>
  <c r="AG13" i="4" s="1"/>
  <c r="AH15" i="4" a="1"/>
  <c r="AH15" i="4" s="1"/>
  <c r="AI16" i="4" a="1"/>
  <c r="AI16" i="4" s="1"/>
  <c r="AE19" i="4" a="1"/>
  <c r="AE19" i="4" s="1"/>
  <c r="AH21" i="4" a="1"/>
  <c r="AH21" i="4" s="1"/>
  <c r="AI22" i="4" a="1"/>
  <c r="AI22" i="4" s="1"/>
  <c r="AE25" i="4" a="1"/>
  <c r="AE25" i="4" s="1"/>
  <c r="AH27" i="4" a="1"/>
  <c r="AH27" i="4" s="1"/>
  <c r="AI28" i="4" a="1"/>
  <c r="AI28" i="4" s="1"/>
  <c r="AL30" i="4" a="1"/>
  <c r="AL30" i="4" s="1"/>
  <c r="AW12" i="4" a="1"/>
  <c r="AW12" i="4" s="1"/>
  <c r="AK89" i="4" a="1"/>
  <c r="AK89" i="4" s="1"/>
  <c r="AF89" i="4" a="1"/>
  <c r="AF89" i="4" s="1"/>
  <c r="AL89" i="4" a="1"/>
  <c r="AL89" i="4" s="1"/>
  <c r="AG89" i="4" a="1"/>
  <c r="AG89" i="4" s="1"/>
  <c r="AH89" i="4" a="1"/>
  <c r="AH89" i="4" s="1"/>
  <c r="AM89" i="4" a="1"/>
  <c r="AM89" i="4" s="1"/>
  <c r="AI89" i="4" a="1"/>
  <c r="AI89" i="4" s="1"/>
  <c r="AE89" i="4" a="1"/>
  <c r="AE89" i="4" s="1"/>
  <c r="AJ89" i="4" a="1"/>
  <c r="AJ89" i="4" s="1"/>
  <c r="AF81" i="4" a="1"/>
  <c r="AF81" i="4" s="1"/>
  <c r="AJ81" i="4" a="1"/>
  <c r="AJ81" i="4" s="1"/>
  <c r="AG81" i="4" a="1"/>
  <c r="AG81" i="4" s="1"/>
  <c r="AK81" i="4" a="1"/>
  <c r="AK81" i="4" s="1"/>
  <c r="AH81" i="4" a="1"/>
  <c r="AH81" i="4" s="1"/>
  <c r="AL81" i="4" a="1"/>
  <c r="AL81" i="4" s="1"/>
  <c r="AE81" i="4" a="1"/>
  <c r="AE81" i="4" s="1"/>
  <c r="AI81" i="4" a="1"/>
  <c r="AI81" i="4" s="1"/>
  <c r="AM81" i="4" a="1"/>
  <c r="AM81" i="4" s="1"/>
  <c r="AE73" i="4" a="1"/>
  <c r="AE73" i="4" s="1"/>
  <c r="AI73" i="4" a="1"/>
  <c r="AI73" i="4" s="1"/>
  <c r="AM73" i="4" a="1"/>
  <c r="AM73" i="4" s="1"/>
  <c r="AF73" i="4" a="1"/>
  <c r="AF73" i="4" s="1"/>
  <c r="AJ73" i="4" a="1"/>
  <c r="AJ73" i="4" s="1"/>
  <c r="AG73" i="4" a="1"/>
  <c r="AG73" i="4" s="1"/>
  <c r="AK73" i="4" a="1"/>
  <c r="AK73" i="4" s="1"/>
  <c r="AH73" i="4" a="1"/>
  <c r="AH73" i="4" s="1"/>
  <c r="AL73" i="4" a="1"/>
  <c r="AL73" i="4" s="1"/>
  <c r="AH65" i="4" a="1"/>
  <c r="AH65" i="4" s="1"/>
  <c r="AL65" i="4" a="1"/>
  <c r="AL65" i="4" s="1"/>
  <c r="AE65" i="4" a="1"/>
  <c r="AE65" i="4" s="1"/>
  <c r="AI65" i="4" a="1"/>
  <c r="AI65" i="4" s="1"/>
  <c r="AM65" i="4" a="1"/>
  <c r="AM65" i="4" s="1"/>
  <c r="AF65" i="4" a="1"/>
  <c r="AF65" i="4" s="1"/>
  <c r="AJ65" i="4" a="1"/>
  <c r="AJ65" i="4" s="1"/>
  <c r="AG65" i="4" a="1"/>
  <c r="AG65" i="4" s="1"/>
  <c r="AK65" i="4" a="1"/>
  <c r="AK65" i="4" s="1"/>
  <c r="AH12" i="4" a="1"/>
  <c r="AH12" i="4" s="1"/>
  <c r="AH13" i="4" a="1"/>
  <c r="AH13" i="4" s="1"/>
  <c r="AI15" i="4" a="1"/>
  <c r="AI15" i="4" s="1"/>
  <c r="AJ16" i="4" a="1"/>
  <c r="AJ16" i="4" s="1"/>
  <c r="AE18" i="4" a="1"/>
  <c r="AE18" i="4" s="1"/>
  <c r="AF19" i="4" a="1"/>
  <c r="AF19" i="4" s="1"/>
  <c r="AI21" i="4" a="1"/>
  <c r="AI21" i="4" s="1"/>
  <c r="AJ22" i="4" a="1"/>
  <c r="AJ22" i="4" s="1"/>
  <c r="AE24" i="4" a="1"/>
  <c r="AE24" i="4" s="1"/>
  <c r="AF25" i="4" a="1"/>
  <c r="AF25" i="4" s="1"/>
  <c r="AI27" i="4" a="1"/>
  <c r="AI27" i="4" s="1"/>
  <c r="AJ28" i="4" a="1"/>
  <c r="AJ28" i="4" s="1"/>
  <c r="AW19" i="4" a="1"/>
  <c r="AW19" i="4" s="1"/>
  <c r="AE88" i="4" a="1"/>
  <c r="AE88" i="4" s="1"/>
  <c r="AJ88" i="4" a="1"/>
  <c r="AJ88" i="4" s="1"/>
  <c r="AF88" i="4" a="1"/>
  <c r="AF88" i="4" s="1"/>
  <c r="AK88" i="4" a="1"/>
  <c r="AK88" i="4" s="1"/>
  <c r="AG88" i="4" a="1"/>
  <c r="AG88" i="4" s="1"/>
  <c r="AL88" i="4" a="1"/>
  <c r="AL88" i="4" s="1"/>
  <c r="AM88" i="4" a="1"/>
  <c r="AM88" i="4" s="1"/>
  <c r="AH88" i="4" a="1"/>
  <c r="AH88" i="4" s="1"/>
  <c r="AI88" i="4" a="1"/>
  <c r="AI88" i="4" s="1"/>
  <c r="AG80" i="4" a="1"/>
  <c r="AG80" i="4" s="1"/>
  <c r="AK80" i="4" a="1"/>
  <c r="AK80" i="4" s="1"/>
  <c r="AH80" i="4" a="1"/>
  <c r="AH80" i="4" s="1"/>
  <c r="AL80" i="4" a="1"/>
  <c r="AL80" i="4" s="1"/>
  <c r="AE80" i="4" a="1"/>
  <c r="AE80" i="4" s="1"/>
  <c r="AI80" i="4" a="1"/>
  <c r="AI80" i="4" s="1"/>
  <c r="AM80" i="4" a="1"/>
  <c r="AM80" i="4" s="1"/>
  <c r="AF80" i="4" a="1"/>
  <c r="AF80" i="4" s="1"/>
  <c r="AJ80" i="4" a="1"/>
  <c r="AJ80" i="4" s="1"/>
  <c r="AF72" i="4" a="1"/>
  <c r="AF72" i="4" s="1"/>
  <c r="AJ72" i="4" a="1"/>
  <c r="AJ72" i="4" s="1"/>
  <c r="AG72" i="4" a="1"/>
  <c r="AG72" i="4" s="1"/>
  <c r="AK72" i="4" a="1"/>
  <c r="AK72" i="4" s="1"/>
  <c r="AH72" i="4" a="1"/>
  <c r="AH72" i="4" s="1"/>
  <c r="AL72" i="4" a="1"/>
  <c r="AL72" i="4" s="1"/>
  <c r="AE72" i="4" a="1"/>
  <c r="AE72" i="4" s="1"/>
  <c r="AI72" i="4" a="1"/>
  <c r="AI72" i="4" s="1"/>
  <c r="AM72" i="4" a="1"/>
  <c r="AM72" i="4" s="1"/>
  <c r="AE172" i="4" a="1"/>
  <c r="AE172" i="4" s="1"/>
  <c r="AK31" i="4" a="1"/>
  <c r="AK31" i="4" s="1"/>
  <c r="AK16" i="4" a="1"/>
  <c r="AK16" i="4" s="1"/>
  <c r="AI12" i="4" a="1"/>
  <c r="AI12" i="4" s="1"/>
  <c r="AI13" i="4" a="1"/>
  <c r="AI13" i="4" s="1"/>
  <c r="AL16" i="4" a="1"/>
  <c r="AL16" i="4" s="1"/>
  <c r="AF18" i="4" a="1"/>
  <c r="AF18" i="4" s="1"/>
  <c r="AG19" i="4" a="1"/>
  <c r="AG19" i="4" s="1"/>
  <c r="AJ21" i="4" a="1"/>
  <c r="AJ21" i="4" s="1"/>
  <c r="AL22" i="4" a="1"/>
  <c r="AL22" i="4" s="1"/>
  <c r="AF24" i="4" a="1"/>
  <c r="AF24" i="4" s="1"/>
  <c r="AG25" i="4" a="1"/>
  <c r="AG25" i="4" s="1"/>
  <c r="AJ27" i="4" a="1"/>
  <c r="AJ27" i="4" s="1"/>
  <c r="AL28" i="4" a="1"/>
  <c r="AL28" i="4" s="1"/>
  <c r="AF31" i="4" a="1"/>
  <c r="AF31" i="4" s="1"/>
  <c r="AW18" i="4" a="1"/>
  <c r="AW18" i="4" s="1"/>
  <c r="AE87" i="4" a="1"/>
  <c r="AE87" i="4" s="1"/>
  <c r="AI87" i="4" a="1"/>
  <c r="AI87" i="4" s="1"/>
  <c r="AJ87" i="4" a="1"/>
  <c r="AJ87" i="4" s="1"/>
  <c r="AF87" i="4" a="1"/>
  <c r="AF87" i="4" s="1"/>
  <c r="AK87" i="4" a="1"/>
  <c r="AK87" i="4" s="1"/>
  <c r="AG87" i="4" a="1"/>
  <c r="AG87" i="4" s="1"/>
  <c r="AL87" i="4" a="1"/>
  <c r="AL87" i="4" s="1"/>
  <c r="AH87" i="4" a="1"/>
  <c r="AH87" i="4" s="1"/>
  <c r="AM87" i="4" a="1"/>
  <c r="AM87" i="4" s="1"/>
  <c r="AH79" i="4" a="1"/>
  <c r="AH79" i="4" s="1"/>
  <c r="AL79" i="4" a="1"/>
  <c r="AL79" i="4" s="1"/>
  <c r="AE79" i="4" a="1"/>
  <c r="AE79" i="4" s="1"/>
  <c r="AI79" i="4" a="1"/>
  <c r="AI79" i="4" s="1"/>
  <c r="AM79" i="4" a="1"/>
  <c r="AM79" i="4" s="1"/>
  <c r="AF79" i="4" a="1"/>
  <c r="AF79" i="4" s="1"/>
  <c r="AJ79" i="4" a="1"/>
  <c r="AJ79" i="4" s="1"/>
  <c r="AG79" i="4" a="1"/>
  <c r="AG79" i="4" s="1"/>
  <c r="AK79" i="4" a="1"/>
  <c r="AK79" i="4" s="1"/>
  <c r="AG71" i="4" a="1"/>
  <c r="AG71" i="4" s="1"/>
  <c r="AK71" i="4" a="1"/>
  <c r="AK71" i="4" s="1"/>
  <c r="AH71" i="4" a="1"/>
  <c r="AH71" i="4" s="1"/>
  <c r="AL71" i="4" a="1"/>
  <c r="AL71" i="4" s="1"/>
  <c r="AE71" i="4" a="1"/>
  <c r="AE71" i="4" s="1"/>
  <c r="AI71" i="4" a="1"/>
  <c r="AI71" i="4" s="1"/>
  <c r="AM71" i="4" a="1"/>
  <c r="AM71" i="4" s="1"/>
  <c r="AF71" i="4" a="1"/>
  <c r="AF71" i="4" s="1"/>
  <c r="AJ71" i="4" a="1"/>
  <c r="AJ71" i="4" s="1"/>
  <c r="AI46" i="4" a="1"/>
  <c r="AI46" i="4" s="1"/>
  <c r="AK30" i="4" a="1"/>
  <c r="AK30" i="4" s="1"/>
  <c r="AK25" i="4" a="1"/>
  <c r="AK25" i="4" s="1"/>
  <c r="AK15" i="4" a="1"/>
  <c r="AK15" i="4" s="1"/>
  <c r="AE3" i="4" a="1"/>
  <c r="AE3" i="4" s="1"/>
  <c r="AJ12" i="4" a="1"/>
  <c r="AJ12" i="4" s="1"/>
  <c r="AJ13" i="4" a="1"/>
  <c r="AJ13" i="4" s="1"/>
  <c r="AL15" i="4" a="1"/>
  <c r="AL15" i="4" s="1"/>
  <c r="AG18" i="4" a="1"/>
  <c r="AG18" i="4" s="1"/>
  <c r="AH19" i="4" a="1"/>
  <c r="AH19" i="4" s="1"/>
  <c r="AL21" i="4" a="1"/>
  <c r="AL21" i="4" s="1"/>
  <c r="AG24" i="4" a="1"/>
  <c r="AG24" i="4" s="1"/>
  <c r="AH25" i="4" a="1"/>
  <c r="AH25" i="4" s="1"/>
  <c r="AL27" i="4" a="1"/>
  <c r="AL27" i="4" s="1"/>
  <c r="AF30" i="4" a="1"/>
  <c r="AF30" i="4" s="1"/>
  <c r="AG31" i="4" a="1"/>
  <c r="AG31" i="4" s="1"/>
  <c r="AI48" i="4"/>
  <c r="AF86" i="4" a="1"/>
  <c r="AF86" i="4" s="1"/>
  <c r="AJ86" i="4" a="1"/>
  <c r="AJ86" i="4" s="1"/>
  <c r="AG86" i="4" a="1"/>
  <c r="AG86" i="4" s="1"/>
  <c r="AK86" i="4" a="1"/>
  <c r="AK86" i="4" s="1"/>
  <c r="AH86" i="4" a="1"/>
  <c r="AH86" i="4" s="1"/>
  <c r="AL86" i="4" a="1"/>
  <c r="AL86" i="4" s="1"/>
  <c r="AE86" i="4" a="1"/>
  <c r="AE86" i="4" s="1"/>
  <c r="AI86" i="4" a="1"/>
  <c r="AI86" i="4" s="1"/>
  <c r="AM86" i="4" a="1"/>
  <c r="AM86" i="4" s="1"/>
  <c r="AE78" i="4" a="1"/>
  <c r="AE78" i="4" s="1"/>
  <c r="AI78" i="4" a="1"/>
  <c r="AI78" i="4" s="1"/>
  <c r="AM78" i="4" a="1"/>
  <c r="AM78" i="4" s="1"/>
  <c r="AF78" i="4" a="1"/>
  <c r="AF78" i="4" s="1"/>
  <c r="AJ78" i="4" a="1"/>
  <c r="AJ78" i="4" s="1"/>
  <c r="AG78" i="4" a="1"/>
  <c r="AG78" i="4" s="1"/>
  <c r="AK78" i="4" a="1"/>
  <c r="AK78" i="4" s="1"/>
  <c r="AH78" i="4" a="1"/>
  <c r="AH78" i="4" s="1"/>
  <c r="AL78" i="4" a="1"/>
  <c r="AL78" i="4" s="1"/>
  <c r="AH70" i="4" a="1"/>
  <c r="AH70" i="4" s="1"/>
  <c r="AL70" i="4" a="1"/>
  <c r="AL70" i="4" s="1"/>
  <c r="AE70" i="4" a="1"/>
  <c r="AE70" i="4" s="1"/>
  <c r="AI70" i="4" a="1"/>
  <c r="AI70" i="4" s="1"/>
  <c r="AM70" i="4" a="1"/>
  <c r="AM70" i="4" s="1"/>
  <c r="AF70" i="4" a="1"/>
  <c r="AF70" i="4" s="1"/>
  <c r="AJ70" i="4" a="1"/>
  <c r="AJ70" i="4" s="1"/>
  <c r="AG70" i="4" a="1"/>
  <c r="AG70" i="4" s="1"/>
  <c r="AK70" i="4" a="1"/>
  <c r="AK70" i="4" s="1"/>
  <c r="AJ37" i="4" a="1"/>
  <c r="AJ37" i="4" s="1"/>
  <c r="AK24" i="4" a="1"/>
  <c r="AK24" i="4" s="1"/>
  <c r="AK12" i="4" a="1"/>
  <c r="AK12" i="4" s="1"/>
  <c r="AK13" i="4" a="1"/>
  <c r="AK13" i="4" s="1"/>
  <c r="AE16" i="4" a="1"/>
  <c r="AE16" i="4" s="1"/>
  <c r="AE22" i="4" a="1"/>
  <c r="AE22" i="4" s="1"/>
  <c r="AH24" i="4" a="1"/>
  <c r="AH24" i="4" s="1"/>
  <c r="AI25" i="4" a="1"/>
  <c r="AI25" i="4" s="1"/>
  <c r="AG30" i="4" a="1"/>
  <c r="AG30" i="4" s="1"/>
  <c r="AH31" i="4" a="1"/>
  <c r="AH31" i="4" s="1"/>
  <c r="AW31" i="4" a="1"/>
  <c r="AW31" i="4" s="1"/>
  <c r="AW16" i="4" a="1"/>
  <c r="AW16" i="4" s="1"/>
  <c r="AL3" i="4" a="1"/>
  <c r="AL3" i="4" s="1"/>
  <c r="AE64" i="4" a="1"/>
  <c r="AE64" i="4" s="1"/>
  <c r="AI64" i="4" a="1"/>
  <c r="AI64" i="4" s="1"/>
  <c r="AM64" i="4" a="1"/>
  <c r="AM64" i="4" s="1"/>
  <c r="AL63" i="4" a="1"/>
  <c r="AL63" i="4" s="1"/>
  <c r="AE63" i="4" a="1"/>
  <c r="AE63" i="4" s="1"/>
  <c r="AM63" i="4" a="1"/>
  <c r="AM63" i="4" s="1"/>
  <c r="AF64" i="4" a="1"/>
  <c r="AF64" i="4" s="1"/>
  <c r="AJ64" i="4" a="1"/>
  <c r="AJ64" i="4" s="1"/>
  <c r="AF63" i="4" a="1"/>
  <c r="AF63" i="4" s="1"/>
  <c r="AG63" i="4" a="1"/>
  <c r="AG63" i="4" s="1"/>
  <c r="AG64" i="4" a="1"/>
  <c r="AG64" i="4" s="1"/>
  <c r="AK64" i="4" a="1"/>
  <c r="AK64" i="4" s="1"/>
  <c r="AH63" i="4" a="1"/>
  <c r="AH63" i="4" s="1"/>
  <c r="AI63" i="4" a="1"/>
  <c r="AI63" i="4" s="1"/>
  <c r="AH64" i="4" a="1"/>
  <c r="AH64" i="4" s="1"/>
  <c r="AL64" i="4" a="1"/>
  <c r="AL64" i="4" s="1"/>
  <c r="AJ63" i="4" a="1"/>
  <c r="AJ63" i="4" s="1"/>
  <c r="AK63" i="4" a="1"/>
  <c r="AK63" i="4" s="1"/>
  <c r="AG85" i="4" a="1"/>
  <c r="AG85" i="4" s="1"/>
  <c r="AK85" i="4" a="1"/>
  <c r="AK85" i="4" s="1"/>
  <c r="AH85" i="4" a="1"/>
  <c r="AH85" i="4" s="1"/>
  <c r="AL85" i="4" a="1"/>
  <c r="AL85" i="4" s="1"/>
  <c r="AE85" i="4" a="1"/>
  <c r="AE85" i="4" s="1"/>
  <c r="AI85" i="4" a="1"/>
  <c r="AI85" i="4" s="1"/>
  <c r="AM85" i="4" a="1"/>
  <c r="AM85" i="4" s="1"/>
  <c r="AF85" i="4" a="1"/>
  <c r="AF85" i="4" s="1"/>
  <c r="AJ85" i="4" a="1"/>
  <c r="AJ85" i="4" s="1"/>
  <c r="AF77" i="4" a="1"/>
  <c r="AF77" i="4" s="1"/>
  <c r="AJ77" i="4" a="1"/>
  <c r="AJ77" i="4" s="1"/>
  <c r="AG77" i="4" a="1"/>
  <c r="AG77" i="4" s="1"/>
  <c r="AK77" i="4" a="1"/>
  <c r="AK77" i="4" s="1"/>
  <c r="AH77" i="4" a="1"/>
  <c r="AH77" i="4" s="1"/>
  <c r="AL77" i="4" a="1"/>
  <c r="AL77" i="4" s="1"/>
  <c r="AE77" i="4" a="1"/>
  <c r="AE77" i="4" s="1"/>
  <c r="AI77" i="4" a="1"/>
  <c r="AI77" i="4" s="1"/>
  <c r="AM77" i="4" a="1"/>
  <c r="AM77" i="4" s="1"/>
  <c r="AE69" i="4" a="1"/>
  <c r="AE69" i="4" s="1"/>
  <c r="AI69" i="4" a="1"/>
  <c r="AI69" i="4" s="1"/>
  <c r="AM69" i="4" a="1"/>
  <c r="AM69" i="4" s="1"/>
  <c r="AF69" i="4" a="1"/>
  <c r="AF69" i="4" s="1"/>
  <c r="AJ69" i="4" a="1"/>
  <c r="AJ69" i="4" s="1"/>
  <c r="AG69" i="4" a="1"/>
  <c r="AG69" i="4" s="1"/>
  <c r="AK69" i="4" a="1"/>
  <c r="AK69" i="4" s="1"/>
  <c r="AH69" i="4" a="1"/>
  <c r="AH69" i="4" s="1"/>
  <c r="AL69" i="4" a="1"/>
  <c r="AL69" i="4" s="1"/>
  <c r="AK19" i="4" a="1"/>
  <c r="AK19" i="4" s="1"/>
  <c r="AL12" i="4" a="1"/>
  <c r="AL12" i="4" s="1"/>
  <c r="AL13" i="4" a="1"/>
  <c r="AL13" i="4" s="1"/>
  <c r="AE15" i="4" a="1"/>
  <c r="AE15" i="4" s="1"/>
  <c r="AF16" i="4" a="1"/>
  <c r="AF16" i="4" s="1"/>
  <c r="AI18" i="4" a="1"/>
  <c r="AI18" i="4" s="1"/>
  <c r="AJ19" i="4" a="1"/>
  <c r="AJ19" i="4" s="1"/>
  <c r="AE21" i="4" a="1"/>
  <c r="AE21" i="4" s="1"/>
  <c r="AF22" i="4" a="1"/>
  <c r="AF22" i="4" s="1"/>
  <c r="AI24" i="4" a="1"/>
  <c r="AI24" i="4" s="1"/>
  <c r="AJ25" i="4" a="1"/>
  <c r="AJ25" i="4" s="1"/>
  <c r="AE27" i="4" a="1"/>
  <c r="AE27" i="4" s="1"/>
  <c r="AF28" i="4" a="1"/>
  <c r="AF28" i="4" s="1"/>
  <c r="AH30" i="4" a="1"/>
  <c r="AH30" i="4" s="1"/>
  <c r="AI31" i="4" a="1"/>
  <c r="AI31" i="4" s="1"/>
  <c r="AW30" i="4" a="1"/>
  <c r="AW30" i="4" s="1"/>
  <c r="AW22" i="4" a="1"/>
  <c r="AW22" i="4" s="1"/>
  <c r="AW15" i="4" a="1"/>
  <c r="AW15" i="4" s="1"/>
  <c r="AM156" i="4" a="1"/>
  <c r="AM156" i="4" s="1"/>
  <c r="AH84" i="4" a="1"/>
  <c r="AH84" i="4" s="1"/>
  <c r="AL84" i="4" a="1"/>
  <c r="AL84" i="4" s="1"/>
  <c r="AE84" i="4" a="1"/>
  <c r="AE84" i="4" s="1"/>
  <c r="AI84" i="4" a="1"/>
  <c r="AI84" i="4" s="1"/>
  <c r="AM84" i="4" a="1"/>
  <c r="AM84" i="4" s="1"/>
  <c r="AF84" i="4" a="1"/>
  <c r="AF84" i="4" s="1"/>
  <c r="AJ84" i="4" a="1"/>
  <c r="AJ84" i="4" s="1"/>
  <c r="AG84" i="4" a="1"/>
  <c r="AG84" i="4" s="1"/>
  <c r="AK84" i="4" a="1"/>
  <c r="AK84" i="4" s="1"/>
  <c r="AG76" i="4" a="1"/>
  <c r="AG76" i="4" s="1"/>
  <c r="AK76" i="4" a="1"/>
  <c r="AK76" i="4" s="1"/>
  <c r="AH76" i="4" a="1"/>
  <c r="AH76" i="4" s="1"/>
  <c r="AL76" i="4" a="1"/>
  <c r="AL76" i="4" s="1"/>
  <c r="AE76" i="4" a="1"/>
  <c r="AE76" i="4" s="1"/>
  <c r="AI76" i="4" a="1"/>
  <c r="AI76" i="4" s="1"/>
  <c r="AM76" i="4" a="1"/>
  <c r="AM76" i="4" s="1"/>
  <c r="AF76" i="4" a="1"/>
  <c r="AF76" i="4" s="1"/>
  <c r="AJ76" i="4" a="1"/>
  <c r="AJ76" i="4" s="1"/>
  <c r="AE68" i="4" a="1"/>
  <c r="AE68" i="4" s="1"/>
  <c r="AF68" i="4" a="1"/>
  <c r="AF68" i="4" s="1"/>
  <c r="AG68" i="4" a="1"/>
  <c r="AG68" i="4" s="1"/>
  <c r="AH68" i="4" a="1"/>
  <c r="AH68" i="4" s="1"/>
  <c r="AI68" i="4" a="1"/>
  <c r="AI68" i="4" s="1"/>
  <c r="AJ68" i="4" a="1"/>
  <c r="AJ68" i="4" s="1"/>
  <c r="AK68" i="4" a="1"/>
  <c r="AK68" i="4" s="1"/>
  <c r="AL68" i="4" a="1"/>
  <c r="AL68" i="4" s="1"/>
  <c r="AK28" i="4" a="1"/>
  <c r="AK28" i="4" s="1"/>
  <c r="AK18" i="4" a="1"/>
  <c r="AK18" i="4" s="1"/>
  <c r="AE13" i="4" a="1"/>
  <c r="AE13" i="4" s="1"/>
  <c r="AF15" i="4" a="1"/>
  <c r="AF15" i="4" s="1"/>
  <c r="AG16" i="4" a="1"/>
  <c r="AG16" i="4" s="1"/>
  <c r="AJ18" i="4" a="1"/>
  <c r="AJ18" i="4" s="1"/>
  <c r="AL19" i="4" a="1"/>
  <c r="AL19" i="4" s="1"/>
  <c r="AF21" i="4" a="1"/>
  <c r="AF21" i="4" s="1"/>
  <c r="AG22" i="4" a="1"/>
  <c r="AG22" i="4" s="1"/>
  <c r="AJ24" i="4" a="1"/>
  <c r="AJ24" i="4" s="1"/>
  <c r="AL25" i="4" a="1"/>
  <c r="AL25" i="4" s="1"/>
  <c r="AF27" i="4" a="1"/>
  <c r="AF27" i="4" s="1"/>
  <c r="AG28" i="4" a="1"/>
  <c r="AG28" i="4" s="1"/>
  <c r="AI30" i="4" a="1"/>
  <c r="AI30" i="4" s="1"/>
  <c r="AJ31" i="4" a="1"/>
  <c r="AJ31" i="4" s="1"/>
  <c r="AW28" i="4" a="1"/>
  <c r="AW28" i="4" s="1"/>
  <c r="AW21" i="4" a="1"/>
  <c r="AW21" i="4" s="1"/>
  <c r="AE83" i="4" a="1"/>
  <c r="AE83" i="4" s="1"/>
  <c r="AI83" i="4" a="1"/>
  <c r="AI83" i="4" s="1"/>
  <c r="AM83" i="4" a="1"/>
  <c r="AM83" i="4" s="1"/>
  <c r="AF83" i="4" a="1"/>
  <c r="AF83" i="4" s="1"/>
  <c r="AJ83" i="4" a="1"/>
  <c r="AJ83" i="4" s="1"/>
  <c r="AG83" i="4" a="1"/>
  <c r="AG83" i="4" s="1"/>
  <c r="AK83" i="4" a="1"/>
  <c r="AK83" i="4" s="1"/>
  <c r="AH83" i="4" a="1"/>
  <c r="AH83" i="4" s="1"/>
  <c r="AL83" i="4" a="1"/>
  <c r="AL83" i="4" s="1"/>
  <c r="AG75" i="4" a="1"/>
  <c r="AG75" i="4" s="1"/>
  <c r="AK75" i="4" a="1"/>
  <c r="AK75" i="4" s="1"/>
  <c r="AH75" i="4" a="1"/>
  <c r="AH75" i="4" s="1"/>
  <c r="AL75" i="4" a="1"/>
  <c r="AL75" i="4" s="1"/>
  <c r="AE75" i="4" a="1"/>
  <c r="AE75" i="4" s="1"/>
  <c r="AI75" i="4" a="1"/>
  <c r="AI75" i="4" s="1"/>
  <c r="AF75" i="4" a="1"/>
  <c r="AF75" i="4" s="1"/>
  <c r="AJ75" i="4" a="1"/>
  <c r="AJ75" i="4" s="1"/>
  <c r="AF67" i="4" a="1"/>
  <c r="AF67" i="4" s="1"/>
  <c r="AJ67" i="4" a="1"/>
  <c r="AJ67" i="4" s="1"/>
  <c r="AG67" i="4" a="1"/>
  <c r="AG67" i="4" s="1"/>
  <c r="AK67" i="4" a="1"/>
  <c r="AK67" i="4" s="1"/>
  <c r="AH67" i="4" a="1"/>
  <c r="AH67" i="4" s="1"/>
  <c r="AL67" i="4" a="1"/>
  <c r="AL67" i="4" s="1"/>
  <c r="AE67" i="4" a="1"/>
  <c r="AE67" i="4" s="1"/>
  <c r="AI67" i="4" a="1"/>
  <c r="AI67" i="4" s="1"/>
  <c r="AM67" i="4" a="1"/>
  <c r="AM67" i="4" s="1"/>
  <c r="AE34" i="4" a="1"/>
  <c r="AE34" i="4" s="1"/>
  <c r="AF12" i="4" a="1"/>
  <c r="AF12" i="4" s="1"/>
  <c r="AF13" i="4" a="1"/>
  <c r="AF13" i="4" s="1"/>
  <c r="AG15" i="4" a="1"/>
  <c r="AG15" i="4" s="1"/>
  <c r="AH16" i="4" a="1"/>
  <c r="AH16" i="4" s="1"/>
  <c r="AL18" i="4" a="1"/>
  <c r="AL18" i="4" s="1"/>
  <c r="AG21" i="4" a="1"/>
  <c r="AG21" i="4" s="1"/>
  <c r="AH22" i="4" a="1"/>
  <c r="AH22" i="4" s="1"/>
  <c r="AL24" i="4" a="1"/>
  <c r="AL24" i="4" s="1"/>
  <c r="AG27" i="4" a="1"/>
  <c r="AG27" i="4" s="1"/>
  <c r="AH28" i="4" a="1"/>
  <c r="AH28" i="4" s="1"/>
  <c r="AJ30" i="4" a="1"/>
  <c r="AJ30" i="4" s="1"/>
  <c r="AL31" i="4" a="1"/>
  <c r="AL31" i="4" s="1"/>
  <c r="AW27" i="4" a="1"/>
  <c r="AW27" i="4" s="1"/>
  <c r="AP170" i="4" a="1"/>
  <c r="AP170" i="4" s="1"/>
  <c r="AP58" i="4" a="1"/>
  <c r="AP58" i="4" s="1"/>
  <c r="AP60" i="4" a="1"/>
  <c r="AP60" i="4" s="1"/>
  <c r="AG51" i="2"/>
  <c r="AI80" i="2"/>
  <c r="AG80" i="2"/>
  <c r="AI63" i="2"/>
  <c r="AG62" i="2"/>
  <c r="AH86" i="2"/>
  <c r="AI61" i="2"/>
  <c r="AH85" i="2"/>
  <c r="AN146" i="4" a="1"/>
  <c r="AN146" i="4" s="1"/>
  <c r="AM158" i="4" a="1"/>
  <c r="AM158" i="4" s="1"/>
  <c r="AN147" i="4" a="1"/>
  <c r="AN147" i="4" s="1"/>
  <c r="AM160" i="4" a="1"/>
  <c r="AM160" i="4" s="1"/>
  <c r="AN149" i="4" a="1"/>
  <c r="AN149" i="4" s="1"/>
  <c r="AK135" i="4" a="1"/>
  <c r="AK135" i="4" s="1"/>
  <c r="AN150" i="4" a="1"/>
  <c r="AN150" i="4" s="1"/>
  <c r="AM152" i="4" a="1"/>
  <c r="AM152" i="4" s="1"/>
  <c r="AM153" i="4" a="1"/>
  <c r="AM153" i="4" s="1"/>
  <c r="AM155" i="4" a="1"/>
  <c r="AM155" i="4" s="1"/>
  <c r="AG54" i="2"/>
  <c r="AH75" i="2"/>
  <c r="AH71" i="2"/>
  <c r="AI72" i="2"/>
  <c r="AG71" i="2"/>
  <c r="AI64" i="2"/>
  <c r="AG63" i="2"/>
  <c r="AG75" i="2"/>
  <c r="AG67" i="2"/>
  <c r="AH72" i="2"/>
  <c r="AG76" i="2"/>
  <c r="AI69" i="2"/>
  <c r="AI52" i="2"/>
  <c r="AG86" i="2"/>
  <c r="AH73" i="2"/>
  <c r="AI74" i="2"/>
  <c r="AG73" i="2"/>
  <c r="AI66" i="2"/>
  <c r="AG65" i="2"/>
  <c r="AI62" i="2"/>
  <c r="AG61" i="2"/>
  <c r="AG87" i="2"/>
  <c r="AI21" i="2"/>
  <c r="AH74" i="2"/>
  <c r="AH21" i="2"/>
  <c r="AG78" i="2"/>
  <c r="AI53" i="2"/>
  <c r="AG52" i="2"/>
  <c r="AI38" i="2"/>
  <c r="AH25" i="2"/>
  <c r="AG4" i="2"/>
  <c r="AG40" i="2"/>
  <c r="AL32" i="2"/>
  <c r="AL24" i="2"/>
  <c r="AN82" i="2"/>
  <c r="AM30" i="2"/>
  <c r="AH76" i="2"/>
  <c r="AI88" i="2"/>
  <c r="AM31" i="2"/>
  <c r="AN88" i="2"/>
  <c r="AN80" i="2"/>
  <c r="AL30" i="2"/>
  <c r="AL22" i="2"/>
  <c r="AH68" i="2"/>
  <c r="AH67" i="2"/>
  <c r="AH66" i="2"/>
  <c r="AH65" i="2"/>
  <c r="AH64" i="2"/>
  <c r="AH78" i="2"/>
  <c r="AL33" i="2"/>
  <c r="AL25" i="2"/>
  <c r="AH39" i="2"/>
  <c r="AI75" i="2"/>
  <c r="AO86" i="2"/>
  <c r="AH63" i="2"/>
  <c r="AH62" i="2"/>
  <c r="AH61" i="2"/>
  <c r="AH54" i="2"/>
  <c r="AH53" i="2"/>
  <c r="AH52" i="2"/>
  <c r="AI16" i="2"/>
  <c r="AG77" i="2"/>
  <c r="AL29" i="2"/>
  <c r="AL21" i="2"/>
  <c r="AW58" i="4" a="1"/>
  <c r="AW58" i="4" s="1"/>
  <c r="AW49" i="4" a="1"/>
  <c r="AW49" i="4" s="1"/>
  <c r="AW39" i="4" a="1"/>
  <c r="AW39" i="4" s="1"/>
  <c r="AW54" i="4" a="1"/>
  <c r="AW54" i="4" s="1"/>
  <c r="AW61" i="4" a="1"/>
  <c r="AW61" i="4" s="1"/>
  <c r="AW45" i="4" a="1"/>
  <c r="AW45" i="4" s="1"/>
  <c r="AW52" i="4" a="1"/>
  <c r="AW52" i="4" s="1"/>
  <c r="AW36" i="4" a="1"/>
  <c r="AW36" i="4" s="1"/>
  <c r="AW59" i="4" a="1"/>
  <c r="AW59" i="4" s="1"/>
  <c r="AW51" i="4" a="1"/>
  <c r="AW51" i="4" s="1"/>
  <c r="AW43" i="4" a="1"/>
  <c r="AW43" i="4" s="1"/>
  <c r="AW35" i="4" a="1"/>
  <c r="AW35" i="4" s="1"/>
  <c r="AE33" i="4" a="1"/>
  <c r="AE33" i="4" s="1"/>
  <c r="AE36" i="4" a="1"/>
  <c r="AE36" i="4" s="1"/>
  <c r="AE37" i="4" a="1"/>
  <c r="AE37" i="4" s="1"/>
  <c r="AE39" i="4" a="1"/>
  <c r="AE39" i="4" s="1"/>
  <c r="AE40" i="4" a="1"/>
  <c r="AE40" i="4" s="1"/>
  <c r="AE42" i="4" a="1"/>
  <c r="AE42" i="4" s="1"/>
  <c r="AE43" i="4" a="1"/>
  <c r="AE43" i="4" s="1"/>
  <c r="AE45" i="4" a="1"/>
  <c r="AE45" i="4" s="1"/>
  <c r="AE46" i="4" a="1"/>
  <c r="AE46" i="4" s="1"/>
  <c r="AE51" i="4" a="1"/>
  <c r="AE51" i="4" s="1"/>
  <c r="AE52" i="4" a="1"/>
  <c r="AE52" i="4" s="1"/>
  <c r="AE54" i="4" a="1"/>
  <c r="AE54" i="4" s="1"/>
  <c r="AE55" i="4" a="1"/>
  <c r="AE55" i="4" s="1"/>
  <c r="AE57" i="4" a="1"/>
  <c r="AE57" i="4" s="1"/>
  <c r="AF61" i="4" a="1"/>
  <c r="AF61" i="4" s="1"/>
  <c r="AG59" i="4" a="1"/>
  <c r="AG59" i="4" s="1"/>
  <c r="AJ98" i="4" a="1"/>
  <c r="AJ98" i="4" s="1"/>
  <c r="AI99" i="4" a="1"/>
  <c r="AI99" i="4" s="1"/>
  <c r="AH100" i="4" a="1"/>
  <c r="AH100" i="4" s="1"/>
  <c r="AG101" i="4" a="1"/>
  <c r="AG101" i="4" s="1"/>
  <c r="AF102" i="4" a="1"/>
  <c r="AF102" i="4" s="1"/>
  <c r="AE103" i="4" a="1"/>
  <c r="AE103" i="4" s="1"/>
  <c r="AM103" i="4" a="1"/>
  <c r="AM103" i="4" s="1"/>
  <c r="AL104" i="4" a="1"/>
  <c r="AL104" i="4" s="1"/>
  <c r="AK106" i="4" a="1"/>
  <c r="AK106" i="4" s="1"/>
  <c r="AK107" i="4" a="1"/>
  <c r="AK107" i="4" s="1"/>
  <c r="AK108" i="4" a="1"/>
  <c r="AK108" i="4" s="1"/>
  <c r="AK109" i="4" a="1"/>
  <c r="AK109" i="4" s="1"/>
  <c r="AK110" i="4" a="1"/>
  <c r="AK110" i="4" s="1"/>
  <c r="AK111" i="4" a="1"/>
  <c r="AK111" i="4" s="1"/>
  <c r="AE113" i="4" a="1"/>
  <c r="AE113" i="4" s="1"/>
  <c r="AF114" i="4" a="1"/>
  <c r="AF114" i="4" s="1"/>
  <c r="AG116" i="4" a="1"/>
  <c r="AG116" i="4" s="1"/>
  <c r="AH117" i="4" a="1"/>
  <c r="AH117" i="4" s="1"/>
  <c r="AI118" i="4" a="1"/>
  <c r="AI118" i="4" s="1"/>
  <c r="AJ119" i="4" a="1"/>
  <c r="AJ119" i="4" s="1"/>
  <c r="AK120" i="4" a="1"/>
  <c r="AK120" i="4" s="1"/>
  <c r="AE122" i="4" a="1"/>
  <c r="AE122" i="4" s="1"/>
  <c r="AF123" i="4" a="1"/>
  <c r="AF123" i="4" s="1"/>
  <c r="AG124" i="4" a="1"/>
  <c r="AG124" i="4" s="1"/>
  <c r="AH126" i="4" a="1"/>
  <c r="AH126" i="4" s="1"/>
  <c r="AE127" i="4" a="1"/>
  <c r="AE127" i="4" s="1"/>
  <c r="AF128" i="4" a="1"/>
  <c r="AF128" i="4" s="1"/>
  <c r="AK130" i="4" a="1"/>
  <c r="AK130" i="4" s="1"/>
  <c r="AE134" i="4" a="1"/>
  <c r="AE134" i="4" s="1"/>
  <c r="AW34" i="4" a="1"/>
  <c r="AW34" i="4" s="1"/>
  <c r="AF34" i="4" a="1"/>
  <c r="AF34" i="4" s="1"/>
  <c r="AF36" i="4" a="1"/>
  <c r="AF36" i="4" s="1"/>
  <c r="AF37" i="4" a="1"/>
  <c r="AF37" i="4" s="1"/>
  <c r="AF39" i="4" a="1"/>
  <c r="AF39" i="4" s="1"/>
  <c r="AF40" i="4" a="1"/>
  <c r="AF40" i="4" s="1"/>
  <c r="AF42" i="4" a="1"/>
  <c r="AF42" i="4" s="1"/>
  <c r="AF43" i="4" a="1"/>
  <c r="AF43" i="4" s="1"/>
  <c r="AF45" i="4" a="1"/>
  <c r="AF45" i="4" s="1"/>
  <c r="AF46" i="4" a="1"/>
  <c r="AF46" i="4" s="1"/>
  <c r="AF51" i="4" a="1"/>
  <c r="AF51" i="4" s="1"/>
  <c r="AF52" i="4" a="1"/>
  <c r="AF52" i="4" s="1"/>
  <c r="AF54" i="4" a="1"/>
  <c r="AF54" i="4" s="1"/>
  <c r="AF55" i="4" a="1"/>
  <c r="AF55" i="4" s="1"/>
  <c r="AM61" i="4" a="1"/>
  <c r="AM61" i="4" s="1"/>
  <c r="AE61" i="4" a="1"/>
  <c r="AE61" i="4" s="1"/>
  <c r="AF59" i="4" a="1"/>
  <c r="AF59" i="4" s="1"/>
  <c r="AK98" i="4" a="1"/>
  <c r="AK98" i="4" s="1"/>
  <c r="AJ99" i="4" a="1"/>
  <c r="AJ99" i="4" s="1"/>
  <c r="AI100" i="4" a="1"/>
  <c r="AI100" i="4" s="1"/>
  <c r="AH101" i="4" a="1"/>
  <c r="AH101" i="4" s="1"/>
  <c r="AG102" i="4" a="1"/>
  <c r="AG102" i="4" s="1"/>
  <c r="AF103" i="4" a="1"/>
  <c r="AF103" i="4" s="1"/>
  <c r="AE104" i="4" a="1"/>
  <c r="AE104" i="4" s="1"/>
  <c r="AM104" i="4" a="1"/>
  <c r="AM104" i="4" s="1"/>
  <c r="AL106" i="4" a="1"/>
  <c r="AL106" i="4" s="1"/>
  <c r="AL107" i="4" a="1"/>
  <c r="AL107" i="4" s="1"/>
  <c r="AL108" i="4" a="1"/>
  <c r="AL108" i="4" s="1"/>
  <c r="AL109" i="4" a="1"/>
  <c r="AL109" i="4" s="1"/>
  <c r="AL110" i="4" a="1"/>
  <c r="AL110" i="4" s="1"/>
  <c r="AE112" i="4" a="1"/>
  <c r="AE112" i="4" s="1"/>
  <c r="AF113" i="4" a="1"/>
  <c r="AF113" i="4" s="1"/>
  <c r="AG114" i="4" a="1"/>
  <c r="AG114" i="4" s="1"/>
  <c r="AH116" i="4" a="1"/>
  <c r="AH116" i="4" s="1"/>
  <c r="AI117" i="4" a="1"/>
  <c r="AI117" i="4" s="1"/>
  <c r="AJ118" i="4" a="1"/>
  <c r="AJ118" i="4" s="1"/>
  <c r="AK119" i="4" a="1"/>
  <c r="AK119" i="4" s="1"/>
  <c r="AE121" i="4" a="1"/>
  <c r="AE121" i="4" s="1"/>
  <c r="AF122" i="4" a="1"/>
  <c r="AF122" i="4" s="1"/>
  <c r="AG123" i="4" a="1"/>
  <c r="AG123" i="4" s="1"/>
  <c r="AH124" i="4" a="1"/>
  <c r="AH124" i="4" s="1"/>
  <c r="AI126" i="4" a="1"/>
  <c r="AI126" i="4" s="1"/>
  <c r="AF127" i="4" a="1"/>
  <c r="AF127" i="4" s="1"/>
  <c r="AI128" i="4" a="1"/>
  <c r="AI128" i="4" s="1"/>
  <c r="AL130" i="4" a="1"/>
  <c r="AL130" i="4" s="1"/>
  <c r="AK134" i="4" a="1"/>
  <c r="AK134" i="4" s="1"/>
  <c r="AW57" i="4" a="1"/>
  <c r="AW57" i="4" s="1"/>
  <c r="AW41" i="4" a="1"/>
  <c r="AW41" i="4" s="1"/>
  <c r="AW33" i="4" a="1"/>
  <c r="AW33" i="4" s="1"/>
  <c r="AG33" i="4" a="1"/>
  <c r="AG33" i="4" s="1"/>
  <c r="AG34" i="4" a="1"/>
  <c r="AG34" i="4" s="1"/>
  <c r="AG36" i="4" a="1"/>
  <c r="AG36" i="4" s="1"/>
  <c r="AG37" i="4" a="1"/>
  <c r="AG37" i="4" s="1"/>
  <c r="AG39" i="4" a="1"/>
  <c r="AG39" i="4" s="1"/>
  <c r="AG40" i="4" a="1"/>
  <c r="AG40" i="4" s="1"/>
  <c r="AG42" i="4" a="1"/>
  <c r="AG42" i="4" s="1"/>
  <c r="AG43" i="4" a="1"/>
  <c r="AG43" i="4" s="1"/>
  <c r="AG45" i="4" a="1"/>
  <c r="AG45" i="4" s="1"/>
  <c r="AG46" i="4" a="1"/>
  <c r="AG46" i="4" s="1"/>
  <c r="AG51" i="4" a="1"/>
  <c r="AG51" i="4" s="1"/>
  <c r="AG52" i="4" a="1"/>
  <c r="AG52" i="4" s="1"/>
  <c r="AG54" i="4" a="1"/>
  <c r="AG54" i="4" s="1"/>
  <c r="AG55" i="4" a="1"/>
  <c r="AG55" i="4" s="1"/>
  <c r="AG57" i="4" a="1"/>
  <c r="AG57" i="4" s="1"/>
  <c r="AL61" i="4" a="1"/>
  <c r="AL61" i="4" s="1"/>
  <c r="AM59" i="4" a="1"/>
  <c r="AM59" i="4" s="1"/>
  <c r="AE59" i="4" a="1"/>
  <c r="AE59" i="4" s="1"/>
  <c r="AL98" i="4" a="1"/>
  <c r="AL98" i="4" s="1"/>
  <c r="AK99" i="4" a="1"/>
  <c r="AK99" i="4" s="1"/>
  <c r="AJ100" i="4" a="1"/>
  <c r="AJ100" i="4" s="1"/>
  <c r="AI101" i="4" a="1"/>
  <c r="AI101" i="4" s="1"/>
  <c r="AH102" i="4" a="1"/>
  <c r="AH102" i="4" s="1"/>
  <c r="AG103" i="4" a="1"/>
  <c r="AG103" i="4" s="1"/>
  <c r="AF104" i="4" a="1"/>
  <c r="AF104" i="4" s="1"/>
  <c r="AE106" i="4" a="1"/>
  <c r="AE106" i="4" s="1"/>
  <c r="AE107" i="4" a="1"/>
  <c r="AE107" i="4" s="1"/>
  <c r="AE108" i="4" a="1"/>
  <c r="AE108" i="4" s="1"/>
  <c r="AE109" i="4" a="1"/>
  <c r="AE109" i="4" s="1"/>
  <c r="AE110" i="4" a="1"/>
  <c r="AE110" i="4" s="1"/>
  <c r="AE111" i="4" a="1"/>
  <c r="AE111" i="4" s="1"/>
  <c r="AF112" i="4" a="1"/>
  <c r="AF112" i="4" s="1"/>
  <c r="AG113" i="4" a="1"/>
  <c r="AG113" i="4" s="1"/>
  <c r="AH114" i="4" a="1"/>
  <c r="AH114" i="4" s="1"/>
  <c r="AI116" i="4" a="1"/>
  <c r="AI116" i="4" s="1"/>
  <c r="AJ117" i="4" a="1"/>
  <c r="AJ117" i="4" s="1"/>
  <c r="AK118" i="4" a="1"/>
  <c r="AK118" i="4" s="1"/>
  <c r="AE120" i="4" a="1"/>
  <c r="AE120" i="4" s="1"/>
  <c r="AF121" i="4" a="1"/>
  <c r="AF121" i="4" s="1"/>
  <c r="AG122" i="4" a="1"/>
  <c r="AG122" i="4" s="1"/>
  <c r="AH123" i="4" a="1"/>
  <c r="AH123" i="4" s="1"/>
  <c r="AI124" i="4" a="1"/>
  <c r="AI124" i="4" s="1"/>
  <c r="AJ126" i="4" a="1"/>
  <c r="AJ126" i="4" s="1"/>
  <c r="AG127" i="4" a="1"/>
  <c r="AG127" i="4" s="1"/>
  <c r="AJ128" i="4" a="1"/>
  <c r="AJ128" i="4" s="1"/>
  <c r="AE131" i="4" a="1"/>
  <c r="AE131" i="4" s="1"/>
  <c r="AL134" i="4" a="1"/>
  <c r="AL134" i="4" s="1"/>
  <c r="AW56" i="4" a="1"/>
  <c r="AW56" i="4" s="1"/>
  <c r="AH33" i="4" a="1"/>
  <c r="AH33" i="4" s="1"/>
  <c r="AH34" i="4" a="1"/>
  <c r="AH34" i="4" s="1"/>
  <c r="AH36" i="4" a="1"/>
  <c r="AH36" i="4" s="1"/>
  <c r="AH37" i="4" a="1"/>
  <c r="AH37" i="4" s="1"/>
  <c r="AH39" i="4" a="1"/>
  <c r="AH39" i="4" s="1"/>
  <c r="AH40" i="4" a="1"/>
  <c r="AH40" i="4" s="1"/>
  <c r="AH42" i="4" a="1"/>
  <c r="AH42" i="4" s="1"/>
  <c r="AH43" i="4" a="1"/>
  <c r="AH43" i="4" s="1"/>
  <c r="AH45" i="4" a="1"/>
  <c r="AH45" i="4" s="1"/>
  <c r="AH46" i="4" a="1"/>
  <c r="AH46" i="4" s="1"/>
  <c r="AH51" i="4" a="1"/>
  <c r="AH51" i="4" s="1"/>
  <c r="AH52" i="4" a="1"/>
  <c r="AH52" i="4" s="1"/>
  <c r="AH54" i="4" a="1"/>
  <c r="AH54" i="4" s="1"/>
  <c r="AH55" i="4" a="1"/>
  <c r="AH55" i="4" s="1"/>
  <c r="AH57" i="4" a="1"/>
  <c r="AH57" i="4" s="1"/>
  <c r="AK61" i="4" a="1"/>
  <c r="AK61" i="4" s="1"/>
  <c r="AL59" i="4" a="1"/>
  <c r="AL59" i="4" s="1"/>
  <c r="AE98" i="4" a="1"/>
  <c r="AE98" i="4" s="1"/>
  <c r="AM98" i="4" a="1"/>
  <c r="AM98" i="4" s="1"/>
  <c r="AL99" i="4" a="1"/>
  <c r="AL99" i="4" s="1"/>
  <c r="AK100" i="4" a="1"/>
  <c r="AK100" i="4" s="1"/>
  <c r="AJ101" i="4" a="1"/>
  <c r="AJ101" i="4" s="1"/>
  <c r="AI102" i="4" a="1"/>
  <c r="AI102" i="4" s="1"/>
  <c r="AH103" i="4" a="1"/>
  <c r="AH103" i="4" s="1"/>
  <c r="AG104" i="4" a="1"/>
  <c r="AG104" i="4" s="1"/>
  <c r="AF106" i="4" a="1"/>
  <c r="AF106" i="4" s="1"/>
  <c r="AF107" i="4" a="1"/>
  <c r="AF107" i="4" s="1"/>
  <c r="AF108" i="4" a="1"/>
  <c r="AF108" i="4" s="1"/>
  <c r="AF109" i="4" a="1"/>
  <c r="AF109" i="4" s="1"/>
  <c r="AF110" i="4" a="1"/>
  <c r="AF110" i="4" s="1"/>
  <c r="AF111" i="4" a="1"/>
  <c r="AF111" i="4" s="1"/>
  <c r="AG112" i="4" a="1"/>
  <c r="AG112" i="4" s="1"/>
  <c r="AH113" i="4" a="1"/>
  <c r="AH113" i="4" s="1"/>
  <c r="AI114" i="4" a="1"/>
  <c r="AI114" i="4" s="1"/>
  <c r="AJ116" i="4" a="1"/>
  <c r="AJ116" i="4" s="1"/>
  <c r="AK117" i="4" a="1"/>
  <c r="AK117" i="4" s="1"/>
  <c r="AE119" i="4" a="1"/>
  <c r="AE119" i="4" s="1"/>
  <c r="AF120" i="4" a="1"/>
  <c r="AF120" i="4" s="1"/>
  <c r="AG121" i="4" a="1"/>
  <c r="AG121" i="4" s="1"/>
  <c r="AH122" i="4" a="1"/>
  <c r="AH122" i="4" s="1"/>
  <c r="AI123" i="4" a="1"/>
  <c r="AI123" i="4" s="1"/>
  <c r="AJ124" i="4" a="1"/>
  <c r="AJ124" i="4" s="1"/>
  <c r="AK126" i="4" a="1"/>
  <c r="AK126" i="4" s="1"/>
  <c r="AI127" i="4" a="1"/>
  <c r="AI127" i="4" s="1"/>
  <c r="AK128" i="4" a="1"/>
  <c r="AK128" i="4" s="1"/>
  <c r="AK131" i="4" a="1"/>
  <c r="AK131" i="4" s="1"/>
  <c r="AW4" i="4" a="1"/>
  <c r="AW4" i="4" s="1"/>
  <c r="AW20" i="4" a="1"/>
  <c r="AW20" i="4" s="1"/>
  <c r="AW62" i="4" a="1"/>
  <c r="AW62" i="4" s="1"/>
  <c r="AW70" i="4" a="1"/>
  <c r="AW70" i="4" s="1"/>
  <c r="AW78" i="4" a="1"/>
  <c r="AW78" i="4" s="1"/>
  <c r="AW86" i="4" a="1"/>
  <c r="AW86" i="4" s="1"/>
  <c r="AW98" i="4" a="1"/>
  <c r="AW98" i="4" s="1"/>
  <c r="AW106" i="4" a="1"/>
  <c r="AW106" i="4" s="1"/>
  <c r="AW114" i="4" a="1"/>
  <c r="AW114" i="4" s="1"/>
  <c r="AW122" i="4" a="1"/>
  <c r="AW122" i="4" s="1"/>
  <c r="AW130" i="4" a="1"/>
  <c r="AW130" i="4" s="1"/>
  <c r="AW138" i="4" a="1"/>
  <c r="AW138" i="4" s="1"/>
  <c r="AW146" i="4" a="1"/>
  <c r="AW146" i="4" s="1"/>
  <c r="AW154" i="4" a="1"/>
  <c r="AW154" i="4" s="1"/>
  <c r="AW162" i="4" a="1"/>
  <c r="AW162" i="4" s="1"/>
  <c r="AW170" i="4" a="1"/>
  <c r="AW170" i="4" s="1"/>
  <c r="AW178" i="4" a="1"/>
  <c r="AW178" i="4" s="1"/>
  <c r="AW192" i="4" a="1"/>
  <c r="AW192" i="4" s="1"/>
  <c r="AW200" i="4" a="1"/>
  <c r="AW200" i="4" s="1"/>
  <c r="AW208" i="4" a="1"/>
  <c r="AW208" i="4" s="1"/>
  <c r="AW223" i="4" a="1"/>
  <c r="AW223" i="4" s="1"/>
  <c r="AW232" i="4" a="1"/>
  <c r="AW232" i="4" s="1"/>
  <c r="AW246" i="4" a="1"/>
  <c r="AW246" i="4" s="1"/>
  <c r="AR247" i="4" a="1"/>
  <c r="AR247" i="4" s="1"/>
  <c r="AJ247" i="4" a="1"/>
  <c r="AJ247" i="4" s="1"/>
  <c r="AT246" i="4" a="1"/>
  <c r="AT246" i="4" s="1"/>
  <c r="AL246" i="4" a="1"/>
  <c r="AL246" i="4" s="1"/>
  <c r="AV245" i="4" a="1"/>
  <c r="AV245" i="4" s="1"/>
  <c r="AN245" i="4" a="1"/>
  <c r="AN245" i="4" s="1"/>
  <c r="AF245" i="4" a="1"/>
  <c r="AF245" i="4" s="1"/>
  <c r="AP244" i="4" a="1"/>
  <c r="AP244" i="4" s="1"/>
  <c r="AH244" i="4" a="1"/>
  <c r="AH244" i="4" s="1"/>
  <c r="AR243" i="4" a="1"/>
  <c r="AR243" i="4" s="1"/>
  <c r="AJ243" i="4" a="1"/>
  <c r="AJ243" i="4" s="1"/>
  <c r="AT237" i="4" a="1"/>
  <c r="AT237" i="4" s="1"/>
  <c r="AL237" i="4" a="1"/>
  <c r="AL237" i="4" s="1"/>
  <c r="AV236" i="4" a="1"/>
  <c r="AV236" i="4" s="1"/>
  <c r="AN236" i="4" a="1"/>
  <c r="AN236" i="4" s="1"/>
  <c r="AF236" i="4" a="1"/>
  <c r="AF236" i="4" s="1"/>
  <c r="AP235" i="4" a="1"/>
  <c r="AP235" i="4" s="1"/>
  <c r="AH235" i="4" a="1"/>
  <c r="AH235" i="4" s="1"/>
  <c r="AR234" i="4" a="1"/>
  <c r="AR234" i="4" s="1"/>
  <c r="AJ234" i="4" a="1"/>
  <c r="AJ234" i="4" s="1"/>
  <c r="AT232" i="4" a="1"/>
  <c r="AT232" i="4" s="1"/>
  <c r="AL232" i="4" a="1"/>
  <c r="AL232" i="4" s="1"/>
  <c r="AV231" i="4" a="1"/>
  <c r="AV231" i="4" s="1"/>
  <c r="AN231" i="4" a="1"/>
  <c r="AN231" i="4" s="1"/>
  <c r="AF231" i="4" a="1"/>
  <c r="AF231" i="4" s="1"/>
  <c r="AP230" i="4" a="1"/>
  <c r="AP230" i="4" s="1"/>
  <c r="AH230" i="4" a="1"/>
  <c r="AH230" i="4" s="1"/>
  <c r="AR229" i="4" a="1"/>
  <c r="AR229" i="4" s="1"/>
  <c r="AJ229" i="4" a="1"/>
  <c r="AJ229" i="4" s="1"/>
  <c r="AT228" i="4" a="1"/>
  <c r="AT228" i="4" s="1"/>
  <c r="AL228" i="4" a="1"/>
  <c r="AL228" i="4" s="1"/>
  <c r="AV226" i="4" a="1"/>
  <c r="AV226" i="4" s="1"/>
  <c r="AN226" i="4" a="1"/>
  <c r="AN226" i="4" s="1"/>
  <c r="AF226" i="4" a="1"/>
  <c r="AF226" i="4" s="1"/>
  <c r="AT224" i="4" a="1"/>
  <c r="AT224" i="4" s="1"/>
  <c r="AL224" i="4" a="1"/>
  <c r="AL224" i="4" s="1"/>
  <c r="AV223" i="4" a="1"/>
  <c r="AV223" i="4" s="1"/>
  <c r="AN223" i="4" a="1"/>
  <c r="AN223" i="4" s="1"/>
  <c r="AF223" i="4" a="1"/>
  <c r="AF223" i="4" s="1"/>
  <c r="AP222" i="4" a="1"/>
  <c r="AP222" i="4" s="1"/>
  <c r="AH222" i="4" a="1"/>
  <c r="AH222" i="4" s="1"/>
  <c r="AR220" i="4" a="1"/>
  <c r="AR220" i="4" s="1"/>
  <c r="AJ220" i="4" a="1"/>
  <c r="AJ220" i="4" s="1"/>
  <c r="AP218" i="4" a="1"/>
  <c r="AP218" i="4" s="1"/>
  <c r="AW5" i="4" a="1"/>
  <c r="AW5" i="4" s="1"/>
  <c r="AW63" i="4" a="1"/>
  <c r="AW63" i="4" s="1"/>
  <c r="AW71" i="4" a="1"/>
  <c r="AW71" i="4" s="1"/>
  <c r="AW79" i="4" a="1"/>
  <c r="AW79" i="4" s="1"/>
  <c r="AW87" i="4" a="1"/>
  <c r="AW87" i="4" s="1"/>
  <c r="AW91" i="4" a="1"/>
  <c r="AW91" i="4" s="1"/>
  <c r="AW99" i="4" a="1"/>
  <c r="AW99" i="4" s="1"/>
  <c r="AW107" i="4" a="1"/>
  <c r="AW107" i="4" s="1"/>
  <c r="AW115" i="4" a="1"/>
  <c r="AW115" i="4" s="1"/>
  <c r="AW123" i="4" a="1"/>
  <c r="AW123" i="4" s="1"/>
  <c r="AW131" i="4" a="1"/>
  <c r="AW131" i="4" s="1"/>
  <c r="AW139" i="4" a="1"/>
  <c r="AW139" i="4" s="1"/>
  <c r="AW147" i="4" a="1"/>
  <c r="AW147" i="4" s="1"/>
  <c r="AW155" i="4" a="1"/>
  <c r="AW155" i="4" s="1"/>
  <c r="AW163" i="4" a="1"/>
  <c r="AW163" i="4" s="1"/>
  <c r="AW171" i="4" a="1"/>
  <c r="AW171" i="4" s="1"/>
  <c r="AW185" i="4" a="1"/>
  <c r="AW185" i="4" s="1"/>
  <c r="AW193" i="4" a="1"/>
  <c r="AW193" i="4" s="1"/>
  <c r="AW201" i="4" a="1"/>
  <c r="AW201" i="4" s="1"/>
  <c r="AW214" i="4" a="1"/>
  <c r="AW214" i="4" s="1"/>
  <c r="AW224" i="4" a="1"/>
  <c r="AW224" i="4" s="1"/>
  <c r="AW234" i="4" a="1"/>
  <c r="AW234" i="4" s="1"/>
  <c r="AW247" i="4" a="1"/>
  <c r="AW247" i="4" s="1"/>
  <c r="AQ247" i="4" a="1"/>
  <c r="AQ247" i="4" s="1"/>
  <c r="AI247" i="4" a="1"/>
  <c r="AI247" i="4" s="1"/>
  <c r="AS246" i="4" a="1"/>
  <c r="AS246" i="4" s="1"/>
  <c r="AK246" i="4" a="1"/>
  <c r="AK246" i="4" s="1"/>
  <c r="AU245" i="4" a="1"/>
  <c r="AU245" i="4" s="1"/>
  <c r="AM245" i="4" a="1"/>
  <c r="AM245" i="4" s="1"/>
  <c r="AE245" i="4" a="1"/>
  <c r="AE245" i="4" s="1"/>
  <c r="AO244" i="4" a="1"/>
  <c r="AO244" i="4" s="1"/>
  <c r="AG244" i="4" a="1"/>
  <c r="AG244" i="4" s="1"/>
  <c r="AQ243" i="4" a="1"/>
  <c r="AQ243" i="4" s="1"/>
  <c r="AI243" i="4" a="1"/>
  <c r="AI243" i="4" s="1"/>
  <c r="AS237" i="4" a="1"/>
  <c r="AS237" i="4" s="1"/>
  <c r="AK237" i="4" a="1"/>
  <c r="AK237" i="4" s="1"/>
  <c r="AU236" i="4" a="1"/>
  <c r="AU236" i="4" s="1"/>
  <c r="AM236" i="4" a="1"/>
  <c r="AM236" i="4" s="1"/>
  <c r="AE236" i="4" a="1"/>
  <c r="AE236" i="4" s="1"/>
  <c r="AO235" i="4" a="1"/>
  <c r="AO235" i="4" s="1"/>
  <c r="AG235" i="4" a="1"/>
  <c r="AG235" i="4" s="1"/>
  <c r="AQ234" i="4" a="1"/>
  <c r="AQ234" i="4" s="1"/>
  <c r="AI234" i="4" a="1"/>
  <c r="AI234" i="4" s="1"/>
  <c r="AS232" i="4" a="1"/>
  <c r="AS232" i="4" s="1"/>
  <c r="AK232" i="4" a="1"/>
  <c r="AK232" i="4" s="1"/>
  <c r="AU231" i="4" a="1"/>
  <c r="AU231" i="4" s="1"/>
  <c r="AM231" i="4" a="1"/>
  <c r="AM231" i="4" s="1"/>
  <c r="AE231" i="4" a="1"/>
  <c r="AE231" i="4" s="1"/>
  <c r="AO230" i="4" a="1"/>
  <c r="AO230" i="4" s="1"/>
  <c r="AG230" i="4" a="1"/>
  <c r="AG230" i="4" s="1"/>
  <c r="AQ229" i="4" a="1"/>
  <c r="AQ229" i="4" s="1"/>
  <c r="AI229" i="4" a="1"/>
  <c r="AI229" i="4" s="1"/>
  <c r="AS228" i="4" a="1"/>
  <c r="AS228" i="4" s="1"/>
  <c r="AK228" i="4" a="1"/>
  <c r="AK228" i="4" s="1"/>
  <c r="AU226" i="4" a="1"/>
  <c r="AU226" i="4" s="1"/>
  <c r="AM226" i="4" a="1"/>
  <c r="AM226" i="4" s="1"/>
  <c r="AE226" i="4" a="1"/>
  <c r="AE226" i="4" s="1"/>
  <c r="AS225" i="4" a="1"/>
  <c r="AS225" i="4" s="1"/>
  <c r="AO225" i="4" a="1"/>
  <c r="AO225" i="4" s="1"/>
  <c r="AK225" i="4" a="1"/>
  <c r="AK225" i="4" s="1"/>
  <c r="AG225" i="4" a="1"/>
  <c r="AG225" i="4" s="1"/>
  <c r="AS224" i="4" a="1"/>
  <c r="AS224" i="4" s="1"/>
  <c r="AK224" i="4" a="1"/>
  <c r="AK224" i="4" s="1"/>
  <c r="AU223" i="4" a="1"/>
  <c r="AU223" i="4" s="1"/>
  <c r="AM223" i="4" a="1"/>
  <c r="AM223" i="4" s="1"/>
  <c r="AE223" i="4" a="1"/>
  <c r="AE223" i="4" s="1"/>
  <c r="AW6" i="4" a="1"/>
  <c r="AW6" i="4" s="1"/>
  <c r="AW11" i="4" a="1"/>
  <c r="AW11" i="4" s="1"/>
  <c r="AW64" i="4" a="1"/>
  <c r="AW64" i="4" s="1"/>
  <c r="AW72" i="4" a="1"/>
  <c r="AW72" i="4" s="1"/>
  <c r="AW80" i="4" a="1"/>
  <c r="AW80" i="4" s="1"/>
  <c r="AW88" i="4" a="1"/>
  <c r="AW88" i="4" s="1"/>
  <c r="AW92" i="4" a="1"/>
  <c r="AW92" i="4" s="1"/>
  <c r="AW100" i="4" a="1"/>
  <c r="AW100" i="4" s="1"/>
  <c r="AW108" i="4" a="1"/>
  <c r="AW108" i="4" s="1"/>
  <c r="AW116" i="4" a="1"/>
  <c r="AW116" i="4" s="1"/>
  <c r="AW124" i="4" a="1"/>
  <c r="AW124" i="4" s="1"/>
  <c r="AW132" i="4" a="1"/>
  <c r="AW132" i="4" s="1"/>
  <c r="AW140" i="4" a="1"/>
  <c r="AW140" i="4" s="1"/>
  <c r="AW148" i="4" a="1"/>
  <c r="AW148" i="4" s="1"/>
  <c r="AW156" i="4" a="1"/>
  <c r="AW156" i="4" s="1"/>
  <c r="AW164" i="4" a="1"/>
  <c r="AW164" i="4" s="1"/>
  <c r="AW172" i="4" a="1"/>
  <c r="AW172" i="4" s="1"/>
  <c r="AW186" i="4" a="1"/>
  <c r="AW186" i="4" s="1"/>
  <c r="AW194" i="4" a="1"/>
  <c r="AW194" i="4" s="1"/>
  <c r="AW202" i="4" a="1"/>
  <c r="AW202" i="4" s="1"/>
  <c r="AW216" i="4" a="1"/>
  <c r="AW216" i="4" s="1"/>
  <c r="AW225" i="4" a="1"/>
  <c r="AW225" i="4" s="1"/>
  <c r="AW235" i="4" a="1"/>
  <c r="AW235" i="4" s="1"/>
  <c r="AP247" i="4" a="1"/>
  <c r="AP247" i="4" s="1"/>
  <c r="AH247" i="4" a="1"/>
  <c r="AH247" i="4" s="1"/>
  <c r="AR246" i="4" a="1"/>
  <c r="AR246" i="4" s="1"/>
  <c r="AJ246" i="4" a="1"/>
  <c r="AJ246" i="4" s="1"/>
  <c r="AT245" i="4" a="1"/>
  <c r="AT245" i="4" s="1"/>
  <c r="AL245" i="4" a="1"/>
  <c r="AL245" i="4" s="1"/>
  <c r="AV244" i="4" a="1"/>
  <c r="AV244" i="4" s="1"/>
  <c r="AN244" i="4" a="1"/>
  <c r="AN244" i="4" s="1"/>
  <c r="AF244" i="4" a="1"/>
  <c r="AF244" i="4" s="1"/>
  <c r="AP243" i="4" a="1"/>
  <c r="AP243" i="4" s="1"/>
  <c r="AH243" i="4" a="1"/>
  <c r="AH243" i="4" s="1"/>
  <c r="AR237" i="4" a="1"/>
  <c r="AR237" i="4" s="1"/>
  <c r="AJ237" i="4" a="1"/>
  <c r="AJ237" i="4" s="1"/>
  <c r="AT236" i="4" a="1"/>
  <c r="AT236" i="4" s="1"/>
  <c r="AL236" i="4" a="1"/>
  <c r="AL236" i="4" s="1"/>
  <c r="AV235" i="4" a="1"/>
  <c r="AV235" i="4" s="1"/>
  <c r="AN235" i="4" a="1"/>
  <c r="AN235" i="4" s="1"/>
  <c r="AF235" i="4" a="1"/>
  <c r="AF235" i="4" s="1"/>
  <c r="AP234" i="4" a="1"/>
  <c r="AP234" i="4" s="1"/>
  <c r="AH234" i="4" a="1"/>
  <c r="AH234" i="4" s="1"/>
  <c r="AR232" i="4" a="1"/>
  <c r="AR232" i="4" s="1"/>
  <c r="AJ232" i="4" a="1"/>
  <c r="AJ232" i="4" s="1"/>
  <c r="AT231" i="4" a="1"/>
  <c r="AT231" i="4" s="1"/>
  <c r="AL231" i="4" a="1"/>
  <c r="AL231" i="4" s="1"/>
  <c r="AV230" i="4" a="1"/>
  <c r="AV230" i="4" s="1"/>
  <c r="AN230" i="4" a="1"/>
  <c r="AN230" i="4" s="1"/>
  <c r="AF230" i="4" a="1"/>
  <c r="AF230" i="4" s="1"/>
  <c r="AP229" i="4" a="1"/>
  <c r="AP229" i="4" s="1"/>
  <c r="AH229" i="4" a="1"/>
  <c r="AH229" i="4" s="1"/>
  <c r="AR228" i="4" a="1"/>
  <c r="AR228" i="4" s="1"/>
  <c r="AJ228" i="4" a="1"/>
  <c r="AJ228" i="4" s="1"/>
  <c r="AT226" i="4" a="1"/>
  <c r="AT226" i="4" s="1"/>
  <c r="AL226" i="4" a="1"/>
  <c r="AL226" i="4" s="1"/>
  <c r="AR224" i="4" a="1"/>
  <c r="AR224" i="4" s="1"/>
  <c r="AJ224" i="4" a="1"/>
  <c r="AJ224" i="4" s="1"/>
  <c r="AT223" i="4" a="1"/>
  <c r="AT223" i="4" s="1"/>
  <c r="AL223" i="4" a="1"/>
  <c r="AL223" i="4" s="1"/>
  <c r="AV222" i="4" a="1"/>
  <c r="AV222" i="4" s="1"/>
  <c r="AN222" i="4" a="1"/>
  <c r="AN222" i="4" s="1"/>
  <c r="AW7" i="4" a="1"/>
  <c r="AW7" i="4" s="1"/>
  <c r="AW65" i="4" a="1"/>
  <c r="AW65" i="4" s="1"/>
  <c r="AW73" i="4" a="1"/>
  <c r="AW73" i="4" s="1"/>
  <c r="AW81" i="4" a="1"/>
  <c r="AW81" i="4" s="1"/>
  <c r="AW89" i="4" a="1"/>
  <c r="AW89" i="4" s="1"/>
  <c r="AW93" i="4" a="1"/>
  <c r="AW93" i="4" s="1"/>
  <c r="AW101" i="4" a="1"/>
  <c r="AW101" i="4" s="1"/>
  <c r="AW109" i="4" a="1"/>
  <c r="AW109" i="4" s="1"/>
  <c r="AW117" i="4" a="1"/>
  <c r="AW117" i="4" s="1"/>
  <c r="AW125" i="4" a="1"/>
  <c r="AW125" i="4" s="1"/>
  <c r="AW133" i="4" a="1"/>
  <c r="AW133" i="4" s="1"/>
  <c r="AW141" i="4" a="1"/>
  <c r="AW141" i="4" s="1"/>
  <c r="AW149" i="4" a="1"/>
  <c r="AW149" i="4" s="1"/>
  <c r="AW157" i="4" a="1"/>
  <c r="AW157" i="4" s="1"/>
  <c r="AW165" i="4" a="1"/>
  <c r="AW165" i="4" s="1"/>
  <c r="AW173" i="4" a="1"/>
  <c r="AW173" i="4" s="1"/>
  <c r="AW187" i="4" a="1"/>
  <c r="AW187" i="4" s="1"/>
  <c r="AW195" i="4" a="1"/>
  <c r="AW195" i="4" s="1"/>
  <c r="AW203" i="4" a="1"/>
  <c r="AW203" i="4" s="1"/>
  <c r="AW217" i="4" a="1"/>
  <c r="AW217" i="4" s="1"/>
  <c r="AW226" i="4" a="1"/>
  <c r="AW226" i="4" s="1"/>
  <c r="AW236" i="4" a="1"/>
  <c r="AW236" i="4" s="1"/>
  <c r="AO247" i="4" a="1"/>
  <c r="AO247" i="4" s="1"/>
  <c r="AG247" i="4" a="1"/>
  <c r="AG247" i="4" s="1"/>
  <c r="AQ246" i="4" a="1"/>
  <c r="AQ246" i="4" s="1"/>
  <c r="AI246" i="4" a="1"/>
  <c r="AI246" i="4" s="1"/>
  <c r="AS245" i="4" a="1"/>
  <c r="AS245" i="4" s="1"/>
  <c r="AK245" i="4" a="1"/>
  <c r="AK245" i="4" s="1"/>
  <c r="AU244" i="4" a="1"/>
  <c r="AU244" i="4" s="1"/>
  <c r="AM244" i="4" a="1"/>
  <c r="AM244" i="4" s="1"/>
  <c r="AE244" i="4" a="1"/>
  <c r="AE244" i="4" s="1"/>
  <c r="AO243" i="4" a="1"/>
  <c r="AO243" i="4" s="1"/>
  <c r="AG243" i="4" a="1"/>
  <c r="AG243" i="4" s="1"/>
  <c r="AQ237" i="4" a="1"/>
  <c r="AQ237" i="4" s="1"/>
  <c r="AI237" i="4" a="1"/>
  <c r="AI237" i="4" s="1"/>
  <c r="AS236" i="4" a="1"/>
  <c r="AS236" i="4" s="1"/>
  <c r="AK236" i="4" a="1"/>
  <c r="AK236" i="4" s="1"/>
  <c r="AU235" i="4" a="1"/>
  <c r="AU235" i="4" s="1"/>
  <c r="AM235" i="4" a="1"/>
  <c r="AM235" i="4" s="1"/>
  <c r="AE235" i="4" a="1"/>
  <c r="AE235" i="4" s="1"/>
  <c r="AO234" i="4" a="1"/>
  <c r="AO234" i="4" s="1"/>
  <c r="AG234" i="4" a="1"/>
  <c r="AG234" i="4" s="1"/>
  <c r="AQ232" i="4" a="1"/>
  <c r="AQ232" i="4" s="1"/>
  <c r="AI232" i="4" a="1"/>
  <c r="AI232" i="4" s="1"/>
  <c r="AS231" i="4" a="1"/>
  <c r="AS231" i="4" s="1"/>
  <c r="AK231" i="4" a="1"/>
  <c r="AK231" i="4" s="1"/>
  <c r="AU230" i="4" a="1"/>
  <c r="AU230" i="4" s="1"/>
  <c r="AM230" i="4" a="1"/>
  <c r="AM230" i="4" s="1"/>
  <c r="AE230" i="4" a="1"/>
  <c r="AE230" i="4" s="1"/>
  <c r="AO229" i="4" a="1"/>
  <c r="AO229" i="4" s="1"/>
  <c r="AG229" i="4" a="1"/>
  <c r="AG229" i="4" s="1"/>
  <c r="AQ228" i="4" a="1"/>
  <c r="AQ228" i="4" s="1"/>
  <c r="AI228" i="4" a="1"/>
  <c r="AI228" i="4" s="1"/>
  <c r="AS226" i="4" a="1"/>
  <c r="AS226" i="4" s="1"/>
  <c r="AK226" i="4" a="1"/>
  <c r="AK226" i="4" s="1"/>
  <c r="AV225" i="4" a="1"/>
  <c r="AV225" i="4" s="1"/>
  <c r="AR225" i="4" a="1"/>
  <c r="AR225" i="4" s="1"/>
  <c r="AW26" i="4" a="1"/>
  <c r="AW26" i="4" s="1"/>
  <c r="AW66" i="4" a="1"/>
  <c r="AW66" i="4" s="1"/>
  <c r="AW74" i="4" a="1"/>
  <c r="AW74" i="4" s="1"/>
  <c r="AW82" i="4" a="1"/>
  <c r="AW82" i="4" s="1"/>
  <c r="AW90" i="4" a="1"/>
  <c r="AW90" i="4" s="1"/>
  <c r="AW94" i="4" a="1"/>
  <c r="AW94" i="4" s="1"/>
  <c r="AW102" i="4" a="1"/>
  <c r="AW102" i="4" s="1"/>
  <c r="AW110" i="4" a="1"/>
  <c r="AW110" i="4" s="1"/>
  <c r="AW118" i="4" a="1"/>
  <c r="AW118" i="4" s="1"/>
  <c r="AW126" i="4" a="1"/>
  <c r="AW126" i="4" s="1"/>
  <c r="AW134" i="4" a="1"/>
  <c r="AW134" i="4" s="1"/>
  <c r="AW142" i="4" a="1"/>
  <c r="AW142" i="4" s="1"/>
  <c r="AW150" i="4" a="1"/>
  <c r="AW150" i="4" s="1"/>
  <c r="AW158" i="4" a="1"/>
  <c r="AW158" i="4" s="1"/>
  <c r="AW166" i="4" a="1"/>
  <c r="AW166" i="4" s="1"/>
  <c r="AW174" i="4" a="1"/>
  <c r="AW174" i="4" s="1"/>
  <c r="AW188" i="4" a="1"/>
  <c r="AW188" i="4" s="1"/>
  <c r="AW196" i="4" a="1"/>
  <c r="AW196" i="4" s="1"/>
  <c r="AW204" i="4" a="1"/>
  <c r="AW204" i="4" s="1"/>
  <c r="AW218" i="4" a="1"/>
  <c r="AW218" i="4" s="1"/>
  <c r="AW228" i="4" a="1"/>
  <c r="AW228" i="4" s="1"/>
  <c r="AW237" i="4" a="1"/>
  <c r="AW237" i="4" s="1"/>
  <c r="AV247" i="4" a="1"/>
  <c r="AV247" i="4" s="1"/>
  <c r="AN247" i="4" a="1"/>
  <c r="AN247" i="4" s="1"/>
  <c r="AF247" i="4" a="1"/>
  <c r="AF247" i="4" s="1"/>
  <c r="AP246" i="4" a="1"/>
  <c r="AP246" i="4" s="1"/>
  <c r="AH246" i="4" a="1"/>
  <c r="AH246" i="4" s="1"/>
  <c r="AR245" i="4" a="1"/>
  <c r="AR245" i="4" s="1"/>
  <c r="AJ245" i="4" a="1"/>
  <c r="AJ245" i="4" s="1"/>
  <c r="AT244" i="4" a="1"/>
  <c r="AT244" i="4" s="1"/>
  <c r="AL244" i="4" a="1"/>
  <c r="AL244" i="4" s="1"/>
  <c r="AV243" i="4" a="1"/>
  <c r="AV243" i="4" s="1"/>
  <c r="AN243" i="4" a="1"/>
  <c r="AN243" i="4" s="1"/>
  <c r="AF243" i="4" a="1"/>
  <c r="AF243" i="4" s="1"/>
  <c r="AP237" i="4" a="1"/>
  <c r="AP237" i="4" s="1"/>
  <c r="AH237" i="4" a="1"/>
  <c r="AH237" i="4" s="1"/>
  <c r="AR236" i="4" a="1"/>
  <c r="AR236" i="4" s="1"/>
  <c r="AJ236" i="4" a="1"/>
  <c r="AJ236" i="4" s="1"/>
  <c r="AT235" i="4" a="1"/>
  <c r="AT235" i="4" s="1"/>
  <c r="AL235" i="4" a="1"/>
  <c r="AL235" i="4" s="1"/>
  <c r="AV234" i="4" a="1"/>
  <c r="AV234" i="4" s="1"/>
  <c r="AN234" i="4" a="1"/>
  <c r="AN234" i="4" s="1"/>
  <c r="AF234" i="4" a="1"/>
  <c r="AF234" i="4" s="1"/>
  <c r="AP232" i="4" a="1"/>
  <c r="AP232" i="4" s="1"/>
  <c r="AH232" i="4" a="1"/>
  <c r="AH232" i="4" s="1"/>
  <c r="AR231" i="4" a="1"/>
  <c r="AR231" i="4" s="1"/>
  <c r="AJ231" i="4" a="1"/>
  <c r="AJ231" i="4" s="1"/>
  <c r="AT230" i="4" a="1"/>
  <c r="AT230" i="4" s="1"/>
  <c r="AL230" i="4" a="1"/>
  <c r="AL230" i="4" s="1"/>
  <c r="AV229" i="4" a="1"/>
  <c r="AV229" i="4" s="1"/>
  <c r="AN229" i="4" a="1"/>
  <c r="AN229" i="4" s="1"/>
  <c r="AF229" i="4" a="1"/>
  <c r="AF229" i="4" s="1"/>
  <c r="AP228" i="4" a="1"/>
  <c r="AP228" i="4" s="1"/>
  <c r="AH228" i="4" a="1"/>
  <c r="AH228" i="4" s="1"/>
  <c r="AR226" i="4" a="1"/>
  <c r="AR226" i="4" s="1"/>
  <c r="AJ226" i="4" a="1"/>
  <c r="AJ226" i="4" s="1"/>
  <c r="AP224" i="4" a="1"/>
  <c r="AP224" i="4" s="1"/>
  <c r="AH224" i="4" a="1"/>
  <c r="AH224" i="4" s="1"/>
  <c r="AR223" i="4" a="1"/>
  <c r="AR223" i="4" s="1"/>
  <c r="AJ223" i="4" a="1"/>
  <c r="AJ223" i="4" s="1"/>
  <c r="AT222" i="4" a="1"/>
  <c r="AT222" i="4" s="1"/>
  <c r="AL222" i="4" a="1"/>
  <c r="AL222" i="4" s="1"/>
  <c r="AV220" i="4" a="1"/>
  <c r="AV220" i="4" s="1"/>
  <c r="AN220" i="4" a="1"/>
  <c r="AN220" i="4" s="1"/>
  <c r="AW67" i="4" a="1"/>
  <c r="AW67" i="4" s="1"/>
  <c r="AW75" i="4" a="1"/>
  <c r="AW75" i="4" s="1"/>
  <c r="AW83" i="4" a="1"/>
  <c r="AW83" i="4" s="1"/>
  <c r="AW95" i="4" a="1"/>
  <c r="AW95" i="4" s="1"/>
  <c r="AW103" i="4" a="1"/>
  <c r="AW103" i="4" s="1"/>
  <c r="AW111" i="4" a="1"/>
  <c r="AW111" i="4" s="1"/>
  <c r="AW119" i="4" a="1"/>
  <c r="AW119" i="4" s="1"/>
  <c r="AW127" i="4" a="1"/>
  <c r="AW127" i="4" s="1"/>
  <c r="AW135" i="4" a="1"/>
  <c r="AW135" i="4" s="1"/>
  <c r="AW143" i="4" a="1"/>
  <c r="AW143" i="4" s="1"/>
  <c r="AW151" i="4" a="1"/>
  <c r="AW151" i="4" s="1"/>
  <c r="AW159" i="4" a="1"/>
  <c r="AW159" i="4" s="1"/>
  <c r="AW167" i="4" a="1"/>
  <c r="AW167" i="4" s="1"/>
  <c r="AW175" i="4" a="1"/>
  <c r="AW175" i="4" s="1"/>
  <c r="AW189" i="4" a="1"/>
  <c r="AW189" i="4" s="1"/>
  <c r="AW197" i="4" a="1"/>
  <c r="AW197" i="4" s="1"/>
  <c r="AW205" i="4" a="1"/>
  <c r="AW205" i="4" s="1"/>
  <c r="AW219" i="4" a="1"/>
  <c r="AW219" i="4" s="1"/>
  <c r="AW229" i="4" a="1"/>
  <c r="AW229" i="4" s="1"/>
  <c r="AW243" i="4" a="1"/>
  <c r="AW243" i="4" s="1"/>
  <c r="AU247" i="4" a="1"/>
  <c r="AU247" i="4" s="1"/>
  <c r="AM247" i="4" a="1"/>
  <c r="AM247" i="4" s="1"/>
  <c r="AE247" i="4" a="1"/>
  <c r="AE247" i="4" s="1"/>
  <c r="AO246" i="4" a="1"/>
  <c r="AO246" i="4" s="1"/>
  <c r="AG246" i="4" a="1"/>
  <c r="AG246" i="4" s="1"/>
  <c r="AQ245" i="4" a="1"/>
  <c r="AQ245" i="4" s="1"/>
  <c r="AI245" i="4" a="1"/>
  <c r="AI245" i="4" s="1"/>
  <c r="AS244" i="4" a="1"/>
  <c r="AS244" i="4" s="1"/>
  <c r="AK244" i="4" a="1"/>
  <c r="AK244" i="4" s="1"/>
  <c r="AU243" i="4" a="1"/>
  <c r="AU243" i="4" s="1"/>
  <c r="AM243" i="4" a="1"/>
  <c r="AM243" i="4" s="1"/>
  <c r="AE243" i="4" a="1"/>
  <c r="AE243" i="4" s="1"/>
  <c r="AO237" i="4" a="1"/>
  <c r="AO237" i="4" s="1"/>
  <c r="AG237" i="4" a="1"/>
  <c r="AG237" i="4" s="1"/>
  <c r="AQ236" i="4" a="1"/>
  <c r="AQ236" i="4" s="1"/>
  <c r="AI236" i="4" a="1"/>
  <c r="AI236" i="4" s="1"/>
  <c r="AS235" i="4" a="1"/>
  <c r="AS235" i="4" s="1"/>
  <c r="AK235" i="4" a="1"/>
  <c r="AK235" i="4" s="1"/>
  <c r="AU234" i="4" a="1"/>
  <c r="AU234" i="4" s="1"/>
  <c r="AM234" i="4" a="1"/>
  <c r="AM234" i="4" s="1"/>
  <c r="AE234" i="4" a="1"/>
  <c r="AE234" i="4" s="1"/>
  <c r="AO232" i="4" a="1"/>
  <c r="AO232" i="4" s="1"/>
  <c r="AG232" i="4" a="1"/>
  <c r="AG232" i="4" s="1"/>
  <c r="AQ231" i="4" a="1"/>
  <c r="AQ231" i="4" s="1"/>
  <c r="AI231" i="4" a="1"/>
  <c r="AI231" i="4" s="1"/>
  <c r="AS230" i="4" a="1"/>
  <c r="AS230" i="4" s="1"/>
  <c r="AK230" i="4" a="1"/>
  <c r="AK230" i="4" s="1"/>
  <c r="AU229" i="4" a="1"/>
  <c r="AU229" i="4" s="1"/>
  <c r="AM229" i="4" a="1"/>
  <c r="AM229" i="4" s="1"/>
  <c r="AE229" i="4" a="1"/>
  <c r="AE229" i="4" s="1"/>
  <c r="AO228" i="4" a="1"/>
  <c r="AO228" i="4" s="1"/>
  <c r="AG228" i="4" a="1"/>
  <c r="AG228" i="4" s="1"/>
  <c r="AQ226" i="4" a="1"/>
  <c r="AQ226" i="4" s="1"/>
  <c r="AI226" i="4" a="1"/>
  <c r="AI226" i="4" s="1"/>
  <c r="AU225" i="4" a="1"/>
  <c r="AU225" i="4" s="1"/>
  <c r="AQ225" i="4" a="1"/>
  <c r="AQ225" i="4" s="1"/>
  <c r="AM225" i="4" a="1"/>
  <c r="AM225" i="4" s="1"/>
  <c r="AI225" i="4" a="1"/>
  <c r="AI225" i="4" s="1"/>
  <c r="AE225" i="4" a="1"/>
  <c r="AE225" i="4" s="1"/>
  <c r="AO224" i="4" a="1"/>
  <c r="AO224" i="4" s="1"/>
  <c r="AG224" i="4" a="1"/>
  <c r="AG224" i="4" s="1"/>
  <c r="AQ223" i="4" a="1"/>
  <c r="AQ223" i="4" s="1"/>
  <c r="AI223" i="4" a="1"/>
  <c r="AI223" i="4" s="1"/>
  <c r="AW17" i="4" a="1"/>
  <c r="AW17" i="4" s="1"/>
  <c r="AW29" i="4" a="1"/>
  <c r="AW29" i="4" s="1"/>
  <c r="AW32" i="4" a="1"/>
  <c r="AW32" i="4" s="1"/>
  <c r="AW68" i="4" a="1"/>
  <c r="AW68" i="4" s="1"/>
  <c r="AW76" i="4" a="1"/>
  <c r="AW76" i="4" s="1"/>
  <c r="AW84" i="4" a="1"/>
  <c r="AW84" i="4" s="1"/>
  <c r="AW96" i="4" a="1"/>
  <c r="AW96" i="4" s="1"/>
  <c r="AW104" i="4" a="1"/>
  <c r="AW104" i="4" s="1"/>
  <c r="AW112" i="4" a="1"/>
  <c r="AW112" i="4" s="1"/>
  <c r="AW120" i="4" a="1"/>
  <c r="AW120" i="4" s="1"/>
  <c r="AW128" i="4" a="1"/>
  <c r="AW128" i="4" s="1"/>
  <c r="AW136" i="4" a="1"/>
  <c r="AW136" i="4" s="1"/>
  <c r="AW144" i="4" a="1"/>
  <c r="AW144" i="4" s="1"/>
  <c r="AW152" i="4" a="1"/>
  <c r="AW152" i="4" s="1"/>
  <c r="AW160" i="4" a="1"/>
  <c r="AW160" i="4" s="1"/>
  <c r="AW168" i="4" a="1"/>
  <c r="AW168" i="4" s="1"/>
  <c r="AW176" i="4" a="1"/>
  <c r="AW176" i="4" s="1"/>
  <c r="AW190" i="4" a="1"/>
  <c r="AW190" i="4" s="1"/>
  <c r="AW198" i="4" a="1"/>
  <c r="AW198" i="4" s="1"/>
  <c r="AW206" i="4" a="1"/>
  <c r="AW206" i="4" s="1"/>
  <c r="AW220" i="4" a="1"/>
  <c r="AW220" i="4" s="1"/>
  <c r="AW230" i="4" a="1"/>
  <c r="AW230" i="4" s="1"/>
  <c r="AW244" i="4" a="1"/>
  <c r="AW244" i="4" s="1"/>
  <c r="AT247" i="4" a="1"/>
  <c r="AT247" i="4" s="1"/>
  <c r="AL247" i="4" a="1"/>
  <c r="AL247" i="4" s="1"/>
  <c r="AV246" i="4" a="1"/>
  <c r="AV246" i="4" s="1"/>
  <c r="AN246" i="4" a="1"/>
  <c r="AN246" i="4" s="1"/>
  <c r="AF246" i="4" a="1"/>
  <c r="AF246" i="4" s="1"/>
  <c r="AP245" i="4" a="1"/>
  <c r="AP245" i="4" s="1"/>
  <c r="AH245" i="4" a="1"/>
  <c r="AH245" i="4" s="1"/>
  <c r="AR244" i="4" a="1"/>
  <c r="AR244" i="4" s="1"/>
  <c r="AJ244" i="4" a="1"/>
  <c r="AJ244" i="4" s="1"/>
  <c r="AT243" i="4" a="1"/>
  <c r="AT243" i="4" s="1"/>
  <c r="AL243" i="4" a="1"/>
  <c r="AL243" i="4" s="1"/>
  <c r="AV237" i="4" a="1"/>
  <c r="AV237" i="4" s="1"/>
  <c r="AN237" i="4" a="1"/>
  <c r="AN237" i="4" s="1"/>
  <c r="AF237" i="4" a="1"/>
  <c r="AF237" i="4" s="1"/>
  <c r="AP236" i="4" a="1"/>
  <c r="AP236" i="4" s="1"/>
  <c r="AH236" i="4" a="1"/>
  <c r="AH236" i="4" s="1"/>
  <c r="AR235" i="4" a="1"/>
  <c r="AR235" i="4" s="1"/>
  <c r="AJ235" i="4" a="1"/>
  <c r="AJ235" i="4" s="1"/>
  <c r="AT234" i="4" a="1"/>
  <c r="AT234" i="4" s="1"/>
  <c r="AL234" i="4" a="1"/>
  <c r="AL234" i="4" s="1"/>
  <c r="AV232" i="4" a="1"/>
  <c r="AV232" i="4" s="1"/>
  <c r="AN232" i="4" a="1"/>
  <c r="AN232" i="4" s="1"/>
  <c r="AF232" i="4" a="1"/>
  <c r="AF232" i="4" s="1"/>
  <c r="AP231" i="4" a="1"/>
  <c r="AP231" i="4" s="1"/>
  <c r="AH231" i="4" a="1"/>
  <c r="AH231" i="4" s="1"/>
  <c r="AR230" i="4" a="1"/>
  <c r="AR230" i="4" s="1"/>
  <c r="AJ230" i="4" a="1"/>
  <c r="AJ230" i="4" s="1"/>
  <c r="AT229" i="4" a="1"/>
  <c r="AT229" i="4" s="1"/>
  <c r="AL229" i="4" a="1"/>
  <c r="AL229" i="4" s="1"/>
  <c r="AV228" i="4" a="1"/>
  <c r="AV228" i="4" s="1"/>
  <c r="AN228" i="4" a="1"/>
  <c r="AN228" i="4" s="1"/>
  <c r="AF228" i="4" a="1"/>
  <c r="AF228" i="4" s="1"/>
  <c r="AP226" i="4" a="1"/>
  <c r="AP226" i="4" s="1"/>
  <c r="AH226" i="4" a="1"/>
  <c r="AH226" i="4" s="1"/>
  <c r="AV224" i="4" a="1"/>
  <c r="AV224" i="4" s="1"/>
  <c r="AN224" i="4" a="1"/>
  <c r="AN224" i="4" s="1"/>
  <c r="AF224" i="4" a="1"/>
  <c r="AF224" i="4" s="1"/>
  <c r="AP223" i="4" a="1"/>
  <c r="AP223" i="4" s="1"/>
  <c r="AH223" i="4" a="1"/>
  <c r="AH223" i="4" s="1"/>
  <c r="AR222" i="4" a="1"/>
  <c r="AR222" i="4" s="1"/>
  <c r="AJ222" i="4" a="1"/>
  <c r="AJ222" i="4" s="1"/>
  <c r="AW14" i="4" a="1"/>
  <c r="AW14" i="4" s="1"/>
  <c r="AW69" i="4" a="1"/>
  <c r="AW69" i="4" s="1"/>
  <c r="AW77" i="4" a="1"/>
  <c r="AW77" i="4" s="1"/>
  <c r="AW85" i="4" a="1"/>
  <c r="AW85" i="4" s="1"/>
  <c r="AW97" i="4" a="1"/>
  <c r="AW97" i="4" s="1"/>
  <c r="AW105" i="4" a="1"/>
  <c r="AW105" i="4" s="1"/>
  <c r="AW113" i="4" a="1"/>
  <c r="AW113" i="4" s="1"/>
  <c r="AW121" i="4" a="1"/>
  <c r="AW121" i="4" s="1"/>
  <c r="AW129" i="4" a="1"/>
  <c r="AW129" i="4" s="1"/>
  <c r="AW137" i="4" a="1"/>
  <c r="AW137" i="4" s="1"/>
  <c r="AW145" i="4" a="1"/>
  <c r="AW145" i="4" s="1"/>
  <c r="AW153" i="4" a="1"/>
  <c r="AW153" i="4" s="1"/>
  <c r="AW161" i="4" a="1"/>
  <c r="AW161" i="4" s="1"/>
  <c r="AW169" i="4" a="1"/>
  <c r="AW169" i="4" s="1"/>
  <c r="AW177" i="4" a="1"/>
  <c r="AW177" i="4" s="1"/>
  <c r="AW191" i="4" a="1"/>
  <c r="AW191" i="4" s="1"/>
  <c r="AW199" i="4" a="1"/>
  <c r="AW199" i="4" s="1"/>
  <c r="AW207" i="4" a="1"/>
  <c r="AW207" i="4" s="1"/>
  <c r="AW222" i="4" a="1"/>
  <c r="AW222" i="4" s="1"/>
  <c r="AW231" i="4" a="1"/>
  <c r="AW231" i="4" s="1"/>
  <c r="AW245" i="4" a="1"/>
  <c r="AW245" i="4" s="1"/>
  <c r="AS247" i="4" a="1"/>
  <c r="AS247" i="4" s="1"/>
  <c r="AK247" i="4" a="1"/>
  <c r="AK247" i="4" s="1"/>
  <c r="AU246" i="4" a="1"/>
  <c r="AU246" i="4" s="1"/>
  <c r="AM246" i="4" a="1"/>
  <c r="AM246" i="4" s="1"/>
  <c r="AE246" i="4" a="1"/>
  <c r="AE246" i="4" s="1"/>
  <c r="AO245" i="4" a="1"/>
  <c r="AO245" i="4" s="1"/>
  <c r="AG245" i="4" a="1"/>
  <c r="AG245" i="4" s="1"/>
  <c r="AQ244" i="4" a="1"/>
  <c r="AQ244" i="4" s="1"/>
  <c r="AI244" i="4" a="1"/>
  <c r="AI244" i="4" s="1"/>
  <c r="AS243" i="4" a="1"/>
  <c r="AS243" i="4" s="1"/>
  <c r="AK243" i="4" a="1"/>
  <c r="AK243" i="4" s="1"/>
  <c r="AU237" i="4" a="1"/>
  <c r="AU237" i="4" s="1"/>
  <c r="AM237" i="4" a="1"/>
  <c r="AM237" i="4" s="1"/>
  <c r="AE237" i="4" a="1"/>
  <c r="AE237" i="4" s="1"/>
  <c r="AO236" i="4" a="1"/>
  <c r="AO236" i="4" s="1"/>
  <c r="AG236" i="4" a="1"/>
  <c r="AG236" i="4" s="1"/>
  <c r="AQ235" i="4" a="1"/>
  <c r="AQ235" i="4" s="1"/>
  <c r="AI235" i="4" a="1"/>
  <c r="AI235" i="4" s="1"/>
  <c r="AS234" i="4" a="1"/>
  <c r="AS234" i="4" s="1"/>
  <c r="AK234" i="4" a="1"/>
  <c r="AK234" i="4" s="1"/>
  <c r="AU232" i="4" a="1"/>
  <c r="AU232" i="4" s="1"/>
  <c r="AM232" i="4" a="1"/>
  <c r="AM232" i="4" s="1"/>
  <c r="AE232" i="4" a="1"/>
  <c r="AE232" i="4" s="1"/>
  <c r="AO231" i="4" a="1"/>
  <c r="AO231" i="4" s="1"/>
  <c r="AG231" i="4" a="1"/>
  <c r="AG231" i="4" s="1"/>
  <c r="AQ230" i="4" a="1"/>
  <c r="AQ230" i="4" s="1"/>
  <c r="AI230" i="4" a="1"/>
  <c r="AI230" i="4" s="1"/>
  <c r="AS229" i="4" a="1"/>
  <c r="AS229" i="4" s="1"/>
  <c r="AK229" i="4" a="1"/>
  <c r="AK229" i="4" s="1"/>
  <c r="AU228" i="4" a="1"/>
  <c r="AU228" i="4" s="1"/>
  <c r="AM228" i="4" a="1"/>
  <c r="AM228" i="4" s="1"/>
  <c r="AE228" i="4" a="1"/>
  <c r="AE228" i="4" s="1"/>
  <c r="AO226" i="4" a="1"/>
  <c r="AO226" i="4" s="1"/>
  <c r="AG226" i="4" a="1"/>
  <c r="AG226" i="4" s="1"/>
  <c r="AT225" i="4" a="1"/>
  <c r="AT225" i="4" s="1"/>
  <c r="AP225" i="4" a="1"/>
  <c r="AP225" i="4" s="1"/>
  <c r="AL225" i="4" a="1"/>
  <c r="AL225" i="4" s="1"/>
  <c r="AH225" i="4" a="1"/>
  <c r="AH225" i="4" s="1"/>
  <c r="AU224" i="4" a="1"/>
  <c r="AU224" i="4" s="1"/>
  <c r="AM224" i="4" a="1"/>
  <c r="AM224" i="4" s="1"/>
  <c r="AE224" i="4" a="1"/>
  <c r="AE224" i="4" s="1"/>
  <c r="AO223" i="4" a="1"/>
  <c r="AO223" i="4" s="1"/>
  <c r="AG223" i="4" a="1"/>
  <c r="AG223" i="4" s="1"/>
  <c r="AQ222" i="4" a="1"/>
  <c r="AQ222" i="4" s="1"/>
  <c r="AI222" i="4" a="1"/>
  <c r="AI222" i="4" s="1"/>
  <c r="AS220" i="4" a="1"/>
  <c r="AS220" i="4" s="1"/>
  <c r="AK220" i="4" a="1"/>
  <c r="AK220" i="4" s="1"/>
  <c r="AV219" i="4" a="1"/>
  <c r="AV219" i="4" s="1"/>
  <c r="AR219" i="4" a="1"/>
  <c r="AR219" i="4" s="1"/>
  <c r="AN219" i="4" a="1"/>
  <c r="AN219" i="4" s="1"/>
  <c r="AJ219" i="4" a="1"/>
  <c r="AJ219" i="4" s="1"/>
  <c r="AF219" i="4" a="1"/>
  <c r="AF219" i="4" s="1"/>
  <c r="AQ218" i="4" a="1"/>
  <c r="AQ218" i="4" s="1"/>
  <c r="AJ225" i="4" a="1"/>
  <c r="AJ225" i="4" s="1"/>
  <c r="AO222" i="4" a="1"/>
  <c r="AO222" i="4" s="1"/>
  <c r="AQ220" i="4" a="1"/>
  <c r="AQ220" i="4" s="1"/>
  <c r="AF220" i="4" a="1"/>
  <c r="AF220" i="4" s="1"/>
  <c r="AR218" i="4" a="1"/>
  <c r="AR218" i="4" s="1"/>
  <c r="AH218" i="4" a="1"/>
  <c r="AH218" i="4" s="1"/>
  <c r="AV216" i="4" a="1"/>
  <c r="AV216" i="4" s="1"/>
  <c r="AN216" i="4" a="1"/>
  <c r="AN216" i="4" s="1"/>
  <c r="AF216" i="4" a="1"/>
  <c r="AF216" i="4" s="1"/>
  <c r="AL214" i="4" a="1"/>
  <c r="AL214" i="4" s="1"/>
  <c r="AT214" i="4" a="1"/>
  <c r="AT214" i="4" s="1"/>
  <c r="AM186" i="4" a="1"/>
  <c r="AM186" i="4" s="1"/>
  <c r="AR186" i="4" a="1"/>
  <c r="AR186" i="4" s="1"/>
  <c r="AN187" i="4" a="1"/>
  <c r="AN187" i="4" s="1"/>
  <c r="AE188" i="4" a="1"/>
  <c r="AE188" i="4" s="1"/>
  <c r="AO188" i="4" a="1"/>
  <c r="AO188" i="4" s="1"/>
  <c r="AF189" i="4" a="1"/>
  <c r="AF189" i="4" s="1"/>
  <c r="AO189" i="4" a="1"/>
  <c r="AO189" i="4" s="1"/>
  <c r="AT189" i="4" a="1"/>
  <c r="AT189" i="4" s="1"/>
  <c r="AK190" i="4" a="1"/>
  <c r="AK190" i="4" s="1"/>
  <c r="AT190" i="4" a="1"/>
  <c r="AT190" i="4" s="1"/>
  <c r="AL191" i="4" a="1"/>
  <c r="AL191" i="4" s="1"/>
  <c r="AU191" i="4" a="1"/>
  <c r="AU191" i="4" s="1"/>
  <c r="AQ192" i="4" a="1"/>
  <c r="AQ192" i="4" s="1"/>
  <c r="AV192" i="4" a="1"/>
  <c r="AV192" i="4" s="1"/>
  <c r="AM193" i="4" a="1"/>
  <c r="AM193" i="4" s="1"/>
  <c r="AV193" i="4" a="1"/>
  <c r="AV193" i="4" s="1"/>
  <c r="AM194" i="4" a="1"/>
  <c r="AM194" i="4" s="1"/>
  <c r="AR194" i="4" a="1"/>
  <c r="AR194" i="4" s="1"/>
  <c r="AN195" i="4" a="1"/>
  <c r="AN195" i="4" s="1"/>
  <c r="AE196" i="4" a="1"/>
  <c r="AE196" i="4" s="1"/>
  <c r="AO196" i="4" a="1"/>
  <c r="AO196" i="4" s="1"/>
  <c r="AF197" i="4" a="1"/>
  <c r="AF197" i="4" s="1"/>
  <c r="AO197" i="4" a="1"/>
  <c r="AO197" i="4" s="1"/>
  <c r="AT197" i="4" a="1"/>
  <c r="AT197" i="4" s="1"/>
  <c r="AK198" i="4" a="1"/>
  <c r="AK198" i="4" s="1"/>
  <c r="AT198" i="4" a="1"/>
  <c r="AT198" i="4" s="1"/>
  <c r="AL199" i="4" a="1"/>
  <c r="AL199" i="4" s="1"/>
  <c r="AU199" i="4" a="1"/>
  <c r="AU199" i="4" s="1"/>
  <c r="AQ200" i="4" a="1"/>
  <c r="AQ200" i="4" s="1"/>
  <c r="AV200" i="4" a="1"/>
  <c r="AV200" i="4" s="1"/>
  <c r="AM201" i="4" a="1"/>
  <c r="AM201" i="4" s="1"/>
  <c r="AV201" i="4" a="1"/>
  <c r="AV201" i="4" s="1"/>
  <c r="AI202" i="4" a="1"/>
  <c r="AI202" i="4" s="1"/>
  <c r="AN202" i="4" a="1"/>
  <c r="AN202" i="4" s="1"/>
  <c r="AF225" i="4" a="1"/>
  <c r="AF225" i="4" s="1"/>
  <c r="AM222" i="4" a="1"/>
  <c r="AM222" i="4" s="1"/>
  <c r="AP220" i="4" a="1"/>
  <c r="AP220" i="4" s="1"/>
  <c r="AE220" i="4" a="1"/>
  <c r="AE220" i="4" s="1"/>
  <c r="AQ219" i="4" a="1"/>
  <c r="AQ219" i="4" s="1"/>
  <c r="AL219" i="4" a="1"/>
  <c r="AL219" i="4" s="1"/>
  <c r="AG219" i="4" a="1"/>
  <c r="AG219" i="4" s="1"/>
  <c r="AO218" i="4" a="1"/>
  <c r="AO218" i="4" s="1"/>
  <c r="AG218" i="4" a="1"/>
  <c r="AG218" i="4" s="1"/>
  <c r="AT217" i="4" a="1"/>
  <c r="AT217" i="4" s="1"/>
  <c r="AP217" i="4" a="1"/>
  <c r="AP217" i="4" s="1"/>
  <c r="AL217" i="4" a="1"/>
  <c r="AL217" i="4" s="1"/>
  <c r="AH217" i="4" a="1"/>
  <c r="AH217" i="4" s="1"/>
  <c r="AU216" i="4" a="1"/>
  <c r="AU216" i="4" s="1"/>
  <c r="AM216" i="4" a="1"/>
  <c r="AM216" i="4" s="1"/>
  <c r="AE216" i="4" a="1"/>
  <c r="AE216" i="4" s="1"/>
  <c r="AM214" i="4" a="1"/>
  <c r="AM214" i="4" s="1"/>
  <c r="AU214" i="4" a="1"/>
  <c r="AU214" i="4" s="1"/>
  <c r="AI186" i="4" a="1"/>
  <c r="AI186" i="4" s="1"/>
  <c r="AN186" i="4" a="1"/>
  <c r="AN186" i="4" s="1"/>
  <c r="AE187" i="4" a="1"/>
  <c r="AE187" i="4" s="1"/>
  <c r="AJ187" i="4" a="1"/>
  <c r="AJ187" i="4" s="1"/>
  <c r="AS187" i="4" a="1"/>
  <c r="AS187" i="4" s="1"/>
  <c r="AF188" i="4" a="1"/>
  <c r="AF188" i="4" s="1"/>
  <c r="AK188" i="4" a="1"/>
  <c r="AK188" i="4" s="1"/>
  <c r="AT188" i="4" a="1"/>
  <c r="AT188" i="4" s="1"/>
  <c r="AK189" i="4" a="1"/>
  <c r="AK189" i="4" s="1"/>
  <c r="AP189" i="4" a="1"/>
  <c r="AP189" i="4" s="1"/>
  <c r="AG190" i="4" a="1"/>
  <c r="AG190" i="4" s="1"/>
  <c r="AP190" i="4" a="1"/>
  <c r="AP190" i="4" s="1"/>
  <c r="AG191" i="4" a="1"/>
  <c r="AG191" i="4" s="1"/>
  <c r="AQ191" i="4" a="1"/>
  <c r="AQ191" i="4" s="1"/>
  <c r="AH192" i="4" a="1"/>
  <c r="AH192" i="4" s="1"/>
  <c r="AM192" i="4" a="1"/>
  <c r="AM192" i="4" s="1"/>
  <c r="AR192" i="4" a="1"/>
  <c r="AR192" i="4" s="1"/>
  <c r="AI193" i="4" a="1"/>
  <c r="AI193" i="4" s="1"/>
  <c r="AR193" i="4" a="1"/>
  <c r="AR193" i="4" s="1"/>
  <c r="AI194" i="4" a="1"/>
  <c r="AI194" i="4" s="1"/>
  <c r="AN194" i="4" a="1"/>
  <c r="AN194" i="4" s="1"/>
  <c r="AE195" i="4" a="1"/>
  <c r="AE195" i="4" s="1"/>
  <c r="AJ195" i="4" a="1"/>
  <c r="AJ195" i="4" s="1"/>
  <c r="AS195" i="4" a="1"/>
  <c r="AS195" i="4" s="1"/>
  <c r="AF196" i="4" a="1"/>
  <c r="AF196" i="4" s="1"/>
  <c r="AQ224" i="4" a="1"/>
  <c r="AQ224" i="4" s="1"/>
  <c r="AK222" i="4" a="1"/>
  <c r="AK222" i="4" s="1"/>
  <c r="AO220" i="4" a="1"/>
  <c r="AO220" i="4" s="1"/>
  <c r="AN218" i="4" a="1"/>
  <c r="AN218" i="4" s="1"/>
  <c r="AF218" i="4" a="1"/>
  <c r="AF218" i="4" s="1"/>
  <c r="AT216" i="4" a="1"/>
  <c r="AT216" i="4" s="1"/>
  <c r="AL216" i="4" a="1"/>
  <c r="AL216" i="4" s="1"/>
  <c r="AF214" i="4" a="1"/>
  <c r="AF214" i="4" s="1"/>
  <c r="AN214" i="4" a="1"/>
  <c r="AN214" i="4" s="1"/>
  <c r="AV214" i="4" a="1"/>
  <c r="AV214" i="4" s="1"/>
  <c r="AJ186" i="4" a="1"/>
  <c r="AJ186" i="4" s="1"/>
  <c r="AS186" i="4" a="1"/>
  <c r="AS186" i="4" s="1"/>
  <c r="AO187" i="4" a="1"/>
  <c r="AO187" i="4" s="1"/>
  <c r="AT187" i="4" a="1"/>
  <c r="AT187" i="4" s="1"/>
  <c r="AP188" i="4" a="1"/>
  <c r="AP188" i="4" s="1"/>
  <c r="AG189" i="4" a="1"/>
  <c r="AG189" i="4" s="1"/>
  <c r="AL189" i="4" a="1"/>
  <c r="AL189" i="4" s="1"/>
  <c r="AU189" i="4" a="1"/>
  <c r="AU189" i="4" s="1"/>
  <c r="AL190" i="4" a="1"/>
  <c r="AL190" i="4" s="1"/>
  <c r="AU190" i="4" a="1"/>
  <c r="AU190" i="4" s="1"/>
  <c r="AH191" i="4" a="1"/>
  <c r="AH191" i="4" s="1"/>
  <c r="AM191" i="4" a="1"/>
  <c r="AM191" i="4" s="1"/>
  <c r="AV191" i="4" a="1"/>
  <c r="AV191" i="4" s="1"/>
  <c r="AI192" i="4" a="1"/>
  <c r="AI192" i="4" s="1"/>
  <c r="AN192" i="4" a="1"/>
  <c r="AN192" i="4" s="1"/>
  <c r="AE193" i="4" a="1"/>
  <c r="AE193" i="4" s="1"/>
  <c r="AN193" i="4" a="1"/>
  <c r="AN193" i="4" s="1"/>
  <c r="AE194" i="4" a="1"/>
  <c r="AE194" i="4" s="1"/>
  <c r="AJ194" i="4" a="1"/>
  <c r="AJ194" i="4" s="1"/>
  <c r="AS194" i="4" a="1"/>
  <c r="AS194" i="4" s="1"/>
  <c r="AO195" i="4" a="1"/>
  <c r="AO195" i="4" s="1"/>
  <c r="AT195" i="4" a="1"/>
  <c r="AT195" i="4" s="1"/>
  <c r="AP196" i="4" a="1"/>
  <c r="AP196" i="4" s="1"/>
  <c r="AG197" i="4" a="1"/>
  <c r="AG197" i="4" s="1"/>
  <c r="AL197" i="4" a="1"/>
  <c r="AL197" i="4" s="1"/>
  <c r="AU197" i="4" a="1"/>
  <c r="AU197" i="4" s="1"/>
  <c r="AL198" i="4" a="1"/>
  <c r="AL198" i="4" s="1"/>
  <c r="AU198" i="4" a="1"/>
  <c r="AU198" i="4" s="1"/>
  <c r="AH199" i="4" a="1"/>
  <c r="AH199" i="4" s="1"/>
  <c r="AM199" i="4" a="1"/>
  <c r="AM199" i="4" s="1"/>
  <c r="AV199" i="4" a="1"/>
  <c r="AV199" i="4" s="1"/>
  <c r="AI200" i="4" a="1"/>
  <c r="AI200" i="4" s="1"/>
  <c r="AI224" i="4" a="1"/>
  <c r="AI224" i="4" s="1"/>
  <c r="AG222" i="4" a="1"/>
  <c r="AG222" i="4" s="1"/>
  <c r="AM220" i="4" a="1"/>
  <c r="AM220" i="4" s="1"/>
  <c r="AU219" i="4" a="1"/>
  <c r="AU219" i="4" s="1"/>
  <c r="AP219" i="4" a="1"/>
  <c r="AP219" i="4" s="1"/>
  <c r="AK219" i="4" a="1"/>
  <c r="AK219" i="4" s="1"/>
  <c r="AE219" i="4" a="1"/>
  <c r="AE219" i="4" s="1"/>
  <c r="AM218" i="4" a="1"/>
  <c r="AM218" i="4" s="1"/>
  <c r="AE218" i="4" a="1"/>
  <c r="AE218" i="4" s="1"/>
  <c r="AS217" i="4" a="1"/>
  <c r="AS217" i="4" s="1"/>
  <c r="AO217" i="4" a="1"/>
  <c r="AO217" i="4" s="1"/>
  <c r="AK217" i="4" a="1"/>
  <c r="AK217" i="4" s="1"/>
  <c r="AG217" i="4" a="1"/>
  <c r="AG217" i="4" s="1"/>
  <c r="AS216" i="4" a="1"/>
  <c r="AS216" i="4" s="1"/>
  <c r="AK216" i="4" a="1"/>
  <c r="AK216" i="4" s="1"/>
  <c r="AG214" i="4" a="1"/>
  <c r="AG214" i="4" s="1"/>
  <c r="AO214" i="4" a="1"/>
  <c r="AO214" i="4" s="1"/>
  <c r="AE214" i="4" a="1"/>
  <c r="AE214" i="4" s="1"/>
  <c r="AO186" i="4" a="1"/>
  <c r="AO186" i="4" s="1"/>
  <c r="AF187" i="4" a="1"/>
  <c r="AF187" i="4" s="1"/>
  <c r="AK187" i="4" a="1"/>
  <c r="AK187" i="4" s="1"/>
  <c r="AP187" i="4" a="1"/>
  <c r="AP187" i="4" s="1"/>
  <c r="AG188" i="4" a="1"/>
  <c r="AG188" i="4" s="1"/>
  <c r="AL188" i="4" a="1"/>
  <c r="AL188" i="4" s="1"/>
  <c r="AU188" i="4" a="1"/>
  <c r="AU188" i="4" s="1"/>
  <c r="AH189" i="4" a="1"/>
  <c r="AH189" i="4" s="1"/>
  <c r="AQ189" i="4" a="1"/>
  <c r="AQ189" i="4" s="1"/>
  <c r="AH190" i="4" a="1"/>
  <c r="AH190" i="4" s="1"/>
  <c r="AQ190" i="4" a="1"/>
  <c r="AQ190" i="4" s="1"/>
  <c r="AV190" i="4" a="1"/>
  <c r="AV190" i="4" s="1"/>
  <c r="AI191" i="4" a="1"/>
  <c r="AI191" i="4" s="1"/>
  <c r="AR191" i="4" a="1"/>
  <c r="AR191" i="4" s="1"/>
  <c r="AJ192" i="4" a="1"/>
  <c r="AJ192" i="4" s="1"/>
  <c r="AS192" i="4" a="1"/>
  <c r="AS192" i="4" s="1"/>
  <c r="AJ193" i="4" a="1"/>
  <c r="AJ193" i="4" s="1"/>
  <c r="AS193" i="4" a="1"/>
  <c r="AS193" i="4" s="1"/>
  <c r="AF194" i="4" a="1"/>
  <c r="AF194" i="4" s="1"/>
  <c r="AO194" i="4" a="1"/>
  <c r="AO194" i="4" s="1"/>
  <c r="AS223" i="4" a="1"/>
  <c r="AS223" i="4" s="1"/>
  <c r="AF222" i="4" a="1"/>
  <c r="AF222" i="4" s="1"/>
  <c r="AL220" i="4" a="1"/>
  <c r="AL220" i="4" s="1"/>
  <c r="AV218" i="4" a="1"/>
  <c r="AV218" i="4" s="1"/>
  <c r="AL218" i="4" a="1"/>
  <c r="AL218" i="4" s="1"/>
  <c r="AR216" i="4" a="1"/>
  <c r="AR216" i="4" s="1"/>
  <c r="AJ216" i="4" a="1"/>
  <c r="AJ216" i="4" s="1"/>
  <c r="AH214" i="4" a="1"/>
  <c r="AH214" i="4" s="1"/>
  <c r="AP214" i="4" a="1"/>
  <c r="AP214" i="4" s="1"/>
  <c r="AE186" i="4" a="1"/>
  <c r="AE186" i="4" s="1"/>
  <c r="AK186" i="4" a="1"/>
  <c r="AK186" i="4" s="1"/>
  <c r="AT186" i="4" a="1"/>
  <c r="AT186" i="4" s="1"/>
  <c r="AL187" i="4" a="1"/>
  <c r="AL187" i="4" s="1"/>
  <c r="AU187" i="4" a="1"/>
  <c r="AU187" i="4" s="1"/>
  <c r="AQ188" i="4" a="1"/>
  <c r="AQ188" i="4" s="1"/>
  <c r="AV188" i="4" a="1"/>
  <c r="AV188" i="4" s="1"/>
  <c r="AM189" i="4" a="1"/>
  <c r="AM189" i="4" s="1"/>
  <c r="AV189" i="4" a="1"/>
  <c r="AV189" i="4" s="1"/>
  <c r="AM190" i="4" a="1"/>
  <c r="AM190" i="4" s="1"/>
  <c r="AR190" i="4" a="1"/>
  <c r="AR190" i="4" s="1"/>
  <c r="AN191" i="4" a="1"/>
  <c r="AN191" i="4" s="1"/>
  <c r="AE192" i="4" a="1"/>
  <c r="AE192" i="4" s="1"/>
  <c r="AO192" i="4" a="1"/>
  <c r="AO192" i="4" s="1"/>
  <c r="AF193" i="4" a="1"/>
  <c r="AF193" i="4" s="1"/>
  <c r="AO193" i="4" a="1"/>
  <c r="AO193" i="4" s="1"/>
  <c r="AT193" i="4" a="1"/>
  <c r="AT193" i="4" s="1"/>
  <c r="AK194" i="4" a="1"/>
  <c r="AK194" i="4" s="1"/>
  <c r="AT194" i="4" a="1"/>
  <c r="AT194" i="4" s="1"/>
  <c r="AL195" i="4" a="1"/>
  <c r="AL195" i="4" s="1"/>
  <c r="AU195" i="4" a="1"/>
  <c r="AU195" i="4" s="1"/>
  <c r="AQ196" i="4" a="1"/>
  <c r="AQ196" i="4" s="1"/>
  <c r="AV196" i="4" a="1"/>
  <c r="AV196" i="4" s="1"/>
  <c r="AM197" i="4" a="1"/>
  <c r="AM197" i="4" s="1"/>
  <c r="AV197" i="4" a="1"/>
  <c r="AV197" i="4" s="1"/>
  <c r="AM198" i="4" a="1"/>
  <c r="AM198" i="4" s="1"/>
  <c r="AR198" i="4" a="1"/>
  <c r="AR198" i="4" s="1"/>
  <c r="AN199" i="4" a="1"/>
  <c r="AN199" i="4" s="1"/>
  <c r="AE200" i="4" a="1"/>
  <c r="AE200" i="4" s="1"/>
  <c r="AO200" i="4" a="1"/>
  <c r="AO200" i="4" s="1"/>
  <c r="AF201" i="4" a="1"/>
  <c r="AF201" i="4" s="1"/>
  <c r="AO201" i="4" a="1"/>
  <c r="AO201" i="4" s="1"/>
  <c r="AT201" i="4" a="1"/>
  <c r="AT201" i="4" s="1"/>
  <c r="AP202" i="4" a="1"/>
  <c r="AP202" i="4" s="1"/>
  <c r="AH203" i="4" a="1"/>
  <c r="AH203" i="4" s="1"/>
  <c r="AK223" i="4" a="1"/>
  <c r="AK223" i="4" s="1"/>
  <c r="AE222" i="4" a="1"/>
  <c r="AE222" i="4" s="1"/>
  <c r="AI220" i="4" a="1"/>
  <c r="AI220" i="4" s="1"/>
  <c r="AT219" i="4" a="1"/>
  <c r="AT219" i="4" s="1"/>
  <c r="AO219" i="4" a="1"/>
  <c r="AO219" i="4" s="1"/>
  <c r="AI219" i="4" a="1"/>
  <c r="AI219" i="4" s="1"/>
  <c r="AU218" i="4" a="1"/>
  <c r="AU218" i="4" s="1"/>
  <c r="AK218" i="4" a="1"/>
  <c r="AK218" i="4" s="1"/>
  <c r="AR217" i="4" a="1"/>
  <c r="AR217" i="4" s="1"/>
  <c r="AN217" i="4" a="1"/>
  <c r="AN217" i="4" s="1"/>
  <c r="AJ217" i="4" a="1"/>
  <c r="AJ217" i="4" s="1"/>
  <c r="AF217" i="4" a="1"/>
  <c r="AF217" i="4" s="1"/>
  <c r="AQ216" i="4" a="1"/>
  <c r="AQ216" i="4" s="1"/>
  <c r="AI216" i="4" a="1"/>
  <c r="AI216" i="4" s="1"/>
  <c r="AI214" i="4" a="1"/>
  <c r="AI214" i="4" s="1"/>
  <c r="AQ214" i="4" a="1"/>
  <c r="AQ214" i="4" s="1"/>
  <c r="AF186" i="4" a="1"/>
  <c r="AF186" i="4" s="1"/>
  <c r="AP186" i="4" a="1"/>
  <c r="AP186" i="4" s="1"/>
  <c r="AG187" i="4" a="1"/>
  <c r="AG187" i="4" s="1"/>
  <c r="AQ187" i="4" a="1"/>
  <c r="AQ187" i="4" s="1"/>
  <c r="AH188" i="4" a="1"/>
  <c r="AH188" i="4" s="1"/>
  <c r="AM188" i="4" a="1"/>
  <c r="AM188" i="4" s="1"/>
  <c r="AR188" i="4" a="1"/>
  <c r="AR188" i="4" s="1"/>
  <c r="AI189" i="4" a="1"/>
  <c r="AI189" i="4" s="1"/>
  <c r="AR189" i="4" a="1"/>
  <c r="AR189" i="4" s="1"/>
  <c r="AI190" i="4" a="1"/>
  <c r="AI190" i="4" s="1"/>
  <c r="AN190" i="4" a="1"/>
  <c r="AN190" i="4" s="1"/>
  <c r="AE191" i="4" a="1"/>
  <c r="AE191" i="4" s="1"/>
  <c r="AJ191" i="4" a="1"/>
  <c r="AJ191" i="4" s="1"/>
  <c r="AS191" i="4" a="1"/>
  <c r="AS191" i="4" s="1"/>
  <c r="AF192" i="4" a="1"/>
  <c r="AF192" i="4" s="1"/>
  <c r="AK192" i="4" a="1"/>
  <c r="AK192" i="4" s="1"/>
  <c r="AT192" i="4" a="1"/>
  <c r="AT192" i="4" s="1"/>
  <c r="AK193" i="4" a="1"/>
  <c r="AK193" i="4" s="1"/>
  <c r="AP193" i="4" a="1"/>
  <c r="AP193" i="4" s="1"/>
  <c r="AG194" i="4" a="1"/>
  <c r="AG194" i="4" s="1"/>
  <c r="AP194" i="4" a="1"/>
  <c r="AP194" i="4" s="1"/>
  <c r="AG195" i="4" a="1"/>
  <c r="AG195" i="4" s="1"/>
  <c r="AQ195" i="4" a="1"/>
  <c r="AQ195" i="4" s="1"/>
  <c r="AH196" i="4" a="1"/>
  <c r="AH196" i="4" s="1"/>
  <c r="AM196" i="4" a="1"/>
  <c r="AM196" i="4" s="1"/>
  <c r="AR196" i="4" a="1"/>
  <c r="AR196" i="4" s="1"/>
  <c r="AU222" i="4" a="1"/>
  <c r="AU222" i="4" s="1"/>
  <c r="AU220" i="4" a="1"/>
  <c r="AU220" i="4" s="1"/>
  <c r="AH220" i="4" a="1"/>
  <c r="AH220" i="4" s="1"/>
  <c r="AT218" i="4" a="1"/>
  <c r="AT218" i="4" s="1"/>
  <c r="AJ218" i="4" a="1"/>
  <c r="AJ218" i="4" s="1"/>
  <c r="AP216" i="4" a="1"/>
  <c r="AP216" i="4" s="1"/>
  <c r="AH216" i="4" a="1"/>
  <c r="AH216" i="4" s="1"/>
  <c r="AJ214" i="4" a="1"/>
  <c r="AJ214" i="4" s="1"/>
  <c r="AR214" i="4" a="1"/>
  <c r="AR214" i="4" s="1"/>
  <c r="AG186" i="4" a="1"/>
  <c r="AG186" i="4" s="1"/>
  <c r="AL186" i="4" a="1"/>
  <c r="AL186" i="4" s="1"/>
  <c r="AU186" i="4" a="1"/>
  <c r="AU186" i="4" s="1"/>
  <c r="AH187" i="4" a="1"/>
  <c r="AH187" i="4" s="1"/>
  <c r="AM187" i="4" a="1"/>
  <c r="AM187" i="4" s="1"/>
  <c r="AV187" i="4" a="1"/>
  <c r="AV187" i="4" s="1"/>
  <c r="AI188" i="4" a="1"/>
  <c r="AI188" i="4" s="1"/>
  <c r="AN188" i="4" a="1"/>
  <c r="AN188" i="4" s="1"/>
  <c r="AE189" i="4" a="1"/>
  <c r="AE189" i="4" s="1"/>
  <c r="AN189" i="4" a="1"/>
  <c r="AN189" i="4" s="1"/>
  <c r="AE190" i="4" a="1"/>
  <c r="AE190" i="4" s="1"/>
  <c r="AJ190" i="4" a="1"/>
  <c r="AJ190" i="4" s="1"/>
  <c r="AS190" i="4" a="1"/>
  <c r="AS190" i="4" s="1"/>
  <c r="AO191" i="4" a="1"/>
  <c r="AO191" i="4" s="1"/>
  <c r="AT191" i="4" a="1"/>
  <c r="AT191" i="4" s="1"/>
  <c r="AP192" i="4" a="1"/>
  <c r="AP192" i="4" s="1"/>
  <c r="AG193" i="4" a="1"/>
  <c r="AG193" i="4" s="1"/>
  <c r="AL193" i="4" a="1"/>
  <c r="AL193" i="4" s="1"/>
  <c r="AU193" i="4" a="1"/>
  <c r="AU193" i="4" s="1"/>
  <c r="AL194" i="4" a="1"/>
  <c r="AL194" i="4" s="1"/>
  <c r="AU194" i="4" a="1"/>
  <c r="AU194" i="4" s="1"/>
  <c r="AH195" i="4" a="1"/>
  <c r="AH195" i="4" s="1"/>
  <c r="AM195" i="4" a="1"/>
  <c r="AM195" i="4" s="1"/>
  <c r="AV195" i="4" a="1"/>
  <c r="AV195" i="4" s="1"/>
  <c r="AI196" i="4" a="1"/>
  <c r="AI196" i="4" s="1"/>
  <c r="AN196" i="4" a="1"/>
  <c r="AN196" i="4" s="1"/>
  <c r="AE197" i="4" a="1"/>
  <c r="AE197" i="4" s="1"/>
  <c r="AN197" i="4" a="1"/>
  <c r="AN197" i="4" s="1"/>
  <c r="AE198" i="4" a="1"/>
  <c r="AE198" i="4" s="1"/>
  <c r="AJ198" i="4" a="1"/>
  <c r="AJ198" i="4" s="1"/>
  <c r="AS198" i="4" a="1"/>
  <c r="AS198" i="4" s="1"/>
  <c r="AO199" i="4" a="1"/>
  <c r="AO199" i="4" s="1"/>
  <c r="AT199" i="4" a="1"/>
  <c r="AT199" i="4" s="1"/>
  <c r="AP200" i="4" a="1"/>
  <c r="AP200" i="4" s="1"/>
  <c r="AN225" i="4" a="1"/>
  <c r="AN225" i="4" s="1"/>
  <c r="AS222" i="4" a="1"/>
  <c r="AS222" i="4" s="1"/>
  <c r="AT220" i="4" a="1"/>
  <c r="AT220" i="4" s="1"/>
  <c r="AG220" i="4" a="1"/>
  <c r="AG220" i="4" s="1"/>
  <c r="AS219" i="4" a="1"/>
  <c r="AS219" i="4" s="1"/>
  <c r="AM219" i="4" a="1"/>
  <c r="AM219" i="4" s="1"/>
  <c r="AH219" i="4" a="1"/>
  <c r="AH219" i="4" s="1"/>
  <c r="AS218" i="4" a="1"/>
  <c r="AS218" i="4" s="1"/>
  <c r="AI218" i="4" a="1"/>
  <c r="AI218" i="4" s="1"/>
  <c r="AU217" i="4" a="1"/>
  <c r="AU217" i="4" s="1"/>
  <c r="AQ217" i="4" a="1"/>
  <c r="AQ217" i="4" s="1"/>
  <c r="AI217" i="4" a="1"/>
  <c r="AI217" i="4" s="1"/>
  <c r="AE217" i="4" a="1"/>
  <c r="AE217" i="4" s="1"/>
  <c r="AO216" i="4" a="1"/>
  <c r="AO216" i="4" s="1"/>
  <c r="AG216" i="4" a="1"/>
  <c r="AG216" i="4" s="1"/>
  <c r="AK214" i="4" a="1"/>
  <c r="AK214" i="4" s="1"/>
  <c r="AS214" i="4" a="1"/>
  <c r="AS214" i="4" s="1"/>
  <c r="AH186" i="4" a="1"/>
  <c r="AH186" i="4" s="1"/>
  <c r="AQ186" i="4" a="1"/>
  <c r="AQ186" i="4" s="1"/>
  <c r="AV186" i="4" a="1"/>
  <c r="AV186" i="4" s="1"/>
  <c r="AI187" i="4" a="1"/>
  <c r="AI187" i="4" s="1"/>
  <c r="AR187" i="4" a="1"/>
  <c r="AR187" i="4" s="1"/>
  <c r="AJ188" i="4" a="1"/>
  <c r="AJ188" i="4" s="1"/>
  <c r="AS188" i="4" a="1"/>
  <c r="AS188" i="4" s="1"/>
  <c r="AJ189" i="4" a="1"/>
  <c r="AJ189" i="4" s="1"/>
  <c r="AS189" i="4" a="1"/>
  <c r="AS189" i="4" s="1"/>
  <c r="AF190" i="4" a="1"/>
  <c r="AF190" i="4" s="1"/>
  <c r="AO190" i="4" a="1"/>
  <c r="AO190" i="4" s="1"/>
  <c r="AF191" i="4" a="1"/>
  <c r="AF191" i="4" s="1"/>
  <c r="AK191" i="4" a="1"/>
  <c r="AK191" i="4" s="1"/>
  <c r="AP191" i="4" a="1"/>
  <c r="AP191" i="4" s="1"/>
  <c r="AG192" i="4" a="1"/>
  <c r="AG192" i="4" s="1"/>
  <c r="AL192" i="4" a="1"/>
  <c r="AL192" i="4" s="1"/>
  <c r="AU192" i="4" a="1"/>
  <c r="AU192" i="4" s="1"/>
  <c r="AH193" i="4" a="1"/>
  <c r="AH193" i="4" s="1"/>
  <c r="AQ193" i="4" a="1"/>
  <c r="AQ193" i="4" s="1"/>
  <c r="AH194" i="4" a="1"/>
  <c r="AH194" i="4" s="1"/>
  <c r="AQ194" i="4" a="1"/>
  <c r="AQ194" i="4" s="1"/>
  <c r="AV194" i="4" a="1"/>
  <c r="AV194" i="4" s="1"/>
  <c r="AI195" i="4" a="1"/>
  <c r="AI195" i="4" s="1"/>
  <c r="AR195" i="4" a="1"/>
  <c r="AR195" i="4" s="1"/>
  <c r="AJ196" i="4" a="1"/>
  <c r="AJ196" i="4" s="1"/>
  <c r="AS196" i="4" a="1"/>
  <c r="AS196" i="4" s="1"/>
  <c r="AJ197" i="4" a="1"/>
  <c r="AJ197" i="4" s="1"/>
  <c r="AS197" i="4" a="1"/>
  <c r="AS197" i="4" s="1"/>
  <c r="AF198" i="4" a="1"/>
  <c r="AF198" i="4" s="1"/>
  <c r="AO198" i="4" a="1"/>
  <c r="AO198" i="4" s="1"/>
  <c r="AF199" i="4" a="1"/>
  <c r="AF199" i="4" s="1"/>
  <c r="AK199" i="4" a="1"/>
  <c r="AK199" i="4" s="1"/>
  <c r="AP199" i="4" a="1"/>
  <c r="AP199" i="4" s="1"/>
  <c r="AG200" i="4" a="1"/>
  <c r="AG200" i="4" s="1"/>
  <c r="AF195" i="4" a="1"/>
  <c r="AF195" i="4" s="1"/>
  <c r="AG198" i="4" a="1"/>
  <c r="AG198" i="4" s="1"/>
  <c r="AH200" i="4" a="1"/>
  <c r="AH200" i="4" s="1"/>
  <c r="AE201" i="4" a="1"/>
  <c r="AE201" i="4" s="1"/>
  <c r="AK201" i="4" a="1"/>
  <c r="AK201" i="4" s="1"/>
  <c r="AQ201" i="4" a="1"/>
  <c r="AQ201" i="4" s="1"/>
  <c r="AE202" i="4" a="1"/>
  <c r="AE202" i="4" s="1"/>
  <c r="AL202" i="4" a="1"/>
  <c r="AL202" i="4" s="1"/>
  <c r="AR202" i="4" a="1"/>
  <c r="AR202" i="4" s="1"/>
  <c r="AM203" i="4" a="1"/>
  <c r="AM203" i="4" s="1"/>
  <c r="AR203" i="4" a="1"/>
  <c r="AR203" i="4" s="1"/>
  <c r="AE204" i="4" a="1"/>
  <c r="AE204" i="4" s="1"/>
  <c r="AK204" i="4" a="1"/>
  <c r="AK204" i="4" s="1"/>
  <c r="AV204" i="4" a="1"/>
  <c r="AV204" i="4" s="1"/>
  <c r="AJ205" i="4" a="1"/>
  <c r="AJ205" i="4" s="1"/>
  <c r="AO205" i="4" a="1"/>
  <c r="AO205" i="4" s="1"/>
  <c r="AV205" i="4" a="1"/>
  <c r="AV205" i="4" s="1"/>
  <c r="AJ206" i="4" a="1"/>
  <c r="AJ206" i="4" s="1"/>
  <c r="AR206" i="4" a="1"/>
  <c r="AR206" i="4" s="1"/>
  <c r="AH207" i="4" a="1"/>
  <c r="AH207" i="4" s="1"/>
  <c r="AP207" i="4" a="1"/>
  <c r="AP207" i="4" s="1"/>
  <c r="AF208" i="4" a="1"/>
  <c r="AF208" i="4" s="1"/>
  <c r="AN208" i="4" a="1"/>
  <c r="AN208" i="4" s="1"/>
  <c r="AV208" i="4" a="1"/>
  <c r="AV208" i="4" s="1"/>
  <c r="AO185" i="4" a="1"/>
  <c r="AO185" i="4" s="1"/>
  <c r="AG185" i="4" a="1"/>
  <c r="AG185" i="4" s="1"/>
  <c r="AQ178" i="4" a="1"/>
  <c r="AQ178" i="4" s="1"/>
  <c r="AI178" i="4" a="1"/>
  <c r="AI178" i="4" s="1"/>
  <c r="AS177" i="4" a="1"/>
  <c r="AS177" i="4" s="1"/>
  <c r="AK177" i="4" a="1"/>
  <c r="AK177" i="4" s="1"/>
  <c r="AU176" i="4" a="1"/>
  <c r="AU176" i="4" s="1"/>
  <c r="AM176" i="4" a="1"/>
  <c r="AM176" i="4" s="1"/>
  <c r="AE176" i="4" a="1"/>
  <c r="AE176" i="4" s="1"/>
  <c r="AO175" i="4" a="1"/>
  <c r="AO175" i="4" s="1"/>
  <c r="AG175" i="4" a="1"/>
  <c r="AG175" i="4" s="1"/>
  <c r="AQ174" i="4" a="1"/>
  <c r="AQ174" i="4" s="1"/>
  <c r="AI174" i="4" a="1"/>
  <c r="AI174" i="4" s="1"/>
  <c r="AS173" i="4" a="1"/>
  <c r="AS173" i="4" s="1"/>
  <c r="AK173" i="4" a="1"/>
  <c r="AK173" i="4" s="1"/>
  <c r="AU172" i="4" a="1"/>
  <c r="AU172" i="4" s="1"/>
  <c r="AM172" i="4" a="1"/>
  <c r="AM172" i="4" s="1"/>
  <c r="AO171" i="4" a="1"/>
  <c r="AO171" i="4" s="1"/>
  <c r="AG171" i="4" a="1"/>
  <c r="AG171" i="4" s="1"/>
  <c r="AQ170" i="4" a="1"/>
  <c r="AQ170" i="4" s="1"/>
  <c r="AI170" i="4" a="1"/>
  <c r="AI170" i="4" s="1"/>
  <c r="AS169" i="4" a="1"/>
  <c r="AS169" i="4" s="1"/>
  <c r="AK169" i="4" a="1"/>
  <c r="AK169" i="4" s="1"/>
  <c r="AU168" i="4" a="1"/>
  <c r="AU168" i="4" s="1"/>
  <c r="AM168" i="4" a="1"/>
  <c r="AM168" i="4" s="1"/>
  <c r="AE168" i="4" a="1"/>
  <c r="AE168" i="4" s="1"/>
  <c r="AR167" i="4" a="1"/>
  <c r="AR167" i="4" s="1"/>
  <c r="AI167" i="4" a="1"/>
  <c r="AI167" i="4" s="1"/>
  <c r="AU147" i="4" a="1"/>
  <c r="AU147" i="4" s="1"/>
  <c r="AG160" i="4" a="1"/>
  <c r="AG160" i="4" s="1"/>
  <c r="AI158" i="4" a="1"/>
  <c r="AI158" i="4" s="1"/>
  <c r="AK156" i="4" a="1"/>
  <c r="AK156" i="4" s="1"/>
  <c r="AE155" i="4" a="1"/>
  <c r="AE155" i="4" s="1"/>
  <c r="AL153" i="4" a="1"/>
  <c r="AL153" i="4" s="1"/>
  <c r="AK152" i="4" a="1"/>
  <c r="AK152" i="4" s="1"/>
  <c r="AK150" i="4" a="1"/>
  <c r="AK150" i="4" s="1"/>
  <c r="AM149" i="4" a="1"/>
  <c r="AM149" i="4" s="1"/>
  <c r="AE149" i="4" a="1"/>
  <c r="AE149" i="4" s="1"/>
  <c r="AL147" i="4" a="1"/>
  <c r="AL147" i="4" s="1"/>
  <c r="AK146" i="4" a="1"/>
  <c r="AK146" i="4" s="1"/>
  <c r="AH139" i="4" a="1"/>
  <c r="AH139" i="4" s="1"/>
  <c r="AG140" i="4" a="1"/>
  <c r="AG140" i="4" s="1"/>
  <c r="AF142" i="4" a="1"/>
  <c r="AF142" i="4" s="1"/>
  <c r="AE143" i="4" a="1"/>
  <c r="AE143" i="4" s="1"/>
  <c r="AM143" i="4" a="1"/>
  <c r="AM143" i="4" s="1"/>
  <c r="AL144" i="4" a="1"/>
  <c r="AL144" i="4" s="1"/>
  <c r="AG138" i="4" a="1"/>
  <c r="AG138" i="4" s="1"/>
  <c r="AG136" i="4" a="1"/>
  <c r="AG136" i="4" s="1"/>
  <c r="AG135" i="4" a="1"/>
  <c r="AG135" i="4" s="1"/>
  <c r="AG134" i="4" a="1"/>
  <c r="AG134" i="4" s="1"/>
  <c r="AG132" i="4" a="1"/>
  <c r="AG132" i="4" s="1"/>
  <c r="AG131" i="4" a="1"/>
  <c r="AG131" i="4" s="1"/>
  <c r="AG130" i="4" a="1"/>
  <c r="AG130" i="4" s="1"/>
  <c r="AG128" i="4" a="1"/>
  <c r="AG128" i="4" s="1"/>
  <c r="AK195" i="4" a="1"/>
  <c r="AK195" i="4" s="1"/>
  <c r="AT196" i="4" a="1"/>
  <c r="AT196" i="4" s="1"/>
  <c r="AH198" i="4" a="1"/>
  <c r="AH198" i="4" s="1"/>
  <c r="AJ200" i="4" a="1"/>
  <c r="AJ200" i="4" s="1"/>
  <c r="AR200" i="4" a="1"/>
  <c r="AR200" i="4" s="1"/>
  <c r="AL201" i="4" a="1"/>
  <c r="AL201" i="4" s="1"/>
  <c r="AR201" i="4" a="1"/>
  <c r="AR201" i="4" s="1"/>
  <c r="AF202" i="4" a="1"/>
  <c r="AF202" i="4" s="1"/>
  <c r="AS202" i="4" a="1"/>
  <c r="AS202" i="4" s="1"/>
  <c r="AG203" i="4" a="1"/>
  <c r="AG203" i="4" s="1"/>
  <c r="AN203" i="4" a="1"/>
  <c r="AN203" i="4" s="1"/>
  <c r="AF204" i="4" a="1"/>
  <c r="AF204" i="4" s="1"/>
  <c r="AQ204" i="4" a="1"/>
  <c r="AQ204" i="4" s="1"/>
  <c r="AE205" i="4" a="1"/>
  <c r="AE205" i="4" s="1"/>
  <c r="AP205" i="4" a="1"/>
  <c r="AP205" i="4" s="1"/>
  <c r="AK206" i="4" a="1"/>
  <c r="AK206" i="4" s="1"/>
  <c r="AS206" i="4" a="1"/>
  <c r="AS206" i="4" s="1"/>
  <c r="AI207" i="4" a="1"/>
  <c r="AI207" i="4" s="1"/>
  <c r="AQ207" i="4" a="1"/>
  <c r="AQ207" i="4" s="1"/>
  <c r="AG208" i="4" a="1"/>
  <c r="AG208" i="4" s="1"/>
  <c r="AO208" i="4" a="1"/>
  <c r="AO208" i="4" s="1"/>
  <c r="AV185" i="4" a="1"/>
  <c r="AV185" i="4" s="1"/>
  <c r="AN185" i="4" a="1"/>
  <c r="AN185" i="4" s="1"/>
  <c r="AF185" i="4" a="1"/>
  <c r="AF185" i="4" s="1"/>
  <c r="AP178" i="4" a="1"/>
  <c r="AP178" i="4" s="1"/>
  <c r="AH178" i="4" a="1"/>
  <c r="AH178" i="4" s="1"/>
  <c r="AR177" i="4" a="1"/>
  <c r="AR177" i="4" s="1"/>
  <c r="AJ177" i="4" a="1"/>
  <c r="AJ177" i="4" s="1"/>
  <c r="AT176" i="4" a="1"/>
  <c r="AT176" i="4" s="1"/>
  <c r="AL176" i="4" a="1"/>
  <c r="AL176" i="4" s="1"/>
  <c r="AV175" i="4" a="1"/>
  <c r="AV175" i="4" s="1"/>
  <c r="AN175" i="4" a="1"/>
  <c r="AN175" i="4" s="1"/>
  <c r="AF175" i="4" a="1"/>
  <c r="AF175" i="4" s="1"/>
  <c r="AP174" i="4" a="1"/>
  <c r="AP174" i="4" s="1"/>
  <c r="AH174" i="4" a="1"/>
  <c r="AH174" i="4" s="1"/>
  <c r="AR173" i="4" a="1"/>
  <c r="AR173" i="4" s="1"/>
  <c r="AJ173" i="4" a="1"/>
  <c r="AJ173" i="4" s="1"/>
  <c r="AT172" i="4" a="1"/>
  <c r="AT172" i="4" s="1"/>
  <c r="AL172" i="4" a="1"/>
  <c r="AL172" i="4" s="1"/>
  <c r="AV171" i="4" a="1"/>
  <c r="AV171" i="4" s="1"/>
  <c r="AN171" i="4" a="1"/>
  <c r="AN171" i="4" s="1"/>
  <c r="AF171" i="4" a="1"/>
  <c r="AF171" i="4" s="1"/>
  <c r="AH170" i="4" a="1"/>
  <c r="AH170" i="4" s="1"/>
  <c r="AR169" i="4" a="1"/>
  <c r="AR169" i="4" s="1"/>
  <c r="AJ169" i="4" a="1"/>
  <c r="AJ169" i="4" s="1"/>
  <c r="AT168" i="4" a="1"/>
  <c r="AT168" i="4" s="1"/>
  <c r="AL168" i="4" a="1"/>
  <c r="AL168" i="4" s="1"/>
  <c r="AK167" i="4" a="1"/>
  <c r="AK167" i="4" s="1"/>
  <c r="AS167" i="4" a="1"/>
  <c r="AS167" i="4" s="1"/>
  <c r="AJ167" i="4" a="1"/>
  <c r="AJ167" i="4" s="1"/>
  <c r="AN160" i="4" a="1"/>
  <c r="AN160" i="4" s="1"/>
  <c r="AF160" i="4" a="1"/>
  <c r="AF160" i="4" s="1"/>
  <c r="AH158" i="4" a="1"/>
  <c r="AH158" i="4" s="1"/>
  <c r="AJ156" i="4" a="1"/>
  <c r="AJ156" i="4" s="1"/>
  <c r="AL155" i="4" a="1"/>
  <c r="AL155" i="4" s="1"/>
  <c r="AE153" i="4" a="1"/>
  <c r="AE153" i="4" s="1"/>
  <c r="AL152" i="4" a="1"/>
  <c r="AL152" i="4" s="1"/>
  <c r="AJ150" i="4" a="1"/>
  <c r="AJ150" i="4" s="1"/>
  <c r="AL149" i="4" a="1"/>
  <c r="AL149" i="4" s="1"/>
  <c r="AE147" i="4" a="1"/>
  <c r="AE147" i="4" s="1"/>
  <c r="AM147" i="4" a="1"/>
  <c r="AM147" i="4" s="1"/>
  <c r="AL146" i="4" a="1"/>
  <c r="AL146" i="4" s="1"/>
  <c r="AI139" i="4" a="1"/>
  <c r="AI139" i="4" s="1"/>
  <c r="AH140" i="4" a="1"/>
  <c r="AH140" i="4" s="1"/>
  <c r="AG142" i="4" a="1"/>
  <c r="AG142" i="4" s="1"/>
  <c r="AF143" i="4" a="1"/>
  <c r="AF143" i="4" s="1"/>
  <c r="AE144" i="4" a="1"/>
  <c r="AE144" i="4" s="1"/>
  <c r="AM144" i="4" a="1"/>
  <c r="AM144" i="4" s="1"/>
  <c r="AF138" i="4" a="1"/>
  <c r="AF138" i="4" s="1"/>
  <c r="AF136" i="4" a="1"/>
  <c r="AF136" i="4" s="1"/>
  <c r="AF135" i="4" a="1"/>
  <c r="AF135" i="4" s="1"/>
  <c r="AF134" i="4" a="1"/>
  <c r="AF134" i="4" s="1"/>
  <c r="AF132" i="4" a="1"/>
  <c r="AF132" i="4" s="1"/>
  <c r="AF131" i="4" a="1"/>
  <c r="AF131" i="4" s="1"/>
  <c r="AP195" i="4" a="1"/>
  <c r="AP195" i="4" s="1"/>
  <c r="AU196" i="4" a="1"/>
  <c r="AU196" i="4" s="1"/>
  <c r="AP197" i="4" a="1"/>
  <c r="AP197" i="4" s="1"/>
  <c r="AI198" i="4" a="1"/>
  <c r="AI198" i="4" s="1"/>
  <c r="AV198" i="4" a="1"/>
  <c r="AV198" i="4" s="1"/>
  <c r="AQ199" i="4" a="1"/>
  <c r="AQ199" i="4" s="1"/>
  <c r="AK200" i="4" a="1"/>
  <c r="AK200" i="4" s="1"/>
  <c r="AG202" i="4" a="1"/>
  <c r="AG202" i="4" s="1"/>
  <c r="AM202" i="4" a="1"/>
  <c r="AM202" i="4" s="1"/>
  <c r="AI203" i="4" a="1"/>
  <c r="AI203" i="4" s="1"/>
  <c r="AS203" i="4" a="1"/>
  <c r="AS203" i="4" s="1"/>
  <c r="AL204" i="4" a="1"/>
  <c r="AL204" i="4" s="1"/>
  <c r="AR204" i="4" a="1"/>
  <c r="AR204" i="4" s="1"/>
  <c r="AF205" i="4" a="1"/>
  <c r="AF205" i="4" s="1"/>
  <c r="AK205" i="4" a="1"/>
  <c r="AK205" i="4" s="1"/>
  <c r="AQ205" i="4" a="1"/>
  <c r="AQ205" i="4" s="1"/>
  <c r="AE206" i="4" a="1"/>
  <c r="AE206" i="4" s="1"/>
  <c r="AL206" i="4" a="1"/>
  <c r="AL206" i="4" s="1"/>
  <c r="AT206" i="4" a="1"/>
  <c r="AT206" i="4" s="1"/>
  <c r="AJ207" i="4" a="1"/>
  <c r="AJ207" i="4" s="1"/>
  <c r="AR207" i="4" a="1"/>
  <c r="AR207" i="4" s="1"/>
  <c r="AH208" i="4" a="1"/>
  <c r="AH208" i="4" s="1"/>
  <c r="AP208" i="4" a="1"/>
  <c r="AP208" i="4" s="1"/>
  <c r="AU185" i="4" a="1"/>
  <c r="AU185" i="4" s="1"/>
  <c r="AM185" i="4" a="1"/>
  <c r="AM185" i="4" s="1"/>
  <c r="AE185" i="4" a="1"/>
  <c r="AE185" i="4" s="1"/>
  <c r="AO178" i="4" a="1"/>
  <c r="AO178" i="4" s="1"/>
  <c r="AG178" i="4" a="1"/>
  <c r="AG178" i="4" s="1"/>
  <c r="AQ177" i="4" a="1"/>
  <c r="AQ177" i="4" s="1"/>
  <c r="AI177" i="4" a="1"/>
  <c r="AI177" i="4" s="1"/>
  <c r="AS176" i="4" a="1"/>
  <c r="AS176" i="4" s="1"/>
  <c r="AK176" i="4" a="1"/>
  <c r="AK176" i="4" s="1"/>
  <c r="AU175" i="4" a="1"/>
  <c r="AU175" i="4" s="1"/>
  <c r="AM175" i="4" a="1"/>
  <c r="AM175" i="4" s="1"/>
  <c r="AE175" i="4" a="1"/>
  <c r="AE175" i="4" s="1"/>
  <c r="AO174" i="4" a="1"/>
  <c r="AO174" i="4" s="1"/>
  <c r="AG174" i="4" a="1"/>
  <c r="AG174" i="4" s="1"/>
  <c r="AQ173" i="4" a="1"/>
  <c r="AQ173" i="4" s="1"/>
  <c r="AI173" i="4" a="1"/>
  <c r="AI173" i="4" s="1"/>
  <c r="AS172" i="4" a="1"/>
  <c r="AS172" i="4" s="1"/>
  <c r="AK172" i="4" a="1"/>
  <c r="AK172" i="4" s="1"/>
  <c r="AU171" i="4" a="1"/>
  <c r="AU171" i="4" s="1"/>
  <c r="AM171" i="4" a="1"/>
  <c r="AM171" i="4" s="1"/>
  <c r="AE171" i="4" a="1"/>
  <c r="AE171" i="4" s="1"/>
  <c r="AO170" i="4" a="1"/>
  <c r="AO170" i="4" s="1"/>
  <c r="AG170" i="4" a="1"/>
  <c r="AG170" i="4" s="1"/>
  <c r="AQ169" i="4" a="1"/>
  <c r="AQ169" i="4" s="1"/>
  <c r="AI169" i="4" a="1"/>
  <c r="AI169" i="4" s="1"/>
  <c r="AS168" i="4" a="1"/>
  <c r="AS168" i="4" s="1"/>
  <c r="AK168" i="4" a="1"/>
  <c r="AK168" i="4" s="1"/>
  <c r="AL167" i="4" a="1"/>
  <c r="AL167" i="4" s="1"/>
  <c r="AT167" i="4" a="1"/>
  <c r="AT167" i="4" s="1"/>
  <c r="AE167" i="4" a="1"/>
  <c r="AE167" i="4" s="1"/>
  <c r="AE160" i="4" a="1"/>
  <c r="AE160" i="4" s="1"/>
  <c r="AG158" i="4" a="1"/>
  <c r="AG158" i="4" s="1"/>
  <c r="AI156" i="4" a="1"/>
  <c r="AI156" i="4" s="1"/>
  <c r="AK155" i="4" a="1"/>
  <c r="AK155" i="4" s="1"/>
  <c r="AF153" i="4" a="1"/>
  <c r="AF153" i="4" s="1"/>
  <c r="AN153" i="4" a="1"/>
  <c r="AN153" i="4" s="1"/>
  <c r="AI150" i="4" a="1"/>
  <c r="AI150" i="4" s="1"/>
  <c r="AK149" i="4" a="1"/>
  <c r="AK149" i="4" s="1"/>
  <c r="AF147" i="4" a="1"/>
  <c r="AF147" i="4" s="1"/>
  <c r="AM146" i="4" a="1"/>
  <c r="AM146" i="4" s="1"/>
  <c r="AJ139" i="4" a="1"/>
  <c r="AJ139" i="4" s="1"/>
  <c r="AI140" i="4" a="1"/>
  <c r="AI140" i="4" s="1"/>
  <c r="AH142" i="4" a="1"/>
  <c r="AH142" i="4" s="1"/>
  <c r="AG143" i="4" a="1"/>
  <c r="AG143" i="4" s="1"/>
  <c r="AF144" i="4" a="1"/>
  <c r="AF144" i="4" s="1"/>
  <c r="AM138" i="4" a="1"/>
  <c r="AM138" i="4" s="1"/>
  <c r="AE138" i="4" a="1"/>
  <c r="AE138" i="4" s="1"/>
  <c r="AE136" i="4" a="1"/>
  <c r="AE136" i="4" s="1"/>
  <c r="AE135" i="4" a="1"/>
  <c r="AE135" i="4" s="1"/>
  <c r="AQ197" i="4" a="1"/>
  <c r="AQ197" i="4" s="1"/>
  <c r="AE199" i="4" a="1"/>
  <c r="AE199" i="4" s="1"/>
  <c r="AR199" i="4" a="1"/>
  <c r="AR199" i="4" s="1"/>
  <c r="AL200" i="4" a="1"/>
  <c r="AL200" i="4" s="1"/>
  <c r="AS200" i="4" a="1"/>
  <c r="AS200" i="4" s="1"/>
  <c r="AG201" i="4" a="1"/>
  <c r="AG201" i="4" s="1"/>
  <c r="AS201" i="4" a="1"/>
  <c r="AS201" i="4" s="1"/>
  <c r="AT202" i="4" a="1"/>
  <c r="AT202" i="4" s="1"/>
  <c r="AO203" i="4" a="1"/>
  <c r="AO203" i="4" s="1"/>
  <c r="AT203" i="4" a="1"/>
  <c r="AT203" i="4" s="1"/>
  <c r="AG204" i="4" a="1"/>
  <c r="AG204" i="4" s="1"/>
  <c r="AS204" i="4" a="1"/>
  <c r="AS204" i="4" s="1"/>
  <c r="AR205" i="4" a="1"/>
  <c r="AR205" i="4" s="1"/>
  <c r="AF206" i="4" a="1"/>
  <c r="AF206" i="4" s="1"/>
  <c r="AM206" i="4" a="1"/>
  <c r="AM206" i="4" s="1"/>
  <c r="AU206" i="4" a="1"/>
  <c r="AU206" i="4" s="1"/>
  <c r="AK207" i="4" a="1"/>
  <c r="AK207" i="4" s="1"/>
  <c r="AS207" i="4" a="1"/>
  <c r="AS207" i="4" s="1"/>
  <c r="AI208" i="4" a="1"/>
  <c r="AI208" i="4" s="1"/>
  <c r="AQ208" i="4" a="1"/>
  <c r="AQ208" i="4" s="1"/>
  <c r="AT185" i="4" a="1"/>
  <c r="AT185" i="4" s="1"/>
  <c r="AL185" i="4" a="1"/>
  <c r="AL185" i="4" s="1"/>
  <c r="AV178" i="4" a="1"/>
  <c r="AV178" i="4" s="1"/>
  <c r="AN178" i="4" a="1"/>
  <c r="AN178" i="4" s="1"/>
  <c r="AF178" i="4" a="1"/>
  <c r="AF178" i="4" s="1"/>
  <c r="AP177" i="4" a="1"/>
  <c r="AP177" i="4" s="1"/>
  <c r="AH177" i="4" a="1"/>
  <c r="AH177" i="4" s="1"/>
  <c r="AR176" i="4" a="1"/>
  <c r="AR176" i="4" s="1"/>
  <c r="AJ176" i="4" a="1"/>
  <c r="AJ176" i="4" s="1"/>
  <c r="AT175" i="4" a="1"/>
  <c r="AT175" i="4" s="1"/>
  <c r="AL175" i="4" a="1"/>
  <c r="AL175" i="4" s="1"/>
  <c r="AV174" i="4" a="1"/>
  <c r="AV174" i="4" s="1"/>
  <c r="AN174" i="4" a="1"/>
  <c r="AN174" i="4" s="1"/>
  <c r="AF174" i="4" a="1"/>
  <c r="AF174" i="4" s="1"/>
  <c r="AP173" i="4" a="1"/>
  <c r="AP173" i="4" s="1"/>
  <c r="AH173" i="4" a="1"/>
  <c r="AH173" i="4" s="1"/>
  <c r="AR172" i="4" a="1"/>
  <c r="AR172" i="4" s="1"/>
  <c r="AJ172" i="4" a="1"/>
  <c r="AJ172" i="4" s="1"/>
  <c r="AT171" i="4" a="1"/>
  <c r="AT171" i="4" s="1"/>
  <c r="AL171" i="4" a="1"/>
  <c r="AL171" i="4" s="1"/>
  <c r="AV170" i="4" a="1"/>
  <c r="AV170" i="4" s="1"/>
  <c r="AN170" i="4" a="1"/>
  <c r="AN170" i="4" s="1"/>
  <c r="AF170" i="4" a="1"/>
  <c r="AF170" i="4" s="1"/>
  <c r="AP169" i="4" a="1"/>
  <c r="AP169" i="4" s="1"/>
  <c r="AH169" i="4" a="1"/>
  <c r="AH169" i="4" s="1"/>
  <c r="AR168" i="4" a="1"/>
  <c r="AR168" i="4" s="1"/>
  <c r="AJ168" i="4" a="1"/>
  <c r="AJ168" i="4" s="1"/>
  <c r="AM167" i="4" a="1"/>
  <c r="AM167" i="4" s="1"/>
  <c r="AU167" i="4" a="1"/>
  <c r="AU167" i="4" s="1"/>
  <c r="AU160" i="4" a="1"/>
  <c r="AU160" i="4" s="1"/>
  <c r="AL160" i="4" a="1"/>
  <c r="AL160" i="4" s="1"/>
  <c r="AN158" i="4" a="1"/>
  <c r="AN158" i="4" s="1"/>
  <c r="AF158" i="4" a="1"/>
  <c r="AF158" i="4" s="1"/>
  <c r="AH156" i="4" a="1"/>
  <c r="AH156" i="4" s="1"/>
  <c r="AJ155" i="4" a="1"/>
  <c r="AJ155" i="4" s="1"/>
  <c r="AG153" i="4" a="1"/>
  <c r="AG153" i="4" s="1"/>
  <c r="AF152" i="4" a="1"/>
  <c r="AF152" i="4" s="1"/>
  <c r="AN152" i="4" a="1"/>
  <c r="AN152" i="4" s="1"/>
  <c r="AH150" i="4" a="1"/>
  <c r="AH150" i="4" s="1"/>
  <c r="AJ149" i="4" a="1"/>
  <c r="AJ149" i="4" s="1"/>
  <c r="AG147" i="4" a="1"/>
  <c r="AG147" i="4" s="1"/>
  <c r="AF146" i="4" a="1"/>
  <c r="AF146" i="4" s="1"/>
  <c r="AK139" i="4" a="1"/>
  <c r="AK139" i="4" s="1"/>
  <c r="AJ140" i="4" a="1"/>
  <c r="AJ140" i="4" s="1"/>
  <c r="AI142" i="4" a="1"/>
  <c r="AI142" i="4" s="1"/>
  <c r="AH143" i="4" a="1"/>
  <c r="AH143" i="4" s="1"/>
  <c r="AG196" i="4" a="1"/>
  <c r="AG196" i="4" s="1"/>
  <c r="AR197" i="4" a="1"/>
  <c r="AR197" i="4" s="1"/>
  <c r="AG199" i="4" a="1"/>
  <c r="AG199" i="4" s="1"/>
  <c r="AS199" i="4" a="1"/>
  <c r="AS199" i="4" s="1"/>
  <c r="AM200" i="4" a="1"/>
  <c r="AM200" i="4" s="1"/>
  <c r="AT200" i="4" a="1"/>
  <c r="AT200" i="4" s="1"/>
  <c r="AH201" i="4" a="1"/>
  <c r="AH201" i="4" s="1"/>
  <c r="AN201" i="4" a="1"/>
  <c r="AN201" i="4" s="1"/>
  <c r="AH202" i="4" a="1"/>
  <c r="AH202" i="4" s="1"/>
  <c r="AO202" i="4" a="1"/>
  <c r="AO202" i="4" s="1"/>
  <c r="AU202" i="4" a="1"/>
  <c r="AU202" i="4" s="1"/>
  <c r="AJ203" i="4" a="1"/>
  <c r="AJ203" i="4" s="1"/>
  <c r="AP203" i="4" a="1"/>
  <c r="AP203" i="4" s="1"/>
  <c r="AM204" i="4" a="1"/>
  <c r="AM204" i="4" s="1"/>
  <c r="AT204" i="4" a="1"/>
  <c r="AT204" i="4" s="1"/>
  <c r="AG205" i="4" a="1"/>
  <c r="AG205" i="4" s="1"/>
  <c r="AL205" i="4" a="1"/>
  <c r="AL205" i="4" s="1"/>
  <c r="AG206" i="4" a="1"/>
  <c r="AG206" i="4" s="1"/>
  <c r="AN206" i="4" a="1"/>
  <c r="AN206" i="4" s="1"/>
  <c r="AV206" i="4" a="1"/>
  <c r="AV206" i="4" s="1"/>
  <c r="AL207" i="4" a="1"/>
  <c r="AL207" i="4" s="1"/>
  <c r="AT207" i="4" a="1"/>
  <c r="AT207" i="4" s="1"/>
  <c r="AJ208" i="4" a="1"/>
  <c r="AJ208" i="4" s="1"/>
  <c r="AR208" i="4" a="1"/>
  <c r="AR208" i="4" s="1"/>
  <c r="AS185" i="4" a="1"/>
  <c r="AS185" i="4" s="1"/>
  <c r="AK185" i="4" a="1"/>
  <c r="AK185" i="4" s="1"/>
  <c r="AU178" i="4" a="1"/>
  <c r="AU178" i="4" s="1"/>
  <c r="AM178" i="4" a="1"/>
  <c r="AM178" i="4" s="1"/>
  <c r="AE178" i="4" a="1"/>
  <c r="AE178" i="4" s="1"/>
  <c r="AO177" i="4" a="1"/>
  <c r="AO177" i="4" s="1"/>
  <c r="AG177" i="4" a="1"/>
  <c r="AG177" i="4" s="1"/>
  <c r="AQ176" i="4" a="1"/>
  <c r="AQ176" i="4" s="1"/>
  <c r="AI176" i="4" a="1"/>
  <c r="AI176" i="4" s="1"/>
  <c r="AS175" i="4" a="1"/>
  <c r="AS175" i="4" s="1"/>
  <c r="AK175" i="4" a="1"/>
  <c r="AK175" i="4" s="1"/>
  <c r="AU174" i="4" a="1"/>
  <c r="AU174" i="4" s="1"/>
  <c r="AM174" i="4" a="1"/>
  <c r="AM174" i="4" s="1"/>
  <c r="AE174" i="4" a="1"/>
  <c r="AE174" i="4" s="1"/>
  <c r="AO173" i="4" a="1"/>
  <c r="AO173" i="4" s="1"/>
  <c r="AG173" i="4" a="1"/>
  <c r="AG173" i="4" s="1"/>
  <c r="AQ172" i="4" a="1"/>
  <c r="AQ172" i="4" s="1"/>
  <c r="AI172" i="4" a="1"/>
  <c r="AI172" i="4" s="1"/>
  <c r="AS171" i="4" a="1"/>
  <c r="AS171" i="4" s="1"/>
  <c r="AK171" i="4" a="1"/>
  <c r="AK171" i="4" s="1"/>
  <c r="AU170" i="4" a="1"/>
  <c r="AU170" i="4" s="1"/>
  <c r="AM170" i="4" a="1"/>
  <c r="AM170" i="4" s="1"/>
  <c r="AE170" i="4" a="1"/>
  <c r="AE170" i="4" s="1"/>
  <c r="AO169" i="4" a="1"/>
  <c r="AO169" i="4" s="1"/>
  <c r="AG169" i="4" a="1"/>
  <c r="AG169" i="4" s="1"/>
  <c r="AQ168" i="4" a="1"/>
  <c r="AQ168" i="4" s="1"/>
  <c r="AI168" i="4" a="1"/>
  <c r="AI168" i="4" s="1"/>
  <c r="AN167" i="4" a="1"/>
  <c r="AN167" i="4" s="1"/>
  <c r="AV167" i="4" a="1"/>
  <c r="AV167" i="4" s="1"/>
  <c r="AU156" i="4" a="1"/>
  <c r="AU156" i="4" s="1"/>
  <c r="AK160" i="4" a="1"/>
  <c r="AK160" i="4" s="1"/>
  <c r="AE158" i="4" a="1"/>
  <c r="AE158" i="4" s="1"/>
  <c r="AG156" i="4" a="1"/>
  <c r="AG156" i="4" s="1"/>
  <c r="AI155" i="4" a="1"/>
  <c r="AI155" i="4" s="1"/>
  <c r="AH153" i="4" a="1"/>
  <c r="AH153" i="4" s="1"/>
  <c r="AG152" i="4" a="1"/>
  <c r="AG152" i="4" s="1"/>
  <c r="AE152" i="4" a="1"/>
  <c r="AE152" i="4" s="1"/>
  <c r="AG150" i="4" a="1"/>
  <c r="AG150" i="4" s="1"/>
  <c r="AI149" i="4" a="1"/>
  <c r="AI149" i="4" s="1"/>
  <c r="AH147" i="4" a="1"/>
  <c r="AH147" i="4" s="1"/>
  <c r="AG146" i="4" a="1"/>
  <c r="AG146" i="4" s="1"/>
  <c r="AE146" i="4" a="1"/>
  <c r="AE146" i="4" s="1"/>
  <c r="AL139" i="4" a="1"/>
  <c r="AL139" i="4" s="1"/>
  <c r="AK140" i="4" a="1"/>
  <c r="AK140" i="4" s="1"/>
  <c r="AJ142" i="4" a="1"/>
  <c r="AJ142" i="4" s="1"/>
  <c r="AI143" i="4" a="1"/>
  <c r="AI143" i="4" s="1"/>
  <c r="AH144" i="4" a="1"/>
  <c r="AH144" i="4" s="1"/>
  <c r="AK138" i="4" a="1"/>
  <c r="AK138" i="4" s="1"/>
  <c r="AK136" i="4" a="1"/>
  <c r="AK136" i="4" s="1"/>
  <c r="AK196" i="4" a="1"/>
  <c r="AK196" i="4" s="1"/>
  <c r="AH197" i="4" a="1"/>
  <c r="AH197" i="4" s="1"/>
  <c r="AN198" i="4" a="1"/>
  <c r="AN198" i="4" s="1"/>
  <c r="AI199" i="4" a="1"/>
  <c r="AI199" i="4" s="1"/>
  <c r="AN200" i="4" a="1"/>
  <c r="AN200" i="4" s="1"/>
  <c r="AI201" i="4" a="1"/>
  <c r="AI201" i="4" s="1"/>
  <c r="AU201" i="4" a="1"/>
  <c r="AU201" i="4" s="1"/>
  <c r="AJ202" i="4" a="1"/>
  <c r="AJ202" i="4" s="1"/>
  <c r="AV202" i="4" a="1"/>
  <c r="AV202" i="4" s="1"/>
  <c r="AK203" i="4" a="1"/>
  <c r="AK203" i="4" s="1"/>
  <c r="AU203" i="4" a="1"/>
  <c r="AU203" i="4" s="1"/>
  <c r="AH204" i="4" a="1"/>
  <c r="AH204" i="4" s="1"/>
  <c r="AN204" i="4" a="1"/>
  <c r="AN204" i="4" s="1"/>
  <c r="AM205" i="4" a="1"/>
  <c r="AM205" i="4" s="1"/>
  <c r="AS205" i="4" a="1"/>
  <c r="AS205" i="4" s="1"/>
  <c r="AH206" i="4" a="1"/>
  <c r="AH206" i="4" s="1"/>
  <c r="AO206" i="4" a="1"/>
  <c r="AO206" i="4" s="1"/>
  <c r="AE207" i="4" a="1"/>
  <c r="AE207" i="4" s="1"/>
  <c r="AM207" i="4" a="1"/>
  <c r="AM207" i="4" s="1"/>
  <c r="AU207" i="4" a="1"/>
  <c r="AU207" i="4" s="1"/>
  <c r="AK208" i="4" a="1"/>
  <c r="AK208" i="4" s="1"/>
  <c r="AS208" i="4" a="1"/>
  <c r="AS208" i="4" s="1"/>
  <c r="AR185" i="4" a="1"/>
  <c r="AR185" i="4" s="1"/>
  <c r="AJ185" i="4" a="1"/>
  <c r="AJ185" i="4" s="1"/>
  <c r="AT178" i="4" a="1"/>
  <c r="AT178" i="4" s="1"/>
  <c r="AL178" i="4" a="1"/>
  <c r="AL178" i="4" s="1"/>
  <c r="AV177" i="4" a="1"/>
  <c r="AV177" i="4" s="1"/>
  <c r="AN177" i="4" a="1"/>
  <c r="AN177" i="4" s="1"/>
  <c r="AF177" i="4" a="1"/>
  <c r="AF177" i="4" s="1"/>
  <c r="AP176" i="4" a="1"/>
  <c r="AP176" i="4" s="1"/>
  <c r="AH176" i="4" a="1"/>
  <c r="AH176" i="4" s="1"/>
  <c r="AR175" i="4" a="1"/>
  <c r="AR175" i="4" s="1"/>
  <c r="AJ175" i="4" a="1"/>
  <c r="AJ175" i="4" s="1"/>
  <c r="AT174" i="4" a="1"/>
  <c r="AT174" i="4" s="1"/>
  <c r="AL174" i="4" a="1"/>
  <c r="AL174" i="4" s="1"/>
  <c r="AV173" i="4" a="1"/>
  <c r="AV173" i="4" s="1"/>
  <c r="AN173" i="4" a="1"/>
  <c r="AN173" i="4" s="1"/>
  <c r="AF173" i="4" a="1"/>
  <c r="AF173" i="4" s="1"/>
  <c r="AP172" i="4" a="1"/>
  <c r="AP172" i="4" s="1"/>
  <c r="AH172" i="4" a="1"/>
  <c r="AH172" i="4" s="1"/>
  <c r="AR171" i="4" a="1"/>
  <c r="AR171" i="4" s="1"/>
  <c r="AJ171" i="4" a="1"/>
  <c r="AJ171" i="4" s="1"/>
  <c r="AT170" i="4" a="1"/>
  <c r="AT170" i="4" s="1"/>
  <c r="AL170" i="4" a="1"/>
  <c r="AL170" i="4" s="1"/>
  <c r="AV169" i="4" a="1"/>
  <c r="AV169" i="4" s="1"/>
  <c r="AN169" i="4" a="1"/>
  <c r="AN169" i="4" s="1"/>
  <c r="AF169" i="4" a="1"/>
  <c r="AF169" i="4" s="1"/>
  <c r="AP168" i="4" a="1"/>
  <c r="AP168" i="4" s="1"/>
  <c r="AH168" i="4" a="1"/>
  <c r="AH168" i="4" s="1"/>
  <c r="AO167" i="4" a="1"/>
  <c r="AO167" i="4" s="1"/>
  <c r="AF167" i="4" a="1"/>
  <c r="AF167" i="4" s="1"/>
  <c r="AJ160" i="4" a="1"/>
  <c r="AJ160" i="4" s="1"/>
  <c r="AL158" i="4" a="1"/>
  <c r="AL158" i="4" s="1"/>
  <c r="AN156" i="4" a="1"/>
  <c r="AN156" i="4" s="1"/>
  <c r="AF156" i="4" a="1"/>
  <c r="AF156" i="4" s="1"/>
  <c r="AH155" i="4" a="1"/>
  <c r="AH155" i="4" s="1"/>
  <c r="AI153" i="4" a="1"/>
  <c r="AI153" i="4" s="1"/>
  <c r="AH152" i="4" a="1"/>
  <c r="AH152" i="4" s="1"/>
  <c r="AF150" i="4" a="1"/>
  <c r="AF150" i="4" s="1"/>
  <c r="AH149" i="4" a="1"/>
  <c r="AH149" i="4" s="1"/>
  <c r="AI147" i="4" a="1"/>
  <c r="AI147" i="4" s="1"/>
  <c r="AH146" i="4" a="1"/>
  <c r="AH146" i="4" s="1"/>
  <c r="AE139" i="4" a="1"/>
  <c r="AE139" i="4" s="1"/>
  <c r="AM139" i="4" a="1"/>
  <c r="AM139" i="4" s="1"/>
  <c r="AL140" i="4" a="1"/>
  <c r="AL140" i="4" s="1"/>
  <c r="AK142" i="4" a="1"/>
  <c r="AK142" i="4" s="1"/>
  <c r="AJ143" i="4" a="1"/>
  <c r="AJ143" i="4" s="1"/>
  <c r="AI144" i="4" a="1"/>
  <c r="AI144" i="4" s="1"/>
  <c r="AJ138" i="4" a="1"/>
  <c r="AJ138" i="4" s="1"/>
  <c r="AJ136" i="4" a="1"/>
  <c r="AJ136" i="4" s="1"/>
  <c r="AJ135" i="4" a="1"/>
  <c r="AJ135" i="4" s="1"/>
  <c r="AJ134" i="4" a="1"/>
  <c r="AJ134" i="4" s="1"/>
  <c r="AJ132" i="4" a="1"/>
  <c r="AJ132" i="4" s="1"/>
  <c r="AJ131" i="4" a="1"/>
  <c r="AJ131" i="4" s="1"/>
  <c r="AJ130" i="4" a="1"/>
  <c r="AJ130" i="4" s="1"/>
  <c r="AL196" i="4" a="1"/>
  <c r="AL196" i="4" s="1"/>
  <c r="AI197" i="4" a="1"/>
  <c r="AI197" i="4" s="1"/>
  <c r="AP198" i="4" a="1"/>
  <c r="AP198" i="4" s="1"/>
  <c r="AJ199" i="4" a="1"/>
  <c r="AJ199" i="4" s="1"/>
  <c r="AU200" i="4" a="1"/>
  <c r="AU200" i="4" s="1"/>
  <c r="AP201" i="4" a="1"/>
  <c r="AP201" i="4" s="1"/>
  <c r="AE203" i="4" a="1"/>
  <c r="AE203" i="4" s="1"/>
  <c r="AL203" i="4" a="1"/>
  <c r="AL203" i="4" s="1"/>
  <c r="AQ203" i="4" a="1"/>
  <c r="AQ203" i="4" s="1"/>
  <c r="AI204" i="4" a="1"/>
  <c r="AI204" i="4" s="1"/>
  <c r="AO204" i="4" a="1"/>
  <c r="AO204" i="4" s="1"/>
  <c r="AU204" i="4" a="1"/>
  <c r="AU204" i="4" s="1"/>
  <c r="AH205" i="4" a="1"/>
  <c r="AH205" i="4" s="1"/>
  <c r="AN205" i="4" a="1"/>
  <c r="AN205" i="4" s="1"/>
  <c r="AT205" i="4" a="1"/>
  <c r="AT205" i="4" s="1"/>
  <c r="AP206" i="4" a="1"/>
  <c r="AP206" i="4" s="1"/>
  <c r="AF207" i="4" a="1"/>
  <c r="AF207" i="4" s="1"/>
  <c r="AN207" i="4" a="1"/>
  <c r="AN207" i="4" s="1"/>
  <c r="AV207" i="4" a="1"/>
  <c r="AV207" i="4" s="1"/>
  <c r="AL208" i="4" a="1"/>
  <c r="AL208" i="4" s="1"/>
  <c r="AT208" i="4" a="1"/>
  <c r="AT208" i="4" s="1"/>
  <c r="AQ185" i="4" a="1"/>
  <c r="AQ185" i="4" s="1"/>
  <c r="AI185" i="4" a="1"/>
  <c r="AI185" i="4" s="1"/>
  <c r="AS178" i="4" a="1"/>
  <c r="AS178" i="4" s="1"/>
  <c r="AK178" i="4" a="1"/>
  <c r="AK178" i="4" s="1"/>
  <c r="AU177" i="4" a="1"/>
  <c r="AU177" i="4" s="1"/>
  <c r="AM177" i="4" a="1"/>
  <c r="AM177" i="4" s="1"/>
  <c r="AE177" i="4" a="1"/>
  <c r="AE177" i="4" s="1"/>
  <c r="AO176" i="4" a="1"/>
  <c r="AO176" i="4" s="1"/>
  <c r="AG176" i="4" a="1"/>
  <c r="AG176" i="4" s="1"/>
  <c r="AQ175" i="4" a="1"/>
  <c r="AQ175" i="4" s="1"/>
  <c r="AI175" i="4" a="1"/>
  <c r="AI175" i="4" s="1"/>
  <c r="AS174" i="4" a="1"/>
  <c r="AS174" i="4" s="1"/>
  <c r="AK174" i="4" a="1"/>
  <c r="AK174" i="4" s="1"/>
  <c r="AU173" i="4" a="1"/>
  <c r="AU173" i="4" s="1"/>
  <c r="AM173" i="4" a="1"/>
  <c r="AM173" i="4" s="1"/>
  <c r="AE173" i="4" a="1"/>
  <c r="AE173" i="4" s="1"/>
  <c r="AO172" i="4" a="1"/>
  <c r="AO172" i="4" s="1"/>
  <c r="AG172" i="4" a="1"/>
  <c r="AG172" i="4" s="1"/>
  <c r="AQ171" i="4" a="1"/>
  <c r="AQ171" i="4" s="1"/>
  <c r="AI171" i="4" a="1"/>
  <c r="AI171" i="4" s="1"/>
  <c r="AS170" i="4" a="1"/>
  <c r="AS170" i="4" s="1"/>
  <c r="AK170" i="4" a="1"/>
  <c r="AK170" i="4" s="1"/>
  <c r="AU169" i="4" a="1"/>
  <c r="AU169" i="4" s="1"/>
  <c r="AM169" i="4" a="1"/>
  <c r="AM169" i="4" s="1"/>
  <c r="AE169" i="4" a="1"/>
  <c r="AE169" i="4" s="1"/>
  <c r="AO168" i="4" a="1"/>
  <c r="AO168" i="4" s="1"/>
  <c r="AG168" i="4" a="1"/>
  <c r="AG168" i="4" s="1"/>
  <c r="AP167" i="4" a="1"/>
  <c r="AP167" i="4" s="1"/>
  <c r="AG167" i="4" a="1"/>
  <c r="AG167" i="4" s="1"/>
  <c r="AU153" i="4" a="1"/>
  <c r="AU153" i="4" s="1"/>
  <c r="AI160" i="4" a="1"/>
  <c r="AI160" i="4" s="1"/>
  <c r="AK158" i="4" a="1"/>
  <c r="AK158" i="4" s="1"/>
  <c r="AE156" i="4" a="1"/>
  <c r="AE156" i="4" s="1"/>
  <c r="AG155" i="4" a="1"/>
  <c r="AG155" i="4" s="1"/>
  <c r="AJ153" i="4" a="1"/>
  <c r="AJ153" i="4" s="1"/>
  <c r="AI152" i="4" a="1"/>
  <c r="AI152" i="4" s="1"/>
  <c r="AM150" i="4" a="1"/>
  <c r="AM150" i="4" s="1"/>
  <c r="AE150" i="4" a="1"/>
  <c r="AE150" i="4" s="1"/>
  <c r="AG149" i="4" a="1"/>
  <c r="AG149" i="4" s="1"/>
  <c r="AJ147" i="4" a="1"/>
  <c r="AJ147" i="4" s="1"/>
  <c r="AI146" i="4" a="1"/>
  <c r="AI146" i="4" s="1"/>
  <c r="AF139" i="4" a="1"/>
  <c r="AF139" i="4" s="1"/>
  <c r="AE140" i="4" a="1"/>
  <c r="AE140" i="4" s="1"/>
  <c r="AM140" i="4" a="1"/>
  <c r="AM140" i="4" s="1"/>
  <c r="AL142" i="4" a="1"/>
  <c r="AL142" i="4" s="1"/>
  <c r="AK143" i="4" a="1"/>
  <c r="AK143" i="4" s="1"/>
  <c r="AJ144" i="4" a="1"/>
  <c r="AJ144" i="4" s="1"/>
  <c r="AI138" i="4" a="1"/>
  <c r="AI138" i="4" s="1"/>
  <c r="AI136" i="4" a="1"/>
  <c r="AI136" i="4" s="1"/>
  <c r="AI135" i="4" a="1"/>
  <c r="AI135" i="4" s="1"/>
  <c r="AI134" i="4" a="1"/>
  <c r="AI134" i="4" s="1"/>
  <c r="AI132" i="4" a="1"/>
  <c r="AI132" i="4" s="1"/>
  <c r="AI131" i="4" a="1"/>
  <c r="AI131" i="4" s="1"/>
  <c r="AK197" i="4" a="1"/>
  <c r="AK197" i="4" s="1"/>
  <c r="AQ198" i="4" a="1"/>
  <c r="AQ198" i="4" s="1"/>
  <c r="AF200" i="4" a="1"/>
  <c r="AF200" i="4" s="1"/>
  <c r="AJ201" i="4" a="1"/>
  <c r="AJ201" i="4" s="1"/>
  <c r="AK202" i="4" a="1"/>
  <c r="AK202" i="4" s="1"/>
  <c r="AQ202" i="4" a="1"/>
  <c r="AQ202" i="4" s="1"/>
  <c r="AF203" i="4" a="1"/>
  <c r="AF203" i="4" s="1"/>
  <c r="AV203" i="4" a="1"/>
  <c r="AV203" i="4" s="1"/>
  <c r="AJ204" i="4" a="1"/>
  <c r="AJ204" i="4" s="1"/>
  <c r="AP204" i="4" a="1"/>
  <c r="AP204" i="4" s="1"/>
  <c r="AI205" i="4" a="1"/>
  <c r="AI205" i="4" s="1"/>
  <c r="AU205" i="4" a="1"/>
  <c r="AU205" i="4" s="1"/>
  <c r="AI206" i="4" a="1"/>
  <c r="AI206" i="4" s="1"/>
  <c r="AQ206" i="4" a="1"/>
  <c r="AQ206" i="4" s="1"/>
  <c r="AG207" i="4" a="1"/>
  <c r="AG207" i="4" s="1"/>
  <c r="AO207" i="4" a="1"/>
  <c r="AO207" i="4" s="1"/>
  <c r="AE208" i="4" a="1"/>
  <c r="AE208" i="4" s="1"/>
  <c r="AM208" i="4" a="1"/>
  <c r="AM208" i="4" s="1"/>
  <c r="AU208" i="4" a="1"/>
  <c r="AU208" i="4" s="1"/>
  <c r="AP185" i="4" a="1"/>
  <c r="AP185" i="4" s="1"/>
  <c r="AH185" i="4" a="1"/>
  <c r="AH185" i="4" s="1"/>
  <c r="AR178" i="4" a="1"/>
  <c r="AR178" i="4" s="1"/>
  <c r="AJ178" i="4" a="1"/>
  <c r="AJ178" i="4" s="1"/>
  <c r="AT177" i="4" a="1"/>
  <c r="AT177" i="4" s="1"/>
  <c r="AL177" i="4" a="1"/>
  <c r="AL177" i="4" s="1"/>
  <c r="AV176" i="4" a="1"/>
  <c r="AV176" i="4" s="1"/>
  <c r="AN176" i="4" a="1"/>
  <c r="AN176" i="4" s="1"/>
  <c r="AF176" i="4" a="1"/>
  <c r="AF176" i="4" s="1"/>
  <c r="AP175" i="4" a="1"/>
  <c r="AP175" i="4" s="1"/>
  <c r="AH175" i="4" a="1"/>
  <c r="AH175" i="4" s="1"/>
  <c r="AR174" i="4" a="1"/>
  <c r="AR174" i="4" s="1"/>
  <c r="AJ174" i="4" a="1"/>
  <c r="AJ174" i="4" s="1"/>
  <c r="AT173" i="4" a="1"/>
  <c r="AT173" i="4" s="1"/>
  <c r="AL173" i="4" a="1"/>
  <c r="AL173" i="4" s="1"/>
  <c r="AV172" i="4" a="1"/>
  <c r="AV172" i="4" s="1"/>
  <c r="AN172" i="4" a="1"/>
  <c r="AN172" i="4" s="1"/>
  <c r="AF172" i="4" a="1"/>
  <c r="AF172" i="4" s="1"/>
  <c r="AP171" i="4" a="1"/>
  <c r="AP171" i="4" s="1"/>
  <c r="AH171" i="4" a="1"/>
  <c r="AH171" i="4" s="1"/>
  <c r="AR170" i="4" a="1"/>
  <c r="AR170" i="4" s="1"/>
  <c r="AJ170" i="4" a="1"/>
  <c r="AJ170" i="4" s="1"/>
  <c r="AT169" i="4" a="1"/>
  <c r="AT169" i="4" s="1"/>
  <c r="AL169" i="4" a="1"/>
  <c r="AL169" i="4" s="1"/>
  <c r="AV168" i="4" a="1"/>
  <c r="AV168" i="4" s="1"/>
  <c r="AN168" i="4" a="1"/>
  <c r="AN168" i="4" s="1"/>
  <c r="AF168" i="4" a="1"/>
  <c r="AF168" i="4" s="1"/>
  <c r="AQ167" i="4" a="1"/>
  <c r="AQ167" i="4" s="1"/>
  <c r="AH167" i="4" a="1"/>
  <c r="AH167" i="4" s="1"/>
  <c r="AU150" i="4" a="1"/>
  <c r="AU150" i="4" s="1"/>
  <c r="AH160" i="4" a="1"/>
  <c r="AH160" i="4" s="1"/>
  <c r="AJ158" i="4" a="1"/>
  <c r="AJ158" i="4" s="1"/>
  <c r="AL156" i="4" a="1"/>
  <c r="AL156" i="4" s="1"/>
  <c r="AN155" i="4" a="1"/>
  <c r="AN155" i="4" s="1"/>
  <c r="AF155" i="4" a="1"/>
  <c r="AF155" i="4" s="1"/>
  <c r="AK153" i="4" a="1"/>
  <c r="AK153" i="4" s="1"/>
  <c r="AJ152" i="4" a="1"/>
  <c r="AJ152" i="4" s="1"/>
  <c r="AL150" i="4" a="1"/>
  <c r="AL150" i="4" s="1"/>
  <c r="AF149" i="4" a="1"/>
  <c r="AF149" i="4" s="1"/>
  <c r="AK147" i="4" a="1"/>
  <c r="AK147" i="4" s="1"/>
  <c r="AJ146" i="4" a="1"/>
  <c r="AJ146" i="4" s="1"/>
  <c r="AG139" i="4" a="1"/>
  <c r="AG139" i="4" s="1"/>
  <c r="AF140" i="4" a="1"/>
  <c r="AF140" i="4" s="1"/>
  <c r="AE142" i="4" a="1"/>
  <c r="AE142" i="4" s="1"/>
  <c r="AM142" i="4" a="1"/>
  <c r="AM142" i="4" s="1"/>
  <c r="AL143" i="4" a="1"/>
  <c r="AL143" i="4" s="1"/>
  <c r="AK144" i="4" a="1"/>
  <c r="AK144" i="4" s="1"/>
  <c r="AH138" i="4" a="1"/>
  <c r="AH138" i="4" s="1"/>
  <c r="AH136" i="4" a="1"/>
  <c r="AH136" i="4" s="1"/>
  <c r="AH135" i="4" a="1"/>
  <c r="AH135" i="4" s="1"/>
  <c r="AH134" i="4" a="1"/>
  <c r="AH134" i="4" s="1"/>
  <c r="AH132" i="4" a="1"/>
  <c r="AH132" i="4" s="1"/>
  <c r="AH131" i="4" a="1"/>
  <c r="AH131" i="4" s="1"/>
  <c r="AH130" i="4" a="1"/>
  <c r="AH130" i="4" s="1"/>
  <c r="AH128" i="4" a="1"/>
  <c r="AH128" i="4" s="1"/>
  <c r="AH127" i="4" a="1"/>
  <c r="AH127" i="4" s="1"/>
  <c r="AL126" i="4" a="1"/>
  <c r="AL126" i="4" s="1"/>
  <c r="AL124" i="4" a="1"/>
  <c r="AL124" i="4" s="1"/>
  <c r="AL123" i="4" a="1"/>
  <c r="AL123" i="4" s="1"/>
  <c r="AL122" i="4" a="1"/>
  <c r="AL122" i="4" s="1"/>
  <c r="AL121" i="4" a="1"/>
  <c r="AL121" i="4" s="1"/>
  <c r="AL120" i="4" a="1"/>
  <c r="AL120" i="4" s="1"/>
  <c r="AL119" i="4" a="1"/>
  <c r="AL119" i="4" s="1"/>
  <c r="AL118" i="4" a="1"/>
  <c r="AL118" i="4" s="1"/>
  <c r="AL117" i="4" a="1"/>
  <c r="AL117" i="4" s="1"/>
  <c r="AL116" i="4" a="1"/>
  <c r="AL116" i="4" s="1"/>
  <c r="AL114" i="4" a="1"/>
  <c r="AL114" i="4" s="1"/>
  <c r="AL113" i="4" a="1"/>
  <c r="AL113" i="4" s="1"/>
  <c r="AL112" i="4" a="1"/>
  <c r="AL112" i="4" s="1"/>
  <c r="AL111" i="4" a="1"/>
  <c r="AL111" i="4" s="1"/>
  <c r="AI33" i="4" a="1"/>
  <c r="AI33" i="4" s="1"/>
  <c r="AI34" i="4" a="1"/>
  <c r="AI34" i="4" s="1"/>
  <c r="AI36" i="4" a="1"/>
  <c r="AI36" i="4" s="1"/>
  <c r="AI37" i="4" a="1"/>
  <c r="AI37" i="4" s="1"/>
  <c r="AI39" i="4" a="1"/>
  <c r="AI39" i="4" s="1"/>
  <c r="AI40" i="4" a="1"/>
  <c r="AI40" i="4" s="1"/>
  <c r="AI42" i="4" a="1"/>
  <c r="AI42" i="4" s="1"/>
  <c r="AI43" i="4" a="1"/>
  <c r="AI43" i="4" s="1"/>
  <c r="AI45" i="4" a="1"/>
  <c r="AI45" i="4" s="1"/>
  <c r="AI51" i="4" a="1"/>
  <c r="AI51" i="4" s="1"/>
  <c r="AI52" i="4" a="1"/>
  <c r="AI52" i="4" s="1"/>
  <c r="AI54" i="4" a="1"/>
  <c r="AI54" i="4" s="1"/>
  <c r="AI55" i="4" a="1"/>
  <c r="AI55" i="4" s="1"/>
  <c r="AI57" i="4" a="1"/>
  <c r="AI57" i="4" s="1"/>
  <c r="AJ61" i="4" a="1"/>
  <c r="AJ61" i="4" s="1"/>
  <c r="AK59" i="4" a="1"/>
  <c r="AK59" i="4" s="1"/>
  <c r="AF98" i="4" a="1"/>
  <c r="AF98" i="4" s="1"/>
  <c r="AE99" i="4" a="1"/>
  <c r="AE99" i="4" s="1"/>
  <c r="AM99" i="4" a="1"/>
  <c r="AM99" i="4" s="1"/>
  <c r="AL100" i="4" a="1"/>
  <c r="AL100" i="4" s="1"/>
  <c r="AK101" i="4" a="1"/>
  <c r="AK101" i="4" s="1"/>
  <c r="AJ102" i="4" a="1"/>
  <c r="AJ102" i="4" s="1"/>
  <c r="AI103" i="4" a="1"/>
  <c r="AI103" i="4" s="1"/>
  <c r="AH104" i="4" a="1"/>
  <c r="AH104" i="4" s="1"/>
  <c r="AG106" i="4" a="1"/>
  <c r="AG106" i="4" s="1"/>
  <c r="AG107" i="4" a="1"/>
  <c r="AG107" i="4" s="1"/>
  <c r="AG108" i="4" a="1"/>
  <c r="AG108" i="4" s="1"/>
  <c r="AG109" i="4" a="1"/>
  <c r="AG109" i="4" s="1"/>
  <c r="AG110" i="4" a="1"/>
  <c r="AG110" i="4" s="1"/>
  <c r="AG111" i="4" a="1"/>
  <c r="AG111" i="4" s="1"/>
  <c r="AH112" i="4" a="1"/>
  <c r="AH112" i="4" s="1"/>
  <c r="AI113" i="4" a="1"/>
  <c r="AI113" i="4" s="1"/>
  <c r="AJ114" i="4" a="1"/>
  <c r="AJ114" i="4" s="1"/>
  <c r="AK116" i="4" a="1"/>
  <c r="AK116" i="4" s="1"/>
  <c r="AE118" i="4" a="1"/>
  <c r="AE118" i="4" s="1"/>
  <c r="AF119" i="4" a="1"/>
  <c r="AF119" i="4" s="1"/>
  <c r="AG120" i="4" a="1"/>
  <c r="AG120" i="4" s="1"/>
  <c r="AH121" i="4" a="1"/>
  <c r="AH121" i="4" s="1"/>
  <c r="AI122" i="4" a="1"/>
  <c r="AI122" i="4" s="1"/>
  <c r="AJ123" i="4" a="1"/>
  <c r="AJ123" i="4" s="1"/>
  <c r="AK124" i="4" a="1"/>
  <c r="AK124" i="4" s="1"/>
  <c r="AJ127" i="4" a="1"/>
  <c r="AJ127" i="4" s="1"/>
  <c r="AL128" i="4" a="1"/>
  <c r="AL128" i="4" s="1"/>
  <c r="AL131" i="4" a="1"/>
  <c r="AL131" i="4" s="1"/>
  <c r="AL135" i="4" a="1"/>
  <c r="AL135" i="4" s="1"/>
  <c r="AW48" i="4" a="1"/>
  <c r="AW48" i="4" s="1"/>
  <c r="AW46" i="4" a="1"/>
  <c r="AW46" i="4" s="1"/>
  <c r="AJ33" i="4" a="1"/>
  <c r="AJ33" i="4" s="1"/>
  <c r="AJ34" i="4" a="1"/>
  <c r="AJ34" i="4" s="1"/>
  <c r="AJ36" i="4" a="1"/>
  <c r="AJ36" i="4" s="1"/>
  <c r="AJ39" i="4" a="1"/>
  <c r="AJ39" i="4" s="1"/>
  <c r="AJ40" i="4" a="1"/>
  <c r="AJ40" i="4" s="1"/>
  <c r="AJ42" i="4" a="1"/>
  <c r="AJ42" i="4" s="1"/>
  <c r="AJ43" i="4" a="1"/>
  <c r="AJ43" i="4" s="1"/>
  <c r="AJ45" i="4" a="1"/>
  <c r="AJ45" i="4" s="1"/>
  <c r="AJ46" i="4" a="1"/>
  <c r="AJ46" i="4" s="1"/>
  <c r="AJ51" i="4" a="1"/>
  <c r="AJ51" i="4" s="1"/>
  <c r="AJ52" i="4" a="1"/>
  <c r="AJ52" i="4" s="1"/>
  <c r="AJ54" i="4" a="1"/>
  <c r="AJ54" i="4" s="1"/>
  <c r="AJ57" i="4" a="1"/>
  <c r="AJ57" i="4" s="1"/>
  <c r="AI61" i="4" a="1"/>
  <c r="AI61" i="4" s="1"/>
  <c r="AJ59" i="4" a="1"/>
  <c r="AJ59" i="4" s="1"/>
  <c r="AG98" i="4" a="1"/>
  <c r="AG98" i="4" s="1"/>
  <c r="AF99" i="4" a="1"/>
  <c r="AF99" i="4" s="1"/>
  <c r="AE100" i="4" a="1"/>
  <c r="AE100" i="4" s="1"/>
  <c r="AM100" i="4" a="1"/>
  <c r="AM100" i="4" s="1"/>
  <c r="AL101" i="4" a="1"/>
  <c r="AL101" i="4" s="1"/>
  <c r="AK102" i="4" a="1"/>
  <c r="AK102" i="4" s="1"/>
  <c r="AJ103" i="4" a="1"/>
  <c r="AJ103" i="4" s="1"/>
  <c r="AI104" i="4" a="1"/>
  <c r="AI104" i="4" s="1"/>
  <c r="AH106" i="4" a="1"/>
  <c r="AH106" i="4" s="1"/>
  <c r="AH107" i="4" a="1"/>
  <c r="AH107" i="4" s="1"/>
  <c r="AH108" i="4" a="1"/>
  <c r="AH108" i="4" s="1"/>
  <c r="AH109" i="4" a="1"/>
  <c r="AH109" i="4" s="1"/>
  <c r="AH110" i="4" a="1"/>
  <c r="AH110" i="4" s="1"/>
  <c r="AH111" i="4" a="1"/>
  <c r="AH111" i="4" s="1"/>
  <c r="AI112" i="4" a="1"/>
  <c r="AI112" i="4" s="1"/>
  <c r="AJ113" i="4" a="1"/>
  <c r="AJ113" i="4" s="1"/>
  <c r="AK114" i="4" a="1"/>
  <c r="AK114" i="4" s="1"/>
  <c r="AE117" i="4" a="1"/>
  <c r="AE117" i="4" s="1"/>
  <c r="AF118" i="4" a="1"/>
  <c r="AF118" i="4" s="1"/>
  <c r="AG119" i="4" a="1"/>
  <c r="AG119" i="4" s="1"/>
  <c r="AH120" i="4" a="1"/>
  <c r="AH120" i="4" s="1"/>
  <c r="AI121" i="4" a="1"/>
  <c r="AI121" i="4" s="1"/>
  <c r="AJ122" i="4" a="1"/>
  <c r="AJ122" i="4" s="1"/>
  <c r="AK123" i="4" a="1"/>
  <c r="AK123" i="4" s="1"/>
  <c r="AE126" i="4" a="1"/>
  <c r="AE126" i="4" s="1"/>
  <c r="AK127" i="4" a="1"/>
  <c r="AK127" i="4" s="1"/>
  <c r="AE130" i="4" a="1"/>
  <c r="AE130" i="4" s="1"/>
  <c r="AE132" i="4" a="1"/>
  <c r="AE132" i="4" s="1"/>
  <c r="AL136" i="4" a="1"/>
  <c r="AL136" i="4" s="1"/>
  <c r="AW55" i="4" a="1"/>
  <c r="AW55" i="4" s="1"/>
  <c r="AW38" i="4" a="1"/>
  <c r="AW38" i="4" s="1"/>
  <c r="AW37" i="4" a="1"/>
  <c r="AW37" i="4" s="1"/>
  <c r="AK33" i="4" a="1"/>
  <c r="AK33" i="4" s="1"/>
  <c r="AK34" i="4" a="1"/>
  <c r="AK34" i="4" s="1"/>
  <c r="AK36" i="4" a="1"/>
  <c r="AK36" i="4" s="1"/>
  <c r="AK37" i="4" a="1"/>
  <c r="AK37" i="4" s="1"/>
  <c r="AK39" i="4" a="1"/>
  <c r="AK39" i="4" s="1"/>
  <c r="AK40" i="4" a="1"/>
  <c r="AK40" i="4" s="1"/>
  <c r="AK42" i="4" a="1"/>
  <c r="AK42" i="4" s="1"/>
  <c r="AK43" i="4" a="1"/>
  <c r="AK43" i="4" s="1"/>
  <c r="AK45" i="4" a="1"/>
  <c r="AK45" i="4" s="1"/>
  <c r="AK46" i="4" a="1"/>
  <c r="AK46" i="4" s="1"/>
  <c r="AK51" i="4" a="1"/>
  <c r="AK51" i="4" s="1"/>
  <c r="AK52" i="4" a="1"/>
  <c r="AK52" i="4" s="1"/>
  <c r="AK54" i="4" a="1"/>
  <c r="AK54" i="4" s="1"/>
  <c r="AK55" i="4" a="1"/>
  <c r="AK55" i="4" s="1"/>
  <c r="AK57" i="4" a="1"/>
  <c r="AK57" i="4" s="1"/>
  <c r="AH61" i="4" a="1"/>
  <c r="AH61" i="4" s="1"/>
  <c r="AI59" i="4" a="1"/>
  <c r="AI59" i="4" s="1"/>
  <c r="AH98" i="4" a="1"/>
  <c r="AH98" i="4" s="1"/>
  <c r="AG99" i="4" a="1"/>
  <c r="AG99" i="4" s="1"/>
  <c r="AF100" i="4" a="1"/>
  <c r="AF100" i="4" s="1"/>
  <c r="AE101" i="4" a="1"/>
  <c r="AE101" i="4" s="1"/>
  <c r="AM101" i="4" a="1"/>
  <c r="AM101" i="4" s="1"/>
  <c r="AL102" i="4" a="1"/>
  <c r="AL102" i="4" s="1"/>
  <c r="AK103" i="4" a="1"/>
  <c r="AK103" i="4" s="1"/>
  <c r="AJ104" i="4" a="1"/>
  <c r="AJ104" i="4" s="1"/>
  <c r="AI106" i="4" a="1"/>
  <c r="AI106" i="4" s="1"/>
  <c r="AI107" i="4" a="1"/>
  <c r="AI107" i="4" s="1"/>
  <c r="AI108" i="4" a="1"/>
  <c r="AI108" i="4" s="1"/>
  <c r="AI109" i="4" a="1"/>
  <c r="AI109" i="4" s="1"/>
  <c r="AI110" i="4" a="1"/>
  <c r="AI110" i="4" s="1"/>
  <c r="AI111" i="4" a="1"/>
  <c r="AI111" i="4" s="1"/>
  <c r="AJ112" i="4" a="1"/>
  <c r="AJ112" i="4" s="1"/>
  <c r="AK113" i="4" a="1"/>
  <c r="AK113" i="4" s="1"/>
  <c r="AE116" i="4" a="1"/>
  <c r="AE116" i="4" s="1"/>
  <c r="AF117" i="4" a="1"/>
  <c r="AF117" i="4" s="1"/>
  <c r="AG118" i="4" a="1"/>
  <c r="AG118" i="4" s="1"/>
  <c r="AH119" i="4" a="1"/>
  <c r="AH119" i="4" s="1"/>
  <c r="AI120" i="4" a="1"/>
  <c r="AI120" i="4" s="1"/>
  <c r="AJ121" i="4" a="1"/>
  <c r="AJ121" i="4" s="1"/>
  <c r="AK122" i="4" a="1"/>
  <c r="AK122" i="4" s="1"/>
  <c r="AE124" i="4" a="1"/>
  <c r="AE124" i="4" s="1"/>
  <c r="AF126" i="4" a="1"/>
  <c r="AF126" i="4" s="1"/>
  <c r="AL127" i="4" a="1"/>
  <c r="AL127" i="4" s="1"/>
  <c r="AF130" i="4" a="1"/>
  <c r="AF130" i="4" s="1"/>
  <c r="AK132" i="4" a="1"/>
  <c r="AK132" i="4" s="1"/>
  <c r="AL138" i="4" a="1"/>
  <c r="AL138" i="4" s="1"/>
  <c r="AW50" i="4" a="1"/>
  <c r="AW50" i="4" s="1"/>
  <c r="AW47" i="4" a="1"/>
  <c r="AW47" i="4" s="1"/>
  <c r="AW53" i="4" a="1"/>
  <c r="AW53" i="4" s="1"/>
  <c r="AW60" i="4" a="1"/>
  <c r="AW60" i="4" s="1"/>
  <c r="AW44" i="4" a="1"/>
  <c r="AW44" i="4" s="1"/>
  <c r="AL33" i="4" a="1"/>
  <c r="AL33" i="4" s="1"/>
  <c r="AL34" i="4" a="1"/>
  <c r="AL34" i="4" s="1"/>
  <c r="AL36" i="4" a="1"/>
  <c r="AL36" i="4" s="1"/>
  <c r="AL37" i="4" a="1"/>
  <c r="AL37" i="4" s="1"/>
  <c r="AL39" i="4" a="1"/>
  <c r="AL39" i="4" s="1"/>
  <c r="AL40" i="4" a="1"/>
  <c r="AL40" i="4" s="1"/>
  <c r="AL42" i="4" a="1"/>
  <c r="AL42" i="4" s="1"/>
  <c r="AL43" i="4" a="1"/>
  <c r="AL43" i="4" s="1"/>
  <c r="AL45" i="4" a="1"/>
  <c r="AL45" i="4" s="1"/>
  <c r="AL46" i="4" a="1"/>
  <c r="AL46" i="4" s="1"/>
  <c r="AL51" i="4" a="1"/>
  <c r="AL51" i="4" s="1"/>
  <c r="AL52" i="4" a="1"/>
  <c r="AL52" i="4" s="1"/>
  <c r="AL54" i="4" a="1"/>
  <c r="AL54" i="4" s="1"/>
  <c r="AL55" i="4" a="1"/>
  <c r="AL55" i="4" s="1"/>
  <c r="AL57" i="4" a="1"/>
  <c r="AL57" i="4" s="1"/>
  <c r="AG61" i="4" a="1"/>
  <c r="AG61" i="4" s="1"/>
  <c r="AH59" i="4" a="1"/>
  <c r="AH59" i="4" s="1"/>
  <c r="AI98" i="4" a="1"/>
  <c r="AI98" i="4" s="1"/>
  <c r="AH99" i="4" a="1"/>
  <c r="AH99" i="4" s="1"/>
  <c r="AG100" i="4" a="1"/>
  <c r="AG100" i="4" s="1"/>
  <c r="AF101" i="4" a="1"/>
  <c r="AF101" i="4" s="1"/>
  <c r="AE102" i="4" a="1"/>
  <c r="AE102" i="4" s="1"/>
  <c r="AM102" i="4" a="1"/>
  <c r="AM102" i="4" s="1"/>
  <c r="AL103" i="4" a="1"/>
  <c r="AL103" i="4" s="1"/>
  <c r="AK104" i="4" a="1"/>
  <c r="AK104" i="4" s="1"/>
  <c r="AJ106" i="4" a="1"/>
  <c r="AJ106" i="4" s="1"/>
  <c r="AJ107" i="4" a="1"/>
  <c r="AJ107" i="4" s="1"/>
  <c r="AJ108" i="4" a="1"/>
  <c r="AJ108" i="4" s="1"/>
  <c r="AJ109" i="4" a="1"/>
  <c r="AJ109" i="4" s="1"/>
  <c r="AJ110" i="4" a="1"/>
  <c r="AJ110" i="4" s="1"/>
  <c r="AJ111" i="4" a="1"/>
  <c r="AJ111" i="4" s="1"/>
  <c r="AK112" i="4" a="1"/>
  <c r="AK112" i="4" s="1"/>
  <c r="AE114" i="4" a="1"/>
  <c r="AE114" i="4" s="1"/>
  <c r="AF116" i="4" a="1"/>
  <c r="AF116" i="4" s="1"/>
  <c r="AG117" i="4" a="1"/>
  <c r="AG117" i="4" s="1"/>
  <c r="AH118" i="4" a="1"/>
  <c r="AH118" i="4" s="1"/>
  <c r="AI119" i="4" a="1"/>
  <c r="AI119" i="4" s="1"/>
  <c r="AJ120" i="4" a="1"/>
  <c r="AJ120" i="4" s="1"/>
  <c r="AK121" i="4" a="1"/>
  <c r="AK121" i="4" s="1"/>
  <c r="AE123" i="4" a="1"/>
  <c r="AE123" i="4" s="1"/>
  <c r="AF124" i="4" a="1"/>
  <c r="AF124" i="4" s="1"/>
  <c r="AG126" i="4" a="1"/>
  <c r="AG126" i="4" s="1"/>
  <c r="AE128" i="4" a="1"/>
  <c r="AE128" i="4" s="1"/>
  <c r="AI130" i="4" a="1"/>
  <c r="AI130" i="4" s="1"/>
  <c r="AL132" i="4" a="1"/>
  <c r="AL132" i="4" s="1"/>
  <c r="AG144" i="4" a="1"/>
  <c r="AG144" i="4" s="1"/>
  <c r="AM3" i="4" a="1"/>
  <c r="AM3" i="4" s="1"/>
  <c r="AK3" i="4" a="1"/>
  <c r="AK3" i="4" s="1"/>
  <c r="AJ3" i="4" a="1"/>
  <c r="AJ3" i="4" s="1"/>
  <c r="AI3" i="4" a="1"/>
  <c r="AI3" i="4" s="1"/>
  <c r="AH3" i="4" a="1"/>
  <c r="AH3" i="4" s="1"/>
  <c r="AG3" i="4" a="1"/>
  <c r="AG3" i="4" s="1"/>
  <c r="AF3" i="4" a="1"/>
  <c r="AF3" i="4" s="1"/>
  <c r="AM9" i="4" a="1"/>
  <c r="AM9" i="4" s="1"/>
  <c r="AK10" i="4" a="1"/>
  <c r="AK10" i="4" s="1"/>
  <c r="AH8" i="4" a="1"/>
  <c r="AH8" i="4" s="1"/>
  <c r="AE9" i="4" a="1"/>
  <c r="AE9" i="4" s="1"/>
  <c r="AG8" i="4" a="1"/>
  <c r="AG8" i="4" s="1"/>
  <c r="AF9" i="4" a="1"/>
  <c r="AF9" i="4" s="1"/>
  <c r="AE10" i="4" a="1"/>
  <c r="AE10" i="4" s="1"/>
  <c r="AF8" i="4" a="1"/>
  <c r="AF8" i="4" s="1"/>
  <c r="AG9" i="4" a="1"/>
  <c r="AG9" i="4" s="1"/>
  <c r="AF10" i="4" a="1"/>
  <c r="AF10" i="4" s="1"/>
  <c r="AH9" i="4" a="1"/>
  <c r="AH9" i="4" s="1"/>
  <c r="AG10" i="4" a="1"/>
  <c r="AG10" i="4" s="1"/>
  <c r="AL8" i="4" a="1"/>
  <c r="AL8" i="4" s="1"/>
  <c r="AI9" i="4" a="1"/>
  <c r="AI9" i="4" s="1"/>
  <c r="AH10" i="4" a="1"/>
  <c r="AH10" i="4" s="1"/>
  <c r="AK8" i="4" a="1"/>
  <c r="AK8" i="4" s="1"/>
  <c r="AJ9" i="4" a="1"/>
  <c r="AJ9" i="4" s="1"/>
  <c r="AI10" i="4" a="1"/>
  <c r="AI10" i="4" s="1"/>
  <c r="AJ8" i="4" a="1"/>
  <c r="AJ8" i="4" s="1"/>
  <c r="AK9" i="4" a="1"/>
  <c r="AK9" i="4" s="1"/>
  <c r="AJ10" i="4" a="1"/>
  <c r="AJ10" i="4" s="1"/>
  <c r="AI8" i="4" a="1"/>
  <c r="AI8" i="4" s="1"/>
  <c r="AL10" i="4" a="1"/>
  <c r="AL10" i="4" s="1"/>
  <c r="AM10" i="4" a="1"/>
  <c r="AM10" i="4" s="1"/>
  <c r="AM8" i="4" a="1"/>
  <c r="AM8" i="4" s="1"/>
  <c r="AL9" i="4" a="1"/>
  <c r="AL9" i="4" s="1"/>
  <c r="AJ49" i="4"/>
  <c r="AM127" i="4"/>
  <c r="AM135" i="4"/>
  <c r="AM130" i="4"/>
  <c r="AM131" i="4"/>
  <c r="AM136" i="4"/>
  <c r="AF8" i="2"/>
  <c r="AF16" i="2"/>
  <c r="AF56" i="2"/>
  <c r="AF64" i="2"/>
  <c r="AF72" i="2"/>
  <c r="AJ85" i="2"/>
  <c r="AM33" i="2"/>
  <c r="AK31" i="2"/>
  <c r="AK23" i="2"/>
  <c r="AK29" i="2"/>
  <c r="AK21" i="2"/>
  <c r="AO51" i="2"/>
  <c r="AK32" i="2"/>
  <c r="AP29" i="2"/>
  <c r="AM52" i="2"/>
  <c r="AJ88" i="2"/>
  <c r="AK34" i="2"/>
  <c r="AL27" i="2"/>
  <c r="AK26" i="2"/>
  <c r="AN85" i="2"/>
  <c r="AN86" i="2"/>
  <c r="AJ30" i="2"/>
  <c r="AO27" i="2"/>
  <c r="AJ22" i="2"/>
  <c r="AN52" i="2"/>
  <c r="AM51" i="2"/>
  <c r="AL88" i="2"/>
  <c r="AJ86" i="2"/>
  <c r="AM81" i="2"/>
  <c r="AL80" i="2"/>
  <c r="AJ31" i="2"/>
  <c r="AJ33" i="2"/>
  <c r="AJ25" i="2"/>
  <c r="AM84" i="2"/>
  <c r="AM85" i="2"/>
  <c r="AJ27" i="2"/>
  <c r="AM86" i="2"/>
  <c r="AP34" i="2"/>
  <c r="AO33" i="2"/>
  <c r="AN32" i="2"/>
  <c r="AP26" i="2"/>
  <c r="AO25" i="2"/>
  <c r="AN24" i="2"/>
  <c r="AN42" i="2"/>
  <c r="AL86" i="2"/>
  <c r="AK85" i="2"/>
  <c r="AJ84" i="2"/>
  <c r="AJ76" i="2"/>
  <c r="AN33" i="2"/>
  <c r="AN25" i="2"/>
  <c r="AN34" i="2"/>
  <c r="AN26" i="2"/>
  <c r="AN44" i="2"/>
  <c r="AN36" i="2"/>
  <c r="AJ78" i="2"/>
  <c r="AN27" i="2"/>
  <c r="AN45" i="2"/>
  <c r="AP31" i="2"/>
  <c r="AO30" i="2"/>
  <c r="AN29" i="2"/>
  <c r="AP23" i="2"/>
  <c r="AO22" i="2"/>
  <c r="AN21" i="2"/>
  <c r="AL19" i="2"/>
  <c r="AO14" i="2"/>
  <c r="AL11" i="2"/>
  <c r="AO6" i="2"/>
  <c r="AL3" i="2"/>
  <c r="AK52" i="2"/>
  <c r="AJ51" i="2"/>
  <c r="AO48" i="2"/>
  <c r="AN47" i="2"/>
  <c r="AL45" i="2"/>
  <c r="AO40" i="2"/>
  <c r="AN39" i="2"/>
  <c r="AL37" i="2"/>
  <c r="AL83" i="2"/>
  <c r="AK82" i="2"/>
  <c r="AJ81" i="2"/>
  <c r="AO78" i="2"/>
  <c r="AN77" i="2"/>
  <c r="AM76" i="2"/>
  <c r="AL75" i="2"/>
  <c r="AK74" i="2"/>
  <c r="AJ73" i="2"/>
  <c r="AP71" i="2"/>
  <c r="AO70" i="2"/>
  <c r="AN69" i="2"/>
  <c r="AM68" i="2"/>
  <c r="AL67" i="2"/>
  <c r="AK66" i="2"/>
  <c r="AJ65" i="2"/>
  <c r="AO62" i="2"/>
  <c r="AN61" i="2"/>
  <c r="AM60" i="2"/>
  <c r="AL59" i="2"/>
  <c r="AK58" i="2"/>
  <c r="AJ57" i="2"/>
  <c r="AO54" i="2"/>
  <c r="AN53" i="2"/>
  <c r="AO31" i="2"/>
  <c r="AN30" i="2"/>
  <c r="AO23" i="2"/>
  <c r="AN22" i="2"/>
  <c r="AJ52" i="2"/>
  <c r="AN48" i="2"/>
  <c r="AN40" i="2"/>
  <c r="AL84" i="2"/>
  <c r="AK83" i="2"/>
  <c r="AJ82" i="2"/>
  <c r="AM77" i="2"/>
  <c r="AK75" i="2"/>
  <c r="AJ74" i="2"/>
  <c r="AM69" i="2"/>
  <c r="AJ66" i="2"/>
  <c r="AM61" i="2"/>
  <c r="AJ58" i="2"/>
  <c r="AP33" i="2"/>
  <c r="AO32" i="2"/>
  <c r="AN31" i="2"/>
  <c r="AP25" i="2"/>
  <c r="AO24" i="2"/>
  <c r="AN23" i="2"/>
  <c r="AN49" i="2"/>
  <c r="AN41" i="2"/>
  <c r="AL85" i="2"/>
  <c r="AK84" i="2"/>
  <c r="AJ83" i="2"/>
  <c r="AG21" i="2"/>
  <c r="AG23" i="2"/>
  <c r="AG35" i="2"/>
  <c r="AG31" i="2"/>
  <c r="AG25" i="2"/>
  <c r="AG161" i="2"/>
  <c r="AM25" i="2"/>
  <c r="AO19" i="2"/>
  <c r="AN18" i="2"/>
  <c r="AM17" i="2"/>
  <c r="AL16" i="2"/>
  <c r="AK15" i="2"/>
  <c r="AJ14" i="2"/>
  <c r="AP12" i="2"/>
  <c r="AO11" i="2"/>
  <c r="AN10" i="2"/>
  <c r="AM9" i="2"/>
  <c r="AL8" i="2"/>
  <c r="AK7" i="2"/>
  <c r="AJ6" i="2"/>
  <c r="AP4" i="2"/>
  <c r="AO3" i="2"/>
  <c r="AK49" i="2"/>
  <c r="AJ48" i="2"/>
  <c r="AP46" i="2"/>
  <c r="AO45" i="2"/>
  <c r="AM43" i="2"/>
  <c r="AL42" i="2"/>
  <c r="AK41" i="2"/>
  <c r="AJ40" i="2"/>
  <c r="AP38" i="2"/>
  <c r="AO37" i="2"/>
  <c r="AM35" i="2"/>
  <c r="AP84" i="2"/>
  <c r="AO83" i="2"/>
  <c r="AP76" i="2"/>
  <c r="AO75" i="2"/>
  <c r="AN74" i="2"/>
  <c r="AM73" i="2"/>
  <c r="AL72" i="2"/>
  <c r="AK71" i="2"/>
  <c r="AJ70" i="2"/>
  <c r="AP68" i="2"/>
  <c r="AO67" i="2"/>
  <c r="AN66" i="2"/>
  <c r="AM65" i="2"/>
  <c r="AL64" i="2"/>
  <c r="AK63" i="2"/>
  <c r="AJ62" i="2"/>
  <c r="AP60" i="2"/>
  <c r="AO59" i="2"/>
  <c r="AN58" i="2"/>
  <c r="AM57" i="2"/>
  <c r="AL56" i="2"/>
  <c r="AK55" i="2"/>
  <c r="AJ54" i="2"/>
  <c r="AM34" i="2"/>
  <c r="AM26" i="2"/>
  <c r="AK24" i="2"/>
  <c r="AJ23" i="2"/>
  <c r="AP21" i="2"/>
  <c r="AN19" i="2"/>
  <c r="AM18" i="2"/>
  <c r="AL17" i="2"/>
  <c r="AK16" i="2"/>
  <c r="AJ15" i="2"/>
  <c r="AP13" i="2"/>
  <c r="AO12" i="2"/>
  <c r="AN11" i="2"/>
  <c r="AM10" i="2"/>
  <c r="AL9" i="2"/>
  <c r="AK8" i="2"/>
  <c r="AJ7" i="2"/>
  <c r="AP5" i="2"/>
  <c r="AO4" i="2"/>
  <c r="AN3" i="2"/>
  <c r="AL51" i="2"/>
  <c r="AJ49" i="2"/>
  <c r="AP47" i="2"/>
  <c r="AO46" i="2"/>
  <c r="AM44" i="2"/>
  <c r="AL43" i="2"/>
  <c r="AK42" i="2"/>
  <c r="AJ41" i="2"/>
  <c r="AP39" i="2"/>
  <c r="AO38" i="2"/>
  <c r="AN37" i="2"/>
  <c r="AM36" i="2"/>
  <c r="AL35" i="2"/>
  <c r="AK88" i="2"/>
  <c r="AP85" i="2"/>
  <c r="AO84" i="2"/>
  <c r="AN83" i="2"/>
  <c r="AM82" i="2"/>
  <c r="AL81" i="2"/>
  <c r="AK80" i="2"/>
  <c r="AP77" i="2"/>
  <c r="AO76" i="2"/>
  <c r="AN75" i="2"/>
  <c r="AM74" i="2"/>
  <c r="AL73" i="2"/>
  <c r="AK72" i="2"/>
  <c r="AJ71" i="2"/>
  <c r="AP69" i="2"/>
  <c r="AO68" i="2"/>
  <c r="AN67" i="2"/>
  <c r="AM66" i="2"/>
  <c r="AL65" i="2"/>
  <c r="AK64" i="2"/>
  <c r="AJ63" i="2"/>
  <c r="AP61" i="2"/>
  <c r="AO60" i="2"/>
  <c r="AN59" i="2"/>
  <c r="AM58" i="2"/>
  <c r="AL57" i="2"/>
  <c r="AK56" i="2"/>
  <c r="AJ55" i="2"/>
  <c r="AP53" i="2"/>
  <c r="AG26" i="2"/>
  <c r="AL34" i="2"/>
  <c r="AK33" i="2"/>
  <c r="AJ32" i="2"/>
  <c r="AP30" i="2"/>
  <c r="AO29" i="2"/>
  <c r="AM27" i="2"/>
  <c r="AL26" i="2"/>
  <c r="AK25" i="2"/>
  <c r="AJ24" i="2"/>
  <c r="AP22" i="2"/>
  <c r="AO21" i="2"/>
  <c r="AM19" i="2"/>
  <c r="AL18" i="2"/>
  <c r="AK17" i="2"/>
  <c r="AJ16" i="2"/>
  <c r="AP14" i="2"/>
  <c r="AO13" i="2"/>
  <c r="AN12" i="2"/>
  <c r="AM11" i="2"/>
  <c r="AL10" i="2"/>
  <c r="AK9" i="2"/>
  <c r="AJ8" i="2"/>
  <c r="AP6" i="2"/>
  <c r="AO5" i="2"/>
  <c r="AN4" i="2"/>
  <c r="AM3" i="2"/>
  <c r="AL52" i="2"/>
  <c r="AK51" i="2"/>
  <c r="AP48" i="2"/>
  <c r="AO47" i="2"/>
  <c r="AN46" i="2"/>
  <c r="AM45" i="2"/>
  <c r="AL44" i="2"/>
  <c r="AK43" i="2"/>
  <c r="AJ42" i="2"/>
  <c r="AP40" i="2"/>
  <c r="AO39" i="2"/>
  <c r="AN38" i="2"/>
  <c r="AM37" i="2"/>
  <c r="AL36" i="2"/>
  <c r="AK35" i="2"/>
  <c r="AP86" i="2"/>
  <c r="AO85" i="2"/>
  <c r="AN84" i="2"/>
  <c r="AM83" i="2"/>
  <c r="AL82" i="2"/>
  <c r="AK81" i="2"/>
  <c r="AJ80" i="2"/>
  <c r="AP78" i="2"/>
  <c r="AO77" i="2"/>
  <c r="AN76" i="2"/>
  <c r="AM75" i="2"/>
  <c r="AL74" i="2"/>
  <c r="AK73" i="2"/>
  <c r="AJ72" i="2"/>
  <c r="AP70" i="2"/>
  <c r="AO69" i="2"/>
  <c r="AN68" i="2"/>
  <c r="AM67" i="2"/>
  <c r="AL66" i="2"/>
  <c r="AK65" i="2"/>
  <c r="AJ64" i="2"/>
  <c r="AP62" i="2"/>
  <c r="AO61" i="2"/>
  <c r="AN60" i="2"/>
  <c r="AM59" i="2"/>
  <c r="AL58" i="2"/>
  <c r="AK57" i="2"/>
  <c r="AJ56" i="2"/>
  <c r="AP54" i="2"/>
  <c r="AO53" i="2"/>
  <c r="AK18" i="2"/>
  <c r="AJ17" i="2"/>
  <c r="AP15" i="2"/>
  <c r="AN13" i="2"/>
  <c r="AM12" i="2"/>
  <c r="AK10" i="2"/>
  <c r="AJ9" i="2"/>
  <c r="AP7" i="2"/>
  <c r="AN5" i="2"/>
  <c r="AM4" i="2"/>
  <c r="AP49" i="2"/>
  <c r="AM46" i="2"/>
  <c r="AK44" i="2"/>
  <c r="AJ43" i="2"/>
  <c r="AP41" i="2"/>
  <c r="AM38" i="2"/>
  <c r="AK36" i="2"/>
  <c r="AJ35" i="2"/>
  <c r="AP63" i="2"/>
  <c r="AP55" i="2"/>
  <c r="AJ34" i="2"/>
  <c r="AP32" i="2"/>
  <c r="AM29" i="2"/>
  <c r="AK27" i="2"/>
  <c r="AJ26" i="2"/>
  <c r="AP24" i="2"/>
  <c r="AM21" i="2"/>
  <c r="AK19" i="2"/>
  <c r="AJ18" i="2"/>
  <c r="AP16" i="2"/>
  <c r="AO15" i="2"/>
  <c r="AN14" i="2"/>
  <c r="AM13" i="2"/>
  <c r="AL12" i="2"/>
  <c r="AK11" i="2"/>
  <c r="AJ10" i="2"/>
  <c r="AP8" i="2"/>
  <c r="AO7" i="2"/>
  <c r="AN6" i="2"/>
  <c r="AM5" i="2"/>
  <c r="AL4" i="2"/>
  <c r="AK3" i="2"/>
  <c r="AO49" i="2"/>
  <c r="AM47" i="2"/>
  <c r="AL46" i="2"/>
  <c r="AK45" i="2"/>
  <c r="AJ44" i="2"/>
  <c r="AP42" i="2"/>
  <c r="AO41" i="2"/>
  <c r="AM39" i="2"/>
  <c r="AL38" i="2"/>
  <c r="AK37" i="2"/>
  <c r="AJ36" i="2"/>
  <c r="AP88" i="2"/>
  <c r="AP80" i="2"/>
  <c r="AN78" i="2"/>
  <c r="AL76" i="2"/>
  <c r="AP72" i="2"/>
  <c r="AO71" i="2"/>
  <c r="AN70" i="2"/>
  <c r="AL68" i="2"/>
  <c r="AK67" i="2"/>
  <c r="AP64" i="2"/>
  <c r="AO63" i="2"/>
  <c r="AN62" i="2"/>
  <c r="AL60" i="2"/>
  <c r="AK59" i="2"/>
  <c r="AP56" i="2"/>
  <c r="AO55" i="2"/>
  <c r="AN54" i="2"/>
  <c r="AM53" i="2"/>
  <c r="AM22" i="2"/>
  <c r="AJ19" i="2"/>
  <c r="AP17" i="2"/>
  <c r="AO16" i="2"/>
  <c r="AN15" i="2"/>
  <c r="AM14" i="2"/>
  <c r="AL13" i="2"/>
  <c r="AK12" i="2"/>
  <c r="AJ11" i="2"/>
  <c r="AP9" i="2"/>
  <c r="AO8" i="2"/>
  <c r="AN7" i="2"/>
  <c r="AM6" i="2"/>
  <c r="AL5" i="2"/>
  <c r="AK4" i="2"/>
  <c r="AJ3" i="2"/>
  <c r="AP51" i="2"/>
  <c r="AM48" i="2"/>
  <c r="AL47" i="2"/>
  <c r="AK46" i="2"/>
  <c r="AJ45" i="2"/>
  <c r="AP43" i="2"/>
  <c r="AO42" i="2"/>
  <c r="AM40" i="2"/>
  <c r="AL39" i="2"/>
  <c r="AK38" i="2"/>
  <c r="AJ37" i="2"/>
  <c r="AP35" i="2"/>
  <c r="AO88" i="2"/>
  <c r="AP81" i="2"/>
  <c r="AO80" i="2"/>
  <c r="AM78" i="2"/>
  <c r="AL77" i="2"/>
  <c r="AK76" i="2"/>
  <c r="AJ75" i="2"/>
  <c r="AP73" i="2"/>
  <c r="AO72" i="2"/>
  <c r="AN71" i="2"/>
  <c r="AM70" i="2"/>
  <c r="AL69" i="2"/>
  <c r="AK68" i="2"/>
  <c r="AJ67" i="2"/>
  <c r="AP65" i="2"/>
  <c r="AO64" i="2"/>
  <c r="AN63" i="2"/>
  <c r="AM62" i="2"/>
  <c r="AL61" i="2"/>
  <c r="AK60" i="2"/>
  <c r="AJ59" i="2"/>
  <c r="AP57" i="2"/>
  <c r="AO56" i="2"/>
  <c r="AN55" i="2"/>
  <c r="AM54" i="2"/>
  <c r="AL53" i="2"/>
  <c r="AM23" i="2"/>
  <c r="AP18" i="2"/>
  <c r="AO17" i="2"/>
  <c r="AN16" i="2"/>
  <c r="AM15" i="2"/>
  <c r="AL14" i="2"/>
  <c r="AK13" i="2"/>
  <c r="AJ12" i="2"/>
  <c r="AP10" i="2"/>
  <c r="AO9" i="2"/>
  <c r="AN8" i="2"/>
  <c r="AM7" i="2"/>
  <c r="AL6" i="2"/>
  <c r="AK5" i="2"/>
  <c r="AJ4" i="2"/>
  <c r="AP52" i="2"/>
  <c r="AM49" i="2"/>
  <c r="AL48" i="2"/>
  <c r="AK47" i="2"/>
  <c r="AJ46" i="2"/>
  <c r="AP44" i="2"/>
  <c r="AO43" i="2"/>
  <c r="AM41" i="2"/>
  <c r="AL40" i="2"/>
  <c r="AK39" i="2"/>
  <c r="AJ38" i="2"/>
  <c r="AP36" i="2"/>
  <c r="AO35" i="2"/>
  <c r="AP82" i="2"/>
  <c r="AO81" i="2"/>
  <c r="AL78" i="2"/>
  <c r="AK77" i="2"/>
  <c r="AP74" i="2"/>
  <c r="AO73" i="2"/>
  <c r="AN72" i="2"/>
  <c r="AM71" i="2"/>
  <c r="AL70" i="2"/>
  <c r="AK69" i="2"/>
  <c r="AJ68" i="2"/>
  <c r="AP66" i="2"/>
  <c r="AO65" i="2"/>
  <c r="AN64" i="2"/>
  <c r="AM63" i="2"/>
  <c r="AL62" i="2"/>
  <c r="AK61" i="2"/>
  <c r="AJ60" i="2"/>
  <c r="AP58" i="2"/>
  <c r="AO57" i="2"/>
  <c r="AN56" i="2"/>
  <c r="AM55" i="2"/>
  <c r="AL54" i="2"/>
  <c r="AK53" i="2"/>
  <c r="AO34" i="2"/>
  <c r="AM32" i="2"/>
  <c r="AL31" i="2"/>
  <c r="AK30" i="2"/>
  <c r="AJ29" i="2"/>
  <c r="AP27" i="2"/>
  <c r="AO26" i="2"/>
  <c r="AM24" i="2"/>
  <c r="AL23" i="2"/>
  <c r="AK22" i="2"/>
  <c r="AJ21" i="2"/>
  <c r="AP19" i="2"/>
  <c r="AO18" i="2"/>
  <c r="AN17" i="2"/>
  <c r="AM16" i="2"/>
  <c r="AL15" i="2"/>
  <c r="AK14" i="2"/>
  <c r="AJ13" i="2"/>
  <c r="AP11" i="2"/>
  <c r="AO10" i="2"/>
  <c r="AN9" i="2"/>
  <c r="AM8" i="2"/>
  <c r="AL7" i="2"/>
  <c r="AK6" i="2"/>
  <c r="AJ5" i="2"/>
  <c r="AP3" i="2"/>
  <c r="AO52" i="2"/>
  <c r="AN51" i="2"/>
  <c r="AL49" i="2"/>
  <c r="AK48" i="2"/>
  <c r="AJ47" i="2"/>
  <c r="AP45" i="2"/>
  <c r="AO44" i="2"/>
  <c r="AN43" i="2"/>
  <c r="AM42" i="2"/>
  <c r="AL41" i="2"/>
  <c r="AK40" i="2"/>
  <c r="AJ39" i="2"/>
  <c r="AP37" i="2"/>
  <c r="AO36" i="2"/>
  <c r="AN35" i="2"/>
  <c r="AM88" i="2"/>
  <c r="AK86" i="2"/>
  <c r="AP83" i="2"/>
  <c r="AO82" i="2"/>
  <c r="AN81" i="2"/>
  <c r="AM80" i="2"/>
  <c r="AK78" i="2"/>
  <c r="AJ77" i="2"/>
  <c r="AP75" i="2"/>
  <c r="AO74" i="2"/>
  <c r="AN73" i="2"/>
  <c r="AM72" i="2"/>
  <c r="AL71" i="2"/>
  <c r="AK70" i="2"/>
  <c r="AJ69" i="2"/>
  <c r="AP67" i="2"/>
  <c r="AO66" i="2"/>
  <c r="AN65" i="2"/>
  <c r="AM64" i="2"/>
  <c r="AL63" i="2"/>
  <c r="AK62" i="2"/>
  <c r="AJ61" i="2"/>
  <c r="AP59" i="2"/>
  <c r="AO58" i="2"/>
  <c r="AN57" i="2"/>
  <c r="AM56" i="2"/>
  <c r="AL55" i="2"/>
  <c r="AK54" i="2"/>
  <c r="AJ53" i="2"/>
  <c r="AF6" i="2"/>
  <c r="AF78" i="2"/>
  <c r="AI51" i="2"/>
  <c r="AE105" i="2"/>
  <c r="AF15" i="2"/>
  <c r="AF267" i="2"/>
  <c r="AA162" i="2"/>
  <c r="AF164" i="2"/>
  <c r="AE103" i="2"/>
  <c r="AF160" i="2"/>
  <c r="AA160" i="2"/>
  <c r="AF162" i="2"/>
  <c r="AG251" i="2"/>
  <c r="AF5" i="2"/>
  <c r="AF13" i="2"/>
  <c r="AF52" i="2"/>
  <c r="AF61" i="2"/>
  <c r="AF69" i="2"/>
  <c r="AF85" i="2"/>
  <c r="AF259" i="2"/>
  <c r="AI3" i="2"/>
  <c r="AA164" i="2"/>
  <c r="AH264" i="2"/>
  <c r="AG250" i="2"/>
  <c r="AF4" i="2"/>
  <c r="AF12" i="2"/>
  <c r="AF53" i="2"/>
  <c r="AF60" i="2"/>
  <c r="AF68" i="2"/>
  <c r="AF84" i="2"/>
  <c r="AG96" i="2"/>
  <c r="AE99" i="2"/>
  <c r="AE100" i="2"/>
  <c r="AB142" i="2"/>
  <c r="AF22" i="2"/>
  <c r="AF62" i="2"/>
  <c r="AF249" i="2"/>
  <c r="AF80" i="2"/>
  <c r="AF83" i="2"/>
  <c r="AF250" i="2"/>
  <c r="AF81" i="2"/>
  <c r="AG238" i="2"/>
  <c r="AF66" i="2"/>
  <c r="AI58" i="2"/>
  <c r="AI57" i="2"/>
  <c r="AG56" i="2"/>
  <c r="AI87" i="2"/>
  <c r="AI59" i="2"/>
  <c r="AG58" i="2"/>
  <c r="AG57" i="2"/>
  <c r="AI60" i="2"/>
  <c r="AG59" i="2"/>
  <c r="AI55" i="2"/>
  <c r="AG60" i="2"/>
  <c r="AI56" i="2"/>
  <c r="AG55" i="2"/>
  <c r="AI76" i="2"/>
  <c r="AI25" i="2"/>
  <c r="AI86" i="2"/>
  <c r="AG22" i="2"/>
  <c r="AG239" i="2"/>
  <c r="AF7" i="2"/>
  <c r="AF23" i="2"/>
  <c r="AF31" i="2"/>
  <c r="AF39" i="2"/>
  <c r="AF47" i="2"/>
  <c r="AF55" i="2"/>
  <c r="AF63" i="2"/>
  <c r="AF71" i="2"/>
  <c r="AH35" i="2"/>
  <c r="AH31" i="2"/>
  <c r="AH27" i="2"/>
  <c r="AF24" i="2"/>
  <c r="AF32" i="2"/>
  <c r="AF40" i="2"/>
  <c r="AF48" i="2"/>
  <c r="AH257" i="2"/>
  <c r="AF9" i="2"/>
  <c r="AF17" i="2"/>
  <c r="AF25" i="2"/>
  <c r="AF33" i="2"/>
  <c r="AF41" i="2"/>
  <c r="AF49" i="2"/>
  <c r="AF57" i="2"/>
  <c r="AF65" i="2"/>
  <c r="AF73" i="2"/>
  <c r="AH36" i="2"/>
  <c r="AH32" i="2"/>
  <c r="AH28" i="2"/>
  <c r="AH23" i="2"/>
  <c r="AG18" i="2"/>
  <c r="AF74" i="2"/>
  <c r="AB136" i="2"/>
  <c r="AG249" i="2"/>
  <c r="AF3" i="2"/>
  <c r="AF11" i="2"/>
  <c r="AF19" i="2"/>
  <c r="AF27" i="2"/>
  <c r="AF35" i="2"/>
  <c r="AF43" i="2"/>
  <c r="AF54" i="2"/>
  <c r="AF59" i="2"/>
  <c r="AF67" i="2"/>
  <c r="AF75" i="2"/>
  <c r="AH33" i="2"/>
  <c r="AH29" i="2"/>
  <c r="AH24" i="2"/>
  <c r="AG19" i="2"/>
  <c r="AG237" i="2"/>
  <c r="AF245" i="2"/>
  <c r="AF21" i="2"/>
  <c r="AF29" i="2"/>
  <c r="AF37" i="2"/>
  <c r="AF45" i="2"/>
  <c r="AH22" i="2"/>
  <c r="AH34" i="2"/>
  <c r="AH30" i="2"/>
  <c r="AG11" i="2"/>
  <c r="AG10" i="2"/>
  <c r="AF90" i="2"/>
  <c r="AG247" i="2"/>
  <c r="AF247" i="2"/>
  <c r="AF14" i="2"/>
  <c r="AF30" i="2"/>
  <c r="AF38" i="2"/>
  <c r="AF46" i="2"/>
  <c r="AF70" i="2"/>
  <c r="AI35" i="2"/>
  <c r="AG34" i="2"/>
  <c r="AI31" i="2"/>
  <c r="AG30" i="2"/>
  <c r="AG15" i="2"/>
  <c r="AB140" i="2"/>
  <c r="AI22" i="2"/>
  <c r="AF88" i="2"/>
  <c r="AI36" i="2"/>
  <c r="AI32" i="2"/>
  <c r="AI28" i="2"/>
  <c r="AG27" i="2"/>
  <c r="AI19" i="2"/>
  <c r="AI9" i="2"/>
  <c r="AG99" i="2"/>
  <c r="AG234" i="2"/>
  <c r="AF10" i="2"/>
  <c r="AF18" i="2"/>
  <c r="AF26" i="2"/>
  <c r="AF34" i="2"/>
  <c r="AF42" i="2"/>
  <c r="AF76" i="2"/>
  <c r="AF58" i="2"/>
  <c r="AF82" i="2"/>
  <c r="AG259" i="2"/>
  <c r="AG267" i="2"/>
  <c r="AG36" i="2"/>
  <c r="AI33" i="2"/>
  <c r="AG32" i="2"/>
  <c r="AI29" i="2"/>
  <c r="AG28" i="2"/>
  <c r="AG100" i="2"/>
  <c r="AF260" i="2"/>
  <c r="AG260" i="2"/>
  <c r="AI10" i="2"/>
  <c r="AG9" i="2"/>
  <c r="AH57" i="2"/>
  <c r="AH56" i="2"/>
  <c r="AH55" i="2"/>
  <c r="AF103" i="2"/>
  <c r="AB146" i="2"/>
  <c r="AF28" i="2"/>
  <c r="AF36" i="2"/>
  <c r="AF44" i="2"/>
  <c r="AF253" i="2"/>
  <c r="AF261" i="2"/>
  <c r="AG253" i="2"/>
  <c r="AG261" i="2"/>
  <c r="AH253" i="2"/>
  <c r="AH261" i="2"/>
  <c r="AI23" i="2"/>
  <c r="AF100" i="2"/>
  <c r="AI34" i="2"/>
  <c r="AG33" i="2"/>
  <c r="AI30" i="2"/>
  <c r="AG29" i="2"/>
  <c r="AG24" i="2"/>
  <c r="AI15" i="2"/>
  <c r="AH59" i="2"/>
  <c r="AF254" i="2"/>
  <c r="AF262" i="2"/>
  <c r="AG254" i="2"/>
  <c r="AH254" i="2"/>
  <c r="AH262" i="2"/>
  <c r="AG95" i="2"/>
  <c r="AI26" i="2"/>
  <c r="AG245" i="2"/>
  <c r="AG246" i="2"/>
  <c r="AG243" i="2"/>
  <c r="AF87" i="2"/>
  <c r="AF256" i="2"/>
  <c r="AF264" i="2"/>
  <c r="AG256" i="2"/>
  <c r="AG264" i="2"/>
  <c r="AH17" i="2"/>
  <c r="AH16" i="2"/>
  <c r="AG235" i="2"/>
  <c r="AF246" i="2"/>
  <c r="AG257" i="2"/>
  <c r="AG265" i="2"/>
  <c r="AH256" i="2"/>
  <c r="AH12" i="2"/>
  <c r="AF258" i="2"/>
  <c r="AF266" i="2"/>
  <c r="AG258" i="2"/>
  <c r="AG266" i="2"/>
  <c r="AH18" i="2"/>
  <c r="AH13" i="2"/>
  <c r="AH8" i="2"/>
  <c r="AG233" i="2"/>
  <c r="AG241" i="2"/>
  <c r="AF248" i="2"/>
  <c r="AF251" i="2"/>
  <c r="AF255" i="2"/>
  <c r="AF263" i="2"/>
  <c r="AF257" i="2"/>
  <c r="AF265" i="2"/>
  <c r="AH267" i="2"/>
  <c r="AH259" i="2"/>
  <c r="AH266" i="2"/>
  <c r="AH258" i="2"/>
  <c r="AH260" i="2"/>
  <c r="AH265" i="2"/>
  <c r="AH19" i="2"/>
  <c r="AH14" i="2"/>
  <c r="AG242" i="2"/>
  <c r="AH9" i="2"/>
  <c r="AH10" i="2"/>
  <c r="AH11" i="2"/>
  <c r="AH15" i="2"/>
  <c r="AF86" i="2"/>
  <c r="AG255" i="2"/>
  <c r="AG263" i="2"/>
  <c r="AH255" i="2"/>
  <c r="AH263" i="2"/>
  <c r="AF105" i="2"/>
  <c r="AF104" i="2"/>
  <c r="AE102" i="2"/>
  <c r="AG47" i="2"/>
  <c r="AH46" i="2"/>
  <c r="AI45" i="2"/>
  <c r="AG39" i="2"/>
  <c r="AH38" i="2"/>
  <c r="AI37" i="2"/>
  <c r="AG17" i="2"/>
  <c r="AG8" i="2"/>
  <c r="AH58" i="2"/>
  <c r="AG46" i="2"/>
  <c r="AH45" i="2"/>
  <c r="AI44" i="2"/>
  <c r="AG38" i="2"/>
  <c r="AH37" i="2"/>
  <c r="AG16" i="2"/>
  <c r="AI14" i="2"/>
  <c r="AG45" i="2"/>
  <c r="AH44" i="2"/>
  <c r="AI43" i="2"/>
  <c r="AG37" i="2"/>
  <c r="AI27" i="2"/>
  <c r="AI13" i="2"/>
  <c r="AG44" i="2"/>
  <c r="AH43" i="2"/>
  <c r="AI42" i="2"/>
  <c r="AG14" i="2"/>
  <c r="AI12" i="2"/>
  <c r="AF51" i="2"/>
  <c r="AF77" i="2"/>
  <c r="AG97" i="2"/>
  <c r="AI49" i="2"/>
  <c r="AG43" i="2"/>
  <c r="AH42" i="2"/>
  <c r="AI41" i="2"/>
  <c r="AH26" i="2"/>
  <c r="AG13" i="2"/>
  <c r="AI11" i="2"/>
  <c r="AG90" i="2"/>
  <c r="AH49" i="2"/>
  <c r="AI48" i="2"/>
  <c r="AG42" i="2"/>
  <c r="AH41" i="2"/>
  <c r="AI40" i="2"/>
  <c r="AI18" i="2"/>
  <c r="AG12" i="2"/>
  <c r="AI24" i="2"/>
  <c r="AG49" i="2"/>
  <c r="AH48" i="2"/>
  <c r="AI47" i="2"/>
  <c r="AG41" i="2"/>
  <c r="AH40" i="2"/>
  <c r="AI39" i="2"/>
  <c r="AI17" i="2"/>
  <c r="AI8" i="2"/>
  <c r="AH60" i="2"/>
  <c r="AG48" i="2"/>
  <c r="AH47" i="2"/>
  <c r="AI46" i="2"/>
  <c r="AI70" i="2"/>
  <c r="AI77" i="2"/>
  <c r="AG70" i="2"/>
  <c r="AH69" i="2"/>
  <c r="AI68" i="2"/>
  <c r="AH3" i="2"/>
  <c r="AI7" i="2"/>
  <c r="AI6" i="2"/>
  <c r="AI5" i="2"/>
  <c r="AI4" i="2"/>
  <c r="AH7" i="2"/>
  <c r="AH6" i="2"/>
  <c r="AH5" i="2"/>
  <c r="AH4" i="2"/>
  <c r="AG3" i="2"/>
  <c r="AG7" i="2"/>
  <c r="AG6" i="2"/>
  <c r="AG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Colleen Housen</author>
  </authors>
  <commentList>
    <comment ref="O8" authorId="0" shapeId="0" xr:uid="{E884E457-3170-3E44-B9E4-0CAC64B162AC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Thrust = 71%</t>
        </r>
      </text>
    </comment>
    <comment ref="O9" authorId="0" shapeId="0" xr:uid="{A9D22865-06B8-F74A-9D5A-9E7DA7392DE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Thrust = 77%</t>
        </r>
      </text>
    </comment>
    <comment ref="J11" authorId="0" shapeId="0" xr:uid="{010FFD0E-DF9C-6743-B1AE-FAB27AF32C3D}">
      <text>
        <r>
          <rPr>
            <sz val="12"/>
            <color rgb="FF000000"/>
            <rFont val="Aptos Narrow"/>
            <family val="2"/>
          </rPr>
          <t xml:space="preserve">Tara Colleen Housen:
</t>
        </r>
        <r>
          <rPr>
            <sz val="12"/>
            <color rgb="FF000000"/>
            <rFont val="Aptos Narrow"/>
            <family val="2"/>
          </rPr>
          <t>From different study regarding same campaign https://www-tandfonline-com.libproxy.mit.edu/doi/pdf/10.1080/00102202.2011.581717?needAccess=true</t>
        </r>
      </text>
    </comment>
    <comment ref="O56" authorId="0" shapeId="0" xr:uid="{9406A512-4D97-F440-AC1A-30C9D3C6BCA1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no load
</t>
        </r>
      </text>
    </comment>
    <comment ref="O57" authorId="0" shapeId="0" xr:uid="{D48B26EF-71BA-5B47-8622-FA1D443DFC56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no load
</t>
        </r>
      </text>
    </comment>
    <comment ref="O58" authorId="0" shapeId="0" xr:uid="{6A34D0FC-C289-6948-83DB-596266286629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environmental control systems
</t>
        </r>
      </text>
    </comment>
    <comment ref="O59" authorId="0" shapeId="0" xr:uid="{FE11E97F-D39D-894A-A441-406E4E23423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environmental control systems
</t>
        </r>
      </text>
    </comment>
    <comment ref="O60" authorId="0" shapeId="0" xr:uid="{82B8281E-CD3B-A844-8EE0-2E1175711BE6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main engine start
</t>
        </r>
      </text>
    </comment>
    <comment ref="O61" authorId="0" shapeId="0" xr:uid="{13E55655-099B-434E-BC8A-E5F1C0933940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main engine start
</t>
        </r>
      </text>
    </comment>
    <comment ref="P91" authorId="0" shapeId="0" xr:uid="{576E2EE7-A82E-BD49-A846-F0098F36972D}">
      <text>
        <r>
          <rPr>
            <sz val="12"/>
            <color theme="1"/>
            <rFont val="Aptos Narrow"/>
            <family val="2"/>
            <scheme val="minor"/>
          </rPr>
          <t>Tara Colleen Housen:
Interpolated</t>
        </r>
      </text>
    </comment>
    <comment ref="P94" authorId="0" shapeId="0" xr:uid="{D409161B-2D31-0143-9C26-2E3DE01470E8}">
      <text>
        <r>
          <rPr>
            <sz val="12"/>
            <color theme="1"/>
            <rFont val="Aptos Narrow"/>
            <family val="2"/>
            <scheme val="minor"/>
          </rPr>
          <t>Tara Colleen Housen:
Interpolated</t>
        </r>
      </text>
    </comment>
    <comment ref="P95" authorId="0" shapeId="0" xr:uid="{799FB572-4299-7749-8BB8-78FAA4D65350}">
      <text>
        <r>
          <rPr>
            <sz val="12"/>
            <color theme="1"/>
            <rFont val="Aptos Narrow"/>
            <family val="2"/>
            <scheme val="minor"/>
          </rPr>
          <t xml:space="preserve">Tara Colleen Housen:
Interpolated
</t>
        </r>
      </text>
    </comment>
    <comment ref="P98" authorId="0" shapeId="0" xr:uid="{1D8EBB68-E75F-2A4C-8E7E-A43868C77AD0}">
      <text>
        <r>
          <rPr>
            <sz val="12"/>
            <color rgb="FF000000"/>
            <rFont val="Aptos Narrow"/>
            <family val="2"/>
          </rPr>
          <t xml:space="preserve">Tara Colleen Housen:
</t>
        </r>
        <r>
          <rPr>
            <sz val="12"/>
            <color rgb="FF000000"/>
            <rFont val="Aptos Narrow"/>
            <family val="2"/>
          </rPr>
          <t>Interpolated</t>
        </r>
      </text>
    </comment>
    <comment ref="P101" authorId="0" shapeId="0" xr:uid="{2B360587-C7E6-FA4A-B5C2-95581D32352F}">
      <text>
        <r>
          <rPr>
            <sz val="12"/>
            <color theme="1"/>
            <rFont val="Aptos Narrow"/>
            <family val="2"/>
            <scheme val="minor"/>
          </rPr>
          <t>Tara Colleen Housen:
Interpolated</t>
        </r>
      </text>
    </comment>
    <comment ref="P102" authorId="0" shapeId="0" xr:uid="{C094FDC2-0535-EA48-A57F-980C783563C7}">
      <text>
        <r>
          <rPr>
            <sz val="12"/>
            <color rgb="FF000000"/>
            <rFont val="Aptos Narrow"/>
            <family val="2"/>
          </rPr>
          <t xml:space="preserve">Tara Colleen Housen:
</t>
        </r>
        <r>
          <rPr>
            <sz val="12"/>
            <color rgb="FF000000"/>
            <rFont val="Aptos Narrow"/>
            <family val="2"/>
          </rPr>
          <t xml:space="preserve">Interpolated
</t>
        </r>
      </text>
    </comment>
    <comment ref="O137" authorId="0" shapeId="0" xr:uid="{74EBC042-63BE-004C-9C68-CFC90AA886B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full power
</t>
        </r>
      </text>
    </comment>
    <comment ref="O138" authorId="0" shapeId="0" xr:uid="{15C8EC1E-0EF7-064B-9C45-67112F665178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full power
</t>
        </r>
      </text>
    </comment>
    <comment ref="O139" authorId="0" shapeId="0" xr:uid="{93AAED39-E436-D644-AFF8-554025919DC7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full power
</t>
        </r>
      </text>
    </comment>
    <comment ref="O140" authorId="0" shapeId="0" xr:uid="{EB9080C5-677E-B443-8A63-EFC5C0985B5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full power
</t>
        </r>
      </text>
    </comment>
    <comment ref="O141" authorId="0" shapeId="0" xr:uid="{0D7420DA-581F-0C49-9760-2BD2675B5EA7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idle
</t>
        </r>
      </text>
    </comment>
    <comment ref="O142" authorId="0" shapeId="0" xr:uid="{7F969232-479D-574F-AD53-09836C7CB93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idle
</t>
        </r>
      </text>
    </comment>
    <comment ref="O143" authorId="0" shapeId="0" xr:uid="{5F8E605D-0351-E242-97BE-74841231B28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idle
</t>
        </r>
      </text>
    </comment>
    <comment ref="O144" authorId="0" shapeId="0" xr:uid="{4572895A-50DE-B64A-A4A0-2C4C6EBD505E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idle
</t>
        </r>
      </text>
    </comment>
    <comment ref="D145" authorId="0" shapeId="0" xr:uid="{DEBEB2E3-1E35-B349-BCB5-519E9FF120D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medium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O145" authorId="0" shapeId="0" xr:uid="{E1736BE4-3E2F-7D4C-B195-394EFA3ECAB0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CHECK!!!!!!</t>
        </r>
      </text>
    </comment>
    <comment ref="D146" authorId="0" shapeId="0" xr:uid="{87CA42F8-5036-2449-8017-445F28D672B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medium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47" authorId="0" shapeId="0" xr:uid="{E0E10DA0-D0BD-7848-8E71-9FBB9D31043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medium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48" authorId="0" shapeId="0" xr:uid="{BE46EA0A-6517-9B4D-BF04-87087637000D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eg no 2 high thrust</t>
        </r>
      </text>
    </comment>
    <comment ref="D149" authorId="0" shapeId="0" xr:uid="{7A27D289-9B2A-EB4F-A9F2-FB2D17A5CDDE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eg no 2 high thrust</t>
        </r>
      </text>
    </comment>
    <comment ref="D150" authorId="0" shapeId="0" xr:uid="{75FBFF85-287B-2A48-8743-7B3A9BB91E8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eg no 2 high thrust</t>
        </r>
      </text>
    </comment>
    <comment ref="D151" authorId="0" shapeId="0" xr:uid="{0ADE5E24-3831-5F4B-8E47-5742D1D62235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high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52" authorId="0" shapeId="0" xr:uid="{C2A448D4-9BAB-D847-93D1-1EA6ED4E29CD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high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53" authorId="0" shapeId="0" xr:uid="{B20E8631-2477-304C-B921-1EC0237AB142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high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54" authorId="0" shapeId="0" xr:uid="{3FEC0C73-A2E6-E64F-89E3-DDFE6999CA9F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medium thrust
</t>
        </r>
      </text>
    </comment>
    <comment ref="D155" authorId="0" shapeId="0" xr:uid="{5BFB1D90-5C61-9649-AA34-E37109103646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medium thrust
</t>
        </r>
      </text>
    </comment>
    <comment ref="D156" authorId="0" shapeId="0" xr:uid="{F1A9F536-665A-864B-BDC5-8E5D28A442D6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medium thrust
</t>
        </r>
      </text>
    </comment>
    <comment ref="D157" authorId="0" shapeId="0" xr:uid="{7381DA7A-8313-0D49-81AC-65708ABEC20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low thrust
</t>
        </r>
      </text>
    </comment>
    <comment ref="D158" authorId="0" shapeId="0" xr:uid="{C1EA9F5C-2819-F94D-A9FC-7C8E457CD9B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low thrust
</t>
        </r>
      </text>
    </comment>
    <comment ref="D159" authorId="0" shapeId="0" xr:uid="{D0DDD766-F5D7-9940-906D-C9CB20A1FA5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low thrust
</t>
        </r>
      </text>
    </comment>
    <comment ref="D160" authorId="0" shapeId="0" xr:uid="{A3878B4C-040E-A843-926E-45576044147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low thrust
</t>
        </r>
      </text>
    </comment>
    <comment ref="AX256" authorId="0" shapeId="0" xr:uid="{988160EB-55E7-7041-9CC9-97A619954976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57" authorId="0" shapeId="0" xr:uid="{D5CC9B89-2626-D444-8EB9-735B2FBA71AA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58" authorId="0" shapeId="0" xr:uid="{04F44ED1-EA84-F44E-986F-48EB5B1ADDAC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59" authorId="0" shapeId="0" xr:uid="{565DBA95-EA26-6743-87F5-F3387D37AB6D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0" authorId="0" shapeId="0" xr:uid="{B5470926-D558-314A-8E4A-ACB196EB6ECC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1" authorId="0" shapeId="0" xr:uid="{9F937A09-A3EB-A042-8148-8B4563B62BB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2" authorId="0" shapeId="0" xr:uid="{010CDE3E-E00E-3F46-8685-6ECB92457889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3" authorId="0" shapeId="0" xr:uid="{D9682044-A4C2-FA4B-A52C-4C89E3D1BCE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4" authorId="0" shapeId="0" xr:uid="{D8244066-EBCD-5648-B487-08C3343BE765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5" authorId="0" shapeId="0" xr:uid="{8C7ACDF3-3961-E944-8B6E-CCA5DD727BCD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6" authorId="0" shapeId="0" xr:uid="{99E802CA-22AA-5341-845A-BA7358384CAA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7" authorId="0" shapeId="0" xr:uid="{D642494E-F0B5-454B-B9E4-559F34378E70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8" authorId="0" shapeId="0" xr:uid="{EC07B82B-8809-654D-91AE-4F0652FAEE8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69" authorId="0" shapeId="0" xr:uid="{20C3315C-38F6-B246-9829-5E1FCEF6E62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70" authorId="0" shapeId="0" xr:uid="{3B0EBB6C-DD9E-B84B-9600-BEE6A83DAB4A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71" authorId="0" shapeId="0" xr:uid="{4D630D77-0BDC-D045-A1CE-28D9C31AC61F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72" authorId="0" shapeId="0" xr:uid="{253E7BF0-26EB-004C-8ECC-5C68BA2A9D07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73" authorId="0" shapeId="0" xr:uid="{B6D3B843-1572-304A-B8E4-E89B7050D03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74" authorId="0" shapeId="0" xr:uid="{E9B0DC8D-CB49-7841-A416-E6E66A4BDCB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75" authorId="0" shapeId="0" xr:uid="{39B9A965-EDAF-1940-92A9-A38429B733DF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  <comment ref="AX276" authorId="0" shapeId="0" xr:uid="{93A811A2-8DEA-B448-A658-2035C2C182A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delta H = 0.7% D5291 or delta H = 0.78% D3343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Colleen Housen</author>
  </authors>
  <commentList>
    <comment ref="H101" authorId="0" shapeId="0" xr:uid="{52B0F2C0-0470-F349-9DE0-DBA76730F054}">
      <text>
        <r>
          <rPr>
            <sz val="12"/>
            <color rgb="FF000000"/>
            <rFont val="Aptos Narrow"/>
            <family val="2"/>
          </rPr>
          <t xml:space="preserve">Tara Colleen Housen:
</t>
        </r>
        <r>
          <rPr>
            <sz val="12"/>
            <color rgb="FF000000"/>
            <rFont val="Aptos Narrow"/>
            <family val="2"/>
          </rPr>
          <t>From different study regarding same campaign https://www-tandfonline-com.libproxy.mit.edu/doi/pdf/10.1080/00102202.2011.581717?needAccess=true</t>
        </r>
      </text>
    </comment>
    <comment ref="L159" authorId="0" shapeId="0" xr:uid="{23630DC2-AC32-F345-BF90-80EC3C4FD02E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no load
</t>
        </r>
      </text>
    </comment>
    <comment ref="L160" authorId="0" shapeId="0" xr:uid="{04520668-EC96-3A42-B12E-B6A497D2FE3A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no load
</t>
        </r>
      </text>
    </comment>
    <comment ref="L161" authorId="0" shapeId="0" xr:uid="{DC63E343-4826-D147-97BC-967B5FBEB37A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environmental control systems
</t>
        </r>
      </text>
    </comment>
    <comment ref="L162" authorId="0" shapeId="0" xr:uid="{CA31EA78-BD19-544D-86AB-3ACE9C66D770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environmental control systems
</t>
        </r>
      </text>
    </comment>
    <comment ref="L163" authorId="0" shapeId="0" xr:uid="{3E1F84DD-A25C-294F-B310-03ED32069A7D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main engine start
</t>
        </r>
      </text>
    </comment>
    <comment ref="L164" authorId="0" shapeId="0" xr:uid="{1BAAA106-7272-C14E-AB71-FBB4700AF69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main engine start
</t>
        </r>
      </text>
    </comment>
    <comment ref="M198" authorId="0" shapeId="0" xr:uid="{745BD208-DBC6-0445-B3D0-3E9B5150D579}">
      <text>
        <r>
          <rPr>
            <sz val="12"/>
            <color theme="1"/>
            <rFont val="Aptos Narrow"/>
            <family val="2"/>
            <scheme val="minor"/>
          </rPr>
          <t>Tara Colleen Housen:
Interpolated</t>
        </r>
      </text>
    </comment>
    <comment ref="M201" authorId="0" shapeId="0" xr:uid="{B4A543EA-2412-474B-A86F-9F1D6D38FD2C}">
      <text>
        <r>
          <rPr>
            <sz val="12"/>
            <color theme="1"/>
            <rFont val="Aptos Narrow"/>
            <family val="2"/>
            <scheme val="minor"/>
          </rPr>
          <t>Tara Colleen Housen:
Interpolated</t>
        </r>
      </text>
    </comment>
    <comment ref="M202" authorId="0" shapeId="0" xr:uid="{E10447C8-7F03-8240-AB5A-32827F0DE8F3}">
      <text>
        <r>
          <rPr>
            <sz val="12"/>
            <color theme="1"/>
            <rFont val="Aptos Narrow"/>
            <family val="2"/>
            <scheme val="minor"/>
          </rPr>
          <t xml:space="preserve">Tara Colleen Housen:
Interpolated
</t>
        </r>
      </text>
    </comment>
    <comment ref="M205" authorId="0" shapeId="0" xr:uid="{6C220CC3-8015-A24E-80E8-D759785F6E67}">
      <text>
        <r>
          <rPr>
            <sz val="12"/>
            <color rgb="FF000000"/>
            <rFont val="Aptos Narrow"/>
            <family val="2"/>
          </rPr>
          <t xml:space="preserve">Tara Colleen Housen:
</t>
        </r>
        <r>
          <rPr>
            <sz val="12"/>
            <color rgb="FF000000"/>
            <rFont val="Aptos Narrow"/>
            <family val="2"/>
          </rPr>
          <t>Interpolated</t>
        </r>
      </text>
    </comment>
    <comment ref="M208" authorId="0" shapeId="0" xr:uid="{2B85F9DB-332C-374E-908D-2BB514BC986E}">
      <text>
        <r>
          <rPr>
            <sz val="12"/>
            <color theme="1"/>
            <rFont val="Aptos Narrow"/>
            <family val="2"/>
            <scheme val="minor"/>
          </rPr>
          <t>Tara Colleen Housen:
Interpolated</t>
        </r>
      </text>
    </comment>
    <comment ref="M209" authorId="0" shapeId="0" xr:uid="{28A2DF46-8E83-6740-AB05-F27B38409E5E}">
      <text>
        <r>
          <rPr>
            <sz val="12"/>
            <color rgb="FF000000"/>
            <rFont val="Aptos Narrow"/>
            <family val="2"/>
          </rPr>
          <t xml:space="preserve">Tara Colleen Housen:
</t>
        </r>
        <r>
          <rPr>
            <sz val="12"/>
            <color rgb="FF000000"/>
            <rFont val="Aptos Narrow"/>
            <family val="2"/>
          </rPr>
          <t xml:space="preserve">Interpolated
</t>
        </r>
      </text>
    </comment>
    <comment ref="L244" authorId="0" shapeId="0" xr:uid="{49140D91-8BE0-E34F-B952-93850B4F334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full power
</t>
        </r>
      </text>
    </comment>
    <comment ref="L245" authorId="0" shapeId="0" xr:uid="{C968D53A-11C8-2E49-8815-CA7FBCB79B46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full power
</t>
        </r>
      </text>
    </comment>
    <comment ref="L246" authorId="0" shapeId="0" xr:uid="{4309E562-FD51-2346-B22B-D2647F8C7488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full power
</t>
        </r>
      </text>
    </comment>
    <comment ref="L247" authorId="0" shapeId="0" xr:uid="{92CF0F78-E259-0E41-8202-412B1576624A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full power
</t>
        </r>
      </text>
    </comment>
    <comment ref="L248" authorId="0" shapeId="0" xr:uid="{DC9C6677-ABA1-AE4D-BA5E-B203D411435C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idle
</t>
        </r>
      </text>
    </comment>
    <comment ref="L249" authorId="0" shapeId="0" xr:uid="{B728A38B-AE70-F443-B81A-A5ED490A5E21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idle
</t>
        </r>
      </text>
    </comment>
    <comment ref="L250" authorId="0" shapeId="0" xr:uid="{9A34E5CB-2736-2B47-9351-BB501CAB75A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idle
</t>
        </r>
      </text>
    </comment>
    <comment ref="L251" authorId="0" shapeId="0" xr:uid="{84EE77B2-71F7-394B-88B6-F9EF51732D1C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idle
</t>
        </r>
      </text>
    </comment>
    <comment ref="D252" authorId="0" shapeId="0" xr:uid="{F0D79C0C-12B2-B94E-B97E-7B564865384C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medium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252" authorId="0" shapeId="0" xr:uid="{A2069A9D-9864-F747-B5E8-9DD7667AD09D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Temp is a guess!!!!</t>
        </r>
      </text>
    </comment>
    <comment ref="D253" authorId="0" shapeId="0" xr:uid="{14811CFF-58E3-7542-B431-CD0BF2DE40AE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medium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54" authorId="0" shapeId="0" xr:uid="{58CCDA43-ECA1-004B-BCC3-A59947A8BF3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medium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55" authorId="0" shapeId="0" xr:uid="{11B5471E-F76C-1045-94DA-4BB519C62EB4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eg no 2 high thrust</t>
        </r>
      </text>
    </comment>
    <comment ref="D256" authorId="0" shapeId="0" xr:uid="{5058F4AE-DD03-2747-A7DD-2AD94526D347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eg no 2 high thrust</t>
        </r>
      </text>
    </comment>
    <comment ref="D257" authorId="0" shapeId="0" xr:uid="{E6A5D407-E008-1747-A4B7-FE7BAFD8971D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eg no 2 high thrust</t>
        </r>
      </text>
    </comment>
    <comment ref="D258" authorId="0" shapeId="0" xr:uid="{1BDEE009-683E-9E41-9EAD-14015CFEF83D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high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59" authorId="0" shapeId="0" xr:uid="{7CBA9D5A-E9BB-F144-A654-A4040A9B8C21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high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60" authorId="0" shapeId="0" xr:uid="{26CEDC43-ABE2-E24D-A92D-F3F6552E189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high thrust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61" authorId="0" shapeId="0" xr:uid="{1B49B31A-87B3-EB4A-81CC-37D013D08107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medium thrust
</t>
        </r>
      </text>
    </comment>
    <comment ref="D262" authorId="0" shapeId="0" xr:uid="{B04B33E5-9A22-3645-BF4F-90DF57DD4AE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medium thrust
</t>
        </r>
      </text>
    </comment>
    <comment ref="D263" authorId="0" shapeId="0" xr:uid="{4CC0E27C-CF69-8A46-A846-32E746105D3E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medium thrust
</t>
        </r>
      </text>
    </comment>
    <comment ref="D264" authorId="0" shapeId="0" xr:uid="{032E5497-AEB0-594E-931A-746AB1CCF6A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low thrust
</t>
        </r>
      </text>
    </comment>
    <comment ref="D265" authorId="0" shapeId="0" xr:uid="{4A9B2035-265D-324F-A553-982C456E8BC3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2 low thrust
</t>
        </r>
      </text>
    </comment>
    <comment ref="D266" authorId="0" shapeId="0" xr:uid="{D3F4B3BA-A68C-C148-8E73-A8ED16E567E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low thrust
</t>
        </r>
      </text>
    </comment>
    <comment ref="D267" authorId="0" shapeId="0" xr:uid="{6E858D81-FD3C-574F-97EE-3E17FF27C0CB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eg no 3 low thrust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<sst xmlns="http://schemas.openxmlformats.org/spreadsheetml/2006/main" count="7564" uniqueCount="242">
  <si>
    <t>Mission</t>
  </si>
  <si>
    <t>APEX</t>
  </si>
  <si>
    <t>AAFEX-I</t>
  </si>
  <si>
    <t>AAFEX-II</t>
  </si>
  <si>
    <t>ACCESS-I</t>
  </si>
  <si>
    <t>Campaign</t>
  </si>
  <si>
    <t>Source</t>
  </si>
  <si>
    <t>Fuel</t>
  </si>
  <si>
    <t>JP-8</t>
  </si>
  <si>
    <t>Sulfur</t>
  </si>
  <si>
    <t>Aromatic</t>
  </si>
  <si>
    <t>FT2</t>
  </si>
  <si>
    <t>FT1</t>
  </si>
  <si>
    <t>BlendFT2</t>
  </si>
  <si>
    <t>BlendFT1</t>
  </si>
  <si>
    <t>HRJ</t>
  </si>
  <si>
    <t>FTS</t>
  </si>
  <si>
    <t>FT</t>
  </si>
  <si>
    <t>BlendHRJ</t>
  </si>
  <si>
    <t>BlendHEFA</t>
  </si>
  <si>
    <t>Engine</t>
  </si>
  <si>
    <t>Aromatics</t>
  </si>
  <si>
    <t>Naph</t>
  </si>
  <si>
    <t>TempC</t>
  </si>
  <si>
    <t>NA</t>
  </si>
  <si>
    <t>Hydrogen</t>
  </si>
  <si>
    <t>Thrust</t>
  </si>
  <si>
    <t>HotEIn</t>
  </si>
  <si>
    <t>nvPM EIn</t>
  </si>
  <si>
    <t>VolEIn</t>
  </si>
  <si>
    <t>ColdEIn</t>
  </si>
  <si>
    <t>FF</t>
  </si>
  <si>
    <t>Moore (2015)</t>
  </si>
  <si>
    <t>Markl (2024)</t>
  </si>
  <si>
    <t>ECLIFIII</t>
  </si>
  <si>
    <t>XWB-84</t>
  </si>
  <si>
    <t>Cruise</t>
  </si>
  <si>
    <t>Voigt (2021)</t>
  </si>
  <si>
    <t>ECLIF I &amp; ECLIF II/ND-MAX</t>
  </si>
  <si>
    <t>V2527-A5</t>
  </si>
  <si>
    <t>Ref Jet A</t>
  </si>
  <si>
    <t>100% HEFA</t>
  </si>
  <si>
    <t>Ref1 Jet A</t>
  </si>
  <si>
    <t>Ref2 Jet A</t>
  </si>
  <si>
    <t>Ref3 Jet A</t>
  </si>
  <si>
    <t>Ref4 Jet A</t>
  </si>
  <si>
    <t>Brauer (2021)</t>
  </si>
  <si>
    <t>ECLIF II/ND-MAX</t>
  </si>
  <si>
    <t>Lobo (2011)</t>
  </si>
  <si>
    <t>ARI &amp; AFRL</t>
  </si>
  <si>
    <t>Jet-A1</t>
  </si>
  <si>
    <t>20% FAME/80% Jet-A1</t>
  </si>
  <si>
    <t>40% FAME/60% Jet-A1</t>
  </si>
  <si>
    <t>50% F-T/50% Jet-A1</t>
  </si>
  <si>
    <t>100% F-T</t>
  </si>
  <si>
    <t>CFM56-7B</t>
  </si>
  <si>
    <t>ΔnvPM Ein avg</t>
  </si>
  <si>
    <t>Timko (2010)</t>
  </si>
  <si>
    <t>PW308</t>
  </si>
  <si>
    <t>50% 50% blend</t>
  </si>
  <si>
    <t>Corporan (2010)</t>
  </si>
  <si>
    <t>F117-PW-100</t>
  </si>
  <si>
    <t>50/50 Blend JP-8b/HRJ (tallow)</t>
  </si>
  <si>
    <t>50/25/25 Blend JP-8a/HRJ (tallow)/FT (coal)</t>
  </si>
  <si>
    <t>Lobo (2015)</t>
  </si>
  <si>
    <t>Brem (2015)</t>
  </si>
  <si>
    <t>A-PRIDE 7</t>
  </si>
  <si>
    <t>Jet-A1 + 150 Solvesso Additive</t>
  </si>
  <si>
    <t>Jet-A1 + 150ND Solvesso Additive</t>
  </si>
  <si>
    <t>UCO-HEFA</t>
  </si>
  <si>
    <t>GTCP85 APU</t>
  </si>
  <si>
    <t>ΔAromatics</t>
  </si>
  <si>
    <t>ΔNaph</t>
  </si>
  <si>
    <t>ΔSulfur</t>
  </si>
  <si>
    <t>ΔThrust</t>
  </si>
  <si>
    <t>ΔFF</t>
  </si>
  <si>
    <t>Temp (K)</t>
  </si>
  <si>
    <t>Durdina (2021)</t>
  </si>
  <si>
    <t>EMPAIREX 1</t>
  </si>
  <si>
    <t>Jet A-1</t>
  </si>
  <si>
    <t>32% HEFA blend</t>
  </si>
  <si>
    <t>CF700-2D2</t>
  </si>
  <si>
    <t>Snijders (2011)</t>
  </si>
  <si>
    <t>Delft</t>
  </si>
  <si>
    <t>Chan (2015)</t>
  </si>
  <si>
    <t>GARDN</t>
  </si>
  <si>
    <t>JT15D-4</t>
  </si>
  <si>
    <t>Base F1</t>
  </si>
  <si>
    <t>10% F1</t>
  </si>
  <si>
    <t>20% F1</t>
  </si>
  <si>
    <t>30% F1</t>
  </si>
  <si>
    <t>50% F1</t>
  </si>
  <si>
    <t>F2</t>
  </si>
  <si>
    <t>10% F2</t>
  </si>
  <si>
    <t>20% F2</t>
  </si>
  <si>
    <t>30% F2</t>
  </si>
  <si>
    <t>50% F2</t>
  </si>
  <si>
    <t>100% CH SKA</t>
  </si>
  <si>
    <t>50% HEFA SKA</t>
  </si>
  <si>
    <t>100% FT SKA</t>
  </si>
  <si>
    <t>Lobo (2012)</t>
  </si>
  <si>
    <t>APU</t>
  </si>
  <si>
    <t>FTL</t>
  </si>
  <si>
    <t>GTL</t>
  </si>
  <si>
    <t>50 GTL: 50 Jet-A1</t>
  </si>
  <si>
    <t>ΔHydrogen</t>
  </si>
  <si>
    <t>SSF1 (59% Ref1 + 41% FT)</t>
  </si>
  <si>
    <t>SAF1 (51% Ref3 + HEFA 49%)</t>
  </si>
  <si>
    <t>SAF2 (70% Ref4 + HEFA 30%)</t>
  </si>
  <si>
    <t>Ground level or cruise</t>
  </si>
  <si>
    <t>Ground</t>
  </si>
  <si>
    <t>Probe distance (m)</t>
  </si>
  <si>
    <t>CFM56-2C1</t>
  </si>
  <si>
    <t>nvPM EIn avg</t>
  </si>
  <si>
    <t>vPM EIn avg</t>
  </si>
  <si>
    <t>Total PM EIn avg</t>
  </si>
  <si>
    <t>nvPM EIn std dev</t>
  </si>
  <si>
    <t>vPM EIn std dev</t>
  </si>
  <si>
    <t>Total PM EIn std dev</t>
  </si>
  <si>
    <t>Morre (2017)</t>
  </si>
  <si>
    <t>Medium sulfur Jet A</t>
  </si>
  <si>
    <t>Low sulfur Jet A</t>
  </si>
  <si>
    <t>50% HEFA 50% Low sulfur Jet A</t>
  </si>
  <si>
    <t>ACCESS-II</t>
  </si>
  <si>
    <t>ΔvPM Ein avg</t>
  </si>
  <si>
    <t>ΔTotal PM EIn avg</t>
  </si>
  <si>
    <t>mBC</t>
  </si>
  <si>
    <t>Org_Fract</t>
  </si>
  <si>
    <t>SO4_Fract</t>
  </si>
  <si>
    <t>mOrg</t>
  </si>
  <si>
    <t>mSO4</t>
  </si>
  <si>
    <t>ColdGMD</t>
  </si>
  <si>
    <t>ColdVMD</t>
  </si>
  <si>
    <t>HotGMD</t>
  </si>
  <si>
    <t>HotVMD</t>
  </si>
  <si>
    <t>nvPM number geometric diam</t>
  </si>
  <si>
    <t>Total aerosol number geometric diam</t>
  </si>
  <si>
    <t>ΔmBC</t>
  </si>
  <si>
    <t>ΔOrg Frac</t>
  </si>
  <si>
    <t>ΔSO4 Frac</t>
  </si>
  <si>
    <t>ΔmOrg</t>
  </si>
  <si>
    <t>ΔmSO4</t>
  </si>
  <si>
    <t>ΔnvPM number geometric diam</t>
  </si>
  <si>
    <t>Δtotal aerosol number geometric diam</t>
  </si>
  <si>
    <t>nPoints</t>
  </si>
  <si>
    <t>ID</t>
  </si>
  <si>
    <t>ColdV</t>
  </si>
  <si>
    <t>HotV</t>
  </si>
  <si>
    <t>VolV</t>
  </si>
  <si>
    <t>Engine2</t>
  </si>
  <si>
    <t>Engine3</t>
  </si>
  <si>
    <t>N1</t>
  </si>
  <si>
    <t>N2</t>
  </si>
  <si>
    <t>EGT</t>
  </si>
  <si>
    <t>TempK</t>
  </si>
  <si>
    <t>Temp</t>
  </si>
  <si>
    <t>relative mBC</t>
  </si>
  <si>
    <t>relative aromatics</t>
  </si>
  <si>
    <t>relative naph</t>
  </si>
  <si>
    <t>relative sulfur</t>
  </si>
  <si>
    <t>relative tempC</t>
  </si>
  <si>
    <t>relative TempK</t>
  </si>
  <si>
    <t>relative thrust</t>
  </si>
  <si>
    <t>relative FF</t>
  </si>
  <si>
    <t>relative nvPM EIn</t>
  </si>
  <si>
    <t>relative vPM EIn</t>
  </si>
  <si>
    <t>relative total PM EIn</t>
  </si>
  <si>
    <t>relative mSO4</t>
  </si>
  <si>
    <t>relative Org Frac</t>
  </si>
  <si>
    <t>relative SO4 Frac</t>
  </si>
  <si>
    <t>relative nvPM number geometric diam</t>
  </si>
  <si>
    <t>relative total aerosol number geometric diam</t>
  </si>
  <si>
    <t>Total EI number geometric diam</t>
  </si>
  <si>
    <t>RAPTOR</t>
  </si>
  <si>
    <t>Jet-A1 Reduced aromatics</t>
  </si>
  <si>
    <t>Jet-A1 Low sulfur</t>
  </si>
  <si>
    <t>Jet-A1 Low sulfur, reduced aromatics</t>
  </si>
  <si>
    <t>Crayford (2022)</t>
  </si>
  <si>
    <t>SAMPLE 4</t>
  </si>
  <si>
    <t>AVIATOR</t>
  </si>
  <si>
    <t>vPM EIn</t>
  </si>
  <si>
    <t>Total PM EIn</t>
  </si>
  <si>
    <t>ALF507-1H</t>
  </si>
  <si>
    <t>ALF502-R5</t>
  </si>
  <si>
    <t>T500</t>
  </si>
  <si>
    <t>Reference fuel</t>
  </si>
  <si>
    <t>Helper key</t>
  </si>
  <si>
    <t>Climb</t>
  </si>
  <si>
    <t>Thrust setting</t>
  </si>
  <si>
    <t>Idle</t>
  </si>
  <si>
    <t>Idle (min)</t>
  </si>
  <si>
    <t>Idle (approach)</t>
  </si>
  <si>
    <t>Intermediate</t>
  </si>
  <si>
    <t>Mid-power</t>
  </si>
  <si>
    <t>Mid-high power</t>
  </si>
  <si>
    <t>Take-off</t>
  </si>
  <si>
    <t>High power</t>
  </si>
  <si>
    <t>Mid power</t>
  </si>
  <si>
    <t>relative Hydrogen</t>
  </si>
  <si>
    <t>Ref Hydrogen</t>
  </si>
  <si>
    <t>Δhydrogen</t>
  </si>
  <si>
    <t>Eg no 3 medium power</t>
  </si>
  <si>
    <t>Eg no 2 medium power</t>
  </si>
  <si>
    <t>Eg no 2 low power</t>
  </si>
  <si>
    <t>Eg no 3 low power</t>
  </si>
  <si>
    <t>Eg no 2 high power</t>
  </si>
  <si>
    <t>Eg no 3 high power</t>
  </si>
  <si>
    <t>Eg no 2 Idle (min)</t>
  </si>
  <si>
    <t>Eg no 2 Idle (approach)</t>
  </si>
  <si>
    <t>Eg no 2 Intermediate</t>
  </si>
  <si>
    <t>Eg no 2 Mid power</t>
  </si>
  <si>
    <t>Eg no 2 Climb</t>
  </si>
  <si>
    <t>Eg no 3 Take-off</t>
  </si>
  <si>
    <t>Eg no 3 Idle (min)</t>
  </si>
  <si>
    <t>Eg no 3 Idle (approach)</t>
  </si>
  <si>
    <t>Eg no 3 Intermediate</t>
  </si>
  <si>
    <t>Eg no 3 Mid power</t>
  </si>
  <si>
    <t>Eg no 3 Climb</t>
  </si>
  <si>
    <t>SAF Blend</t>
  </si>
  <si>
    <t>Approach</t>
  </si>
  <si>
    <t>Schripp</t>
  </si>
  <si>
    <t>ECLIF2/ND-MAX</t>
  </si>
  <si>
    <t>Ref3</t>
  </si>
  <si>
    <t>SAJF1</t>
  </si>
  <si>
    <t>SAJF2</t>
  </si>
  <si>
    <t>SAJF3</t>
  </si>
  <si>
    <t>Low power</t>
  </si>
  <si>
    <t>Low-mid power</t>
  </si>
  <si>
    <t>ECLIF3</t>
  </si>
  <si>
    <t>FF sea level</t>
  </si>
  <si>
    <t>Hydrogen measurement technique</t>
  </si>
  <si>
    <t>ASTM D7171</t>
  </si>
  <si>
    <t>ASTM D3343</t>
  </si>
  <si>
    <t>ASTM D5291</t>
  </si>
  <si>
    <t>GC x GC</t>
  </si>
  <si>
    <t>Unknown</t>
  </si>
  <si>
    <t>Voigt</t>
  </si>
  <si>
    <t>VOLCAN</t>
  </si>
  <si>
    <t>CFM LEAP-1A (Lean burn)</t>
  </si>
  <si>
    <t>CFM LEAP-1A (Forced rich burn)</t>
  </si>
  <si>
    <t>HEFA</t>
  </si>
  <si>
    <t>ASTM D3701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</si>
</sst>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quotePrefix="1"/>
    <xf numFmtId="11" fontId="0" fillId="0" borderId="0" xfId="0" quotePrefix="1" applyNumberFormat="1"/>
    <xf numFmtId="11" fontId="0" fillId="0" borderId="0" xfId="0" applyNumberFormat="1"/>
    <xf numFmtId="0" fontId="4" fillId="0" borderId="0" xfId="0" applyFon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46" fontId="0" fillId="0" borderId="0" xfId="0" applyNumberFormat="1"/>
    <xf numFmtId="0" fontId="10" fillId="0" borderId="0" xfId="0" applyFont="1"/>
    <xf numFmtId="2" fontId="0" fillId="0" borderId="0" xfId="0" applyNumberFormat="1"/>
    <xf numFmtId="2" fontId="2" fillId="0" borderId="0" xfId="0" applyNumberFormat="1" applyFont="1"/>
    <xf numFmtId="0" fontId="1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'Individual data from NASA'!$M$1</c:f>
              <c:strCache>
                <c:ptCount val="1"/>
                <c:pt idx="0">
                  <c:v>nvPM EIn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'Individual data from NASA'!$L$2:$L$454</c:f>
              <c:strCache>
                <c:ptCount val="453"/>
                <c:pt idx="0">
                  <c:v>NA</c:v>
                </c:pt>
                <c:pt idx="1">
                  <c:v>0.098</c:v>
                </c:pt>
                <c:pt idx="2">
                  <c:v>0.094</c:v>
                </c:pt>
                <c:pt idx="3">
                  <c:v>0.098</c:v>
                </c:pt>
                <c:pt idx="4">
                  <c:v>0.096</c:v>
                </c:pt>
                <c:pt idx="5">
                  <c:v>0.1</c:v>
                </c:pt>
                <c:pt idx="6">
                  <c:v>0.093</c:v>
                </c:pt>
                <c:pt idx="7">
                  <c:v>0.092</c:v>
                </c:pt>
                <c:pt idx="8">
                  <c:v>0.096</c:v>
                </c:pt>
                <c:pt idx="9">
                  <c:v>0.096</c:v>
                </c:pt>
                <c:pt idx="10">
                  <c:v>0.096</c:v>
                </c:pt>
                <c:pt idx="11">
                  <c:v>0.097</c:v>
                </c:pt>
                <c:pt idx="12">
                  <c:v>0.097</c:v>
                </c:pt>
                <c:pt idx="13">
                  <c:v>0.097</c:v>
                </c:pt>
                <c:pt idx="14">
                  <c:v>0.095</c:v>
                </c:pt>
                <c:pt idx="15">
                  <c:v>0.096</c:v>
                </c:pt>
                <c:pt idx="16">
                  <c:v>0.094</c:v>
                </c:pt>
                <c:pt idx="17">
                  <c:v>0.096</c:v>
                </c:pt>
                <c:pt idx="18">
                  <c:v>NA</c:v>
                </c:pt>
                <c:pt idx="19">
                  <c:v>NA</c:v>
                </c:pt>
                <c:pt idx="20">
                  <c:v>0.124</c:v>
                </c:pt>
                <c:pt idx="21">
                  <c:v>0.152</c:v>
                </c:pt>
                <c:pt idx="22">
                  <c:v>0.124</c:v>
                </c:pt>
                <c:pt idx="23">
                  <c:v>0.152</c:v>
                </c:pt>
                <c:pt idx="24">
                  <c:v>0.124</c:v>
                </c:pt>
                <c:pt idx="25">
                  <c:v>0.152</c:v>
                </c:pt>
                <c:pt idx="26">
                  <c:v>0.137</c:v>
                </c:pt>
                <c:pt idx="27">
                  <c:v>0.124</c:v>
                </c:pt>
                <c:pt idx="28">
                  <c:v>0.138</c:v>
                </c:pt>
                <c:pt idx="29">
                  <c:v>0.111</c:v>
                </c:pt>
                <c:pt idx="30">
                  <c:v>0.124</c:v>
                </c:pt>
                <c:pt idx="31">
                  <c:v>0.138</c:v>
                </c:pt>
                <c:pt idx="32">
                  <c:v>0.151</c:v>
                </c:pt>
                <c:pt idx="33">
                  <c:v>0.112</c:v>
                </c:pt>
                <c:pt idx="34">
                  <c:v>0.14</c:v>
                </c:pt>
                <c:pt idx="35">
                  <c:v>0.138</c:v>
                </c:pt>
                <c:pt idx="36">
                  <c:v>0.138</c:v>
                </c:pt>
                <c:pt idx="37">
                  <c:v>0.123</c:v>
                </c:pt>
                <c:pt idx="38">
                  <c:v>0.137</c:v>
                </c:pt>
                <c:pt idx="39">
                  <c:v>0.123</c:v>
                </c:pt>
                <c:pt idx="40">
                  <c:v>0.137</c:v>
                </c:pt>
                <c:pt idx="41">
                  <c:v>0.137</c:v>
                </c:pt>
                <c:pt idx="42">
                  <c:v>0.137</c:v>
                </c:pt>
                <c:pt idx="43">
                  <c:v>0.138</c:v>
                </c:pt>
                <c:pt idx="44">
                  <c:v>0.14</c:v>
                </c:pt>
                <c:pt idx="45">
                  <c:v>0.112</c:v>
                </c:pt>
                <c:pt idx="46">
                  <c:v>0.14</c:v>
                </c:pt>
                <c:pt idx="47">
                  <c:v>0.137</c:v>
                </c:pt>
                <c:pt idx="48">
                  <c:v>0.125</c:v>
                </c:pt>
                <c:pt idx="49">
                  <c:v>0.139</c:v>
                </c:pt>
                <c:pt idx="50">
                  <c:v>0.137</c:v>
                </c:pt>
                <c:pt idx="51">
                  <c:v>0.122</c:v>
                </c:pt>
                <c:pt idx="52">
                  <c:v>0.136</c:v>
                </c:pt>
                <c:pt idx="53">
                  <c:v>NA</c:v>
                </c:pt>
                <c:pt idx="54">
                  <c:v>0.136</c:v>
                </c:pt>
                <c:pt idx="55">
                  <c:v>0.344</c:v>
                </c:pt>
                <c:pt idx="56">
                  <c:v>0.358</c:v>
                </c:pt>
                <c:pt idx="57">
                  <c:v>0.151</c:v>
                </c:pt>
                <c:pt idx="58">
                  <c:v>0.138</c:v>
                </c:pt>
                <c:pt idx="59">
                  <c:v>0.116</c:v>
                </c:pt>
                <c:pt idx="60">
                  <c:v>0.116</c:v>
                </c:pt>
                <c:pt idx="61">
                  <c:v>0.136</c:v>
                </c:pt>
                <c:pt idx="62">
                  <c:v>0.136</c:v>
                </c:pt>
                <c:pt idx="63">
                  <c:v>0.109</c:v>
                </c:pt>
                <c:pt idx="64">
                  <c:v>0.123</c:v>
                </c:pt>
                <c:pt idx="65">
                  <c:v>0.136</c:v>
                </c:pt>
                <c:pt idx="66">
                  <c:v>NA</c:v>
                </c:pt>
                <c:pt idx="67">
                  <c:v>NA</c:v>
                </c:pt>
                <c:pt idx="68">
                  <c:v>NA</c:v>
                </c:pt>
                <c:pt idx="69">
                  <c:v>NA</c:v>
                </c:pt>
                <c:pt idx="70">
                  <c:v>NA</c:v>
                </c:pt>
                <c:pt idx="71">
                  <c:v>NA</c:v>
                </c:pt>
                <c:pt idx="72">
                  <c:v>NA</c:v>
                </c:pt>
                <c:pt idx="73">
                  <c:v>NA</c:v>
                </c:pt>
                <c:pt idx="74">
                  <c:v>NA</c:v>
                </c:pt>
                <c:pt idx="75">
                  <c:v>NA</c:v>
                </c:pt>
                <c:pt idx="76">
                  <c:v>NA</c:v>
                </c:pt>
                <c:pt idx="77">
                  <c:v>NA</c:v>
                </c:pt>
                <c:pt idx="78">
                  <c:v>NA</c:v>
                </c:pt>
                <c:pt idx="79">
                  <c:v>NA</c:v>
                </c:pt>
                <c:pt idx="80">
                  <c:v>NA</c:v>
                </c:pt>
                <c:pt idx="81">
                  <c:v>NA</c:v>
                </c:pt>
                <c:pt idx="82">
                  <c:v>NA</c:v>
                </c:pt>
                <c:pt idx="83">
                  <c:v>NA</c:v>
                </c:pt>
                <c:pt idx="84">
                  <c:v>NA</c:v>
                </c:pt>
                <c:pt idx="85">
                  <c:v>NA</c:v>
                </c:pt>
                <c:pt idx="86">
                  <c:v>NA</c:v>
                </c:pt>
                <c:pt idx="87">
                  <c:v>NA</c:v>
                </c:pt>
                <c:pt idx="88">
                  <c:v>NA</c:v>
                </c:pt>
                <c:pt idx="89">
                  <c:v>NA</c:v>
                </c:pt>
                <c:pt idx="90">
                  <c:v>NA</c:v>
                </c:pt>
                <c:pt idx="91">
                  <c:v>NA</c:v>
                </c:pt>
                <c:pt idx="92">
                  <c:v>NA</c:v>
                </c:pt>
                <c:pt idx="93">
                  <c:v>NA</c:v>
                </c:pt>
                <c:pt idx="94">
                  <c:v>NA</c:v>
                </c:pt>
                <c:pt idx="95">
                  <c:v>NA</c:v>
                </c:pt>
                <c:pt idx="96">
                  <c:v>0.085</c:v>
                </c:pt>
                <c:pt idx="97">
                  <c:v>0.057</c:v>
                </c:pt>
                <c:pt idx="98">
                  <c:v>0.097</c:v>
                </c:pt>
                <c:pt idx="99">
                  <c:v>NA</c:v>
                </c:pt>
                <c:pt idx="100">
                  <c:v>0.122</c:v>
                </c:pt>
                <c:pt idx="101">
                  <c:v>0.118</c:v>
                </c:pt>
                <c:pt idx="102">
                  <c:v>0.118</c:v>
                </c:pt>
                <c:pt idx="103">
                  <c:v>0.121</c:v>
                </c:pt>
                <c:pt idx="104">
                  <c:v>0.123</c:v>
                </c:pt>
                <c:pt idx="105">
                  <c:v>0.123</c:v>
                </c:pt>
                <c:pt idx="106">
                  <c:v>0.121</c:v>
                </c:pt>
                <c:pt idx="107">
                  <c:v>0.116</c:v>
                </c:pt>
                <c:pt idx="108">
                  <c:v>0.115</c:v>
                </c:pt>
                <c:pt idx="109">
                  <c:v>0.125</c:v>
                </c:pt>
                <c:pt idx="110">
                  <c:v>0.121</c:v>
                </c:pt>
                <c:pt idx="111">
                  <c:v>0.121</c:v>
                </c:pt>
                <c:pt idx="112">
                  <c:v>0.112</c:v>
                </c:pt>
                <c:pt idx="113">
                  <c:v>0.114</c:v>
                </c:pt>
                <c:pt idx="114">
                  <c:v>0.11</c:v>
                </c:pt>
                <c:pt idx="115">
                  <c:v>0.115</c:v>
                </c:pt>
                <c:pt idx="116">
                  <c:v>0.123</c:v>
                </c:pt>
                <c:pt idx="117">
                  <c:v>0.116</c:v>
                </c:pt>
                <c:pt idx="118">
                  <c:v>0.116</c:v>
                </c:pt>
                <c:pt idx="119">
                  <c:v>0.123</c:v>
                </c:pt>
                <c:pt idx="120">
                  <c:v>0.118</c:v>
                </c:pt>
                <c:pt idx="121">
                  <c:v>0.138</c:v>
                </c:pt>
                <c:pt idx="122">
                  <c:v>0.152</c:v>
                </c:pt>
                <c:pt idx="123">
                  <c:v>0.138</c:v>
                </c:pt>
                <c:pt idx="124">
                  <c:v>0.152</c:v>
                </c:pt>
                <c:pt idx="125">
                  <c:v>0.151</c:v>
                </c:pt>
                <c:pt idx="126">
                  <c:v>0.137</c:v>
                </c:pt>
                <c:pt idx="127">
                  <c:v>0.124</c:v>
                </c:pt>
                <c:pt idx="128">
                  <c:v>0.151</c:v>
                </c:pt>
                <c:pt idx="129">
                  <c:v>0.151</c:v>
                </c:pt>
                <c:pt idx="130">
                  <c:v>0.14</c:v>
                </c:pt>
                <c:pt idx="131">
                  <c:v>0.126</c:v>
                </c:pt>
                <c:pt idx="132">
                  <c:v>0.125</c:v>
                </c:pt>
                <c:pt idx="133">
                  <c:v>0.152</c:v>
                </c:pt>
                <c:pt idx="134">
                  <c:v>0.15</c:v>
                </c:pt>
                <c:pt idx="135">
                  <c:v>0.137</c:v>
                </c:pt>
                <c:pt idx="136">
                  <c:v>0.109</c:v>
                </c:pt>
                <c:pt idx="137">
                  <c:v>0.137</c:v>
                </c:pt>
                <c:pt idx="138">
                  <c:v>0.137</c:v>
                </c:pt>
                <c:pt idx="139">
                  <c:v>0.154</c:v>
                </c:pt>
                <c:pt idx="140">
                  <c:v>0.14</c:v>
                </c:pt>
                <c:pt idx="141">
                  <c:v>0.125</c:v>
                </c:pt>
                <c:pt idx="142">
                  <c:v>0.138</c:v>
                </c:pt>
                <c:pt idx="143">
                  <c:v>0.137</c:v>
                </c:pt>
                <c:pt idx="144">
                  <c:v>0.153</c:v>
                </c:pt>
                <c:pt idx="145">
                  <c:v>0.139</c:v>
                </c:pt>
                <c:pt idx="146">
                  <c:v>0.124</c:v>
                </c:pt>
                <c:pt idx="147">
                  <c:v>0.137</c:v>
                </c:pt>
                <c:pt idx="148">
                  <c:v>0.15</c:v>
                </c:pt>
                <c:pt idx="149">
                  <c:v>0.149</c:v>
                </c:pt>
                <c:pt idx="150">
                  <c:v>0.136</c:v>
                </c:pt>
                <c:pt idx="151">
                  <c:v>0.109</c:v>
                </c:pt>
                <c:pt idx="152">
                  <c:v>0.136</c:v>
                </c:pt>
                <c:pt idx="153">
                  <c:v>0.149</c:v>
                </c:pt>
                <c:pt idx="154">
                  <c:v>0.148</c:v>
                </c:pt>
                <c:pt idx="155">
                  <c:v>0.127</c:v>
                </c:pt>
                <c:pt idx="156">
                  <c:v>0.125</c:v>
                </c:pt>
                <c:pt idx="157">
                  <c:v>0.139</c:v>
                </c:pt>
                <c:pt idx="158">
                  <c:v>0.467</c:v>
                </c:pt>
                <c:pt idx="159">
                  <c:v>0.467</c:v>
                </c:pt>
                <c:pt idx="160">
                  <c:v>0.657</c:v>
                </c:pt>
                <c:pt idx="161">
                  <c:v>0.657</c:v>
                </c:pt>
                <c:pt idx="162">
                  <c:v>0.138</c:v>
                </c:pt>
                <c:pt idx="163">
                  <c:v>0.11</c:v>
                </c:pt>
                <c:pt idx="164">
                  <c:v>0.136</c:v>
                </c:pt>
                <c:pt idx="165">
                  <c:v>0.15</c:v>
                </c:pt>
                <c:pt idx="166">
                  <c:v>0.15</c:v>
                </c:pt>
                <c:pt idx="167">
                  <c:v>0.15</c:v>
                </c:pt>
                <c:pt idx="168">
                  <c:v>0.123</c:v>
                </c:pt>
                <c:pt idx="169">
                  <c:v>NA</c:v>
                </c:pt>
                <c:pt idx="170">
                  <c:v>NA</c:v>
                </c:pt>
                <c:pt idx="171">
                  <c:v>NA</c:v>
                </c:pt>
                <c:pt idx="172">
                  <c:v>NA</c:v>
                </c:pt>
                <c:pt idx="173">
                  <c:v>NA</c:v>
                </c:pt>
                <c:pt idx="174">
                  <c:v>NA</c:v>
                </c:pt>
                <c:pt idx="175">
                  <c:v>NA</c:v>
                </c:pt>
                <c:pt idx="176">
                  <c:v>NA</c:v>
                </c:pt>
                <c:pt idx="177">
                  <c:v>NA</c:v>
                </c:pt>
                <c:pt idx="178">
                  <c:v>NA</c:v>
                </c:pt>
                <c:pt idx="179">
                  <c:v>NA</c:v>
                </c:pt>
                <c:pt idx="180">
                  <c:v>NA</c:v>
                </c:pt>
                <c:pt idx="181">
                  <c:v>NA</c:v>
                </c:pt>
                <c:pt idx="182">
                  <c:v>NA</c:v>
                </c:pt>
                <c:pt idx="183">
                  <c:v>NA</c:v>
                </c:pt>
                <c:pt idx="184">
                  <c:v>NA</c:v>
                </c:pt>
                <c:pt idx="185">
                  <c:v>NA</c:v>
                </c:pt>
                <c:pt idx="186">
                  <c:v>NA</c:v>
                </c:pt>
                <c:pt idx="187">
                  <c:v>NA</c:v>
                </c:pt>
                <c:pt idx="188">
                  <c:v>NA</c:v>
                </c:pt>
                <c:pt idx="189">
                  <c:v>NA</c:v>
                </c:pt>
                <c:pt idx="190">
                  <c:v>NA</c:v>
                </c:pt>
                <c:pt idx="191">
                  <c:v>NA</c:v>
                </c:pt>
                <c:pt idx="192">
                  <c:v>NA</c:v>
                </c:pt>
                <c:pt idx="193">
                  <c:v>NA</c:v>
                </c:pt>
                <c:pt idx="194">
                  <c:v>NA</c:v>
                </c:pt>
                <c:pt idx="195">
                  <c:v>NA</c:v>
                </c:pt>
                <c:pt idx="196">
                  <c:v>NA</c:v>
                </c:pt>
                <c:pt idx="197">
                  <c:v>NA</c:v>
                </c:pt>
                <c:pt idx="198">
                  <c:v>NA</c:v>
                </c:pt>
                <c:pt idx="199">
                  <c:v>NA</c:v>
                </c:pt>
                <c:pt idx="200">
                  <c:v>NA</c:v>
                </c:pt>
                <c:pt idx="201">
                  <c:v>NA</c:v>
                </c:pt>
                <c:pt idx="202">
                  <c:v>NA</c:v>
                </c:pt>
                <c:pt idx="203">
                  <c:v>NA</c:v>
                </c:pt>
                <c:pt idx="204">
                  <c:v>NA</c:v>
                </c:pt>
                <c:pt idx="205">
                  <c:v>NA</c:v>
                </c:pt>
                <c:pt idx="206">
                  <c:v>NA</c:v>
                </c:pt>
                <c:pt idx="207">
                  <c:v>NA</c:v>
                </c:pt>
                <c:pt idx="208">
                  <c:v>NA</c:v>
                </c:pt>
                <c:pt idx="209">
                  <c:v>NA</c:v>
                </c:pt>
                <c:pt idx="210">
                  <c:v>NA</c:v>
                </c:pt>
                <c:pt idx="211">
                  <c:v>0.104</c:v>
                </c:pt>
                <c:pt idx="212">
                  <c:v>0.111</c:v>
                </c:pt>
                <c:pt idx="213">
                  <c:v>0.113</c:v>
                </c:pt>
                <c:pt idx="214">
                  <c:v>0.307</c:v>
                </c:pt>
                <c:pt idx="215">
                  <c:v>0.295</c:v>
                </c:pt>
                <c:pt idx="216">
                  <c:v>0.281</c:v>
                </c:pt>
                <c:pt idx="217">
                  <c:v>0.268</c:v>
                </c:pt>
                <c:pt idx="218">
                  <c:v>NA</c:v>
                </c:pt>
                <c:pt idx="219">
                  <c:v>0.278</c:v>
                </c:pt>
                <c:pt idx="220">
                  <c:v>0.288</c:v>
                </c:pt>
                <c:pt idx="221">
                  <c:v>0.296</c:v>
                </c:pt>
                <c:pt idx="222">
                  <c:v>0.264</c:v>
                </c:pt>
                <c:pt idx="223">
                  <c:v>0.273</c:v>
                </c:pt>
                <c:pt idx="224">
                  <c:v>NA</c:v>
                </c:pt>
                <c:pt idx="225">
                  <c:v>0.271</c:v>
                </c:pt>
                <c:pt idx="226">
                  <c:v>0.277</c:v>
                </c:pt>
                <c:pt idx="227">
                  <c:v>0.266</c:v>
                </c:pt>
                <c:pt idx="228">
                  <c:v>0.27</c:v>
                </c:pt>
                <c:pt idx="229">
                  <c:v>0.358</c:v>
                </c:pt>
                <c:pt idx="230">
                  <c:v>0.344</c:v>
                </c:pt>
                <c:pt idx="231">
                  <c:v>0.36</c:v>
                </c:pt>
                <c:pt idx="232">
                  <c:v>0.346</c:v>
                </c:pt>
                <c:pt idx="233">
                  <c:v>0.344</c:v>
                </c:pt>
                <c:pt idx="234">
                  <c:v>0.357</c:v>
                </c:pt>
                <c:pt idx="235">
                  <c:v>0.343</c:v>
                </c:pt>
                <c:pt idx="236">
                  <c:v>0.364</c:v>
                </c:pt>
                <c:pt idx="237">
                  <c:v>0.336</c:v>
                </c:pt>
                <c:pt idx="238">
                  <c:v>0.345</c:v>
                </c:pt>
                <c:pt idx="239">
                  <c:v>0.328</c:v>
                </c:pt>
                <c:pt idx="240">
                  <c:v>0.342</c:v>
                </c:pt>
                <c:pt idx="241">
                  <c:v>0.328</c:v>
                </c:pt>
                <c:pt idx="242">
                  <c:v>0.349</c:v>
                </c:pt>
                <c:pt idx="243">
                  <c:v>0.363</c:v>
                </c:pt>
                <c:pt idx="244">
                  <c:v>0.344</c:v>
                </c:pt>
                <c:pt idx="245">
                  <c:v>0.332</c:v>
                </c:pt>
                <c:pt idx="246">
                  <c:v>0.346</c:v>
                </c:pt>
                <c:pt idx="247">
                  <c:v>0.356</c:v>
                </c:pt>
                <c:pt idx="248">
                  <c:v>0.339</c:v>
                </c:pt>
                <c:pt idx="249">
                  <c:v>0.339</c:v>
                </c:pt>
                <c:pt idx="250">
                  <c:v>0.339</c:v>
                </c:pt>
                <c:pt idx="251">
                  <c:v>0.338</c:v>
                </c:pt>
                <c:pt idx="252">
                  <c:v>0.352</c:v>
                </c:pt>
                <c:pt idx="253">
                  <c:v>0.879</c:v>
                </c:pt>
                <c:pt idx="254">
                  <c:v>0.879</c:v>
                </c:pt>
                <c:pt idx="255">
                  <c:v>0.137</c:v>
                </c:pt>
                <c:pt idx="256">
                  <c:v>0.354</c:v>
                </c:pt>
                <c:pt idx="257">
                  <c:v>NA</c:v>
                </c:pt>
                <c:pt idx="258">
                  <c:v>NA</c:v>
                </c:pt>
                <c:pt idx="259">
                  <c:v>NA</c:v>
                </c:pt>
                <c:pt idx="260">
                  <c:v>NA</c:v>
                </c:pt>
                <c:pt idx="261">
                  <c:v>NA</c:v>
                </c:pt>
                <c:pt idx="262">
                  <c:v>NA</c:v>
                </c:pt>
                <c:pt idx="263">
                  <c:v>NA</c:v>
                </c:pt>
                <c:pt idx="264">
                  <c:v>NA</c:v>
                </c:pt>
                <c:pt idx="265">
                  <c:v>NA</c:v>
                </c:pt>
                <c:pt idx="266">
                  <c:v>NA</c:v>
                </c:pt>
                <c:pt idx="267">
                  <c:v>NA</c:v>
                </c:pt>
                <c:pt idx="268">
                  <c:v>NA</c:v>
                </c:pt>
                <c:pt idx="269">
                  <c:v>NA</c:v>
                </c:pt>
                <c:pt idx="270">
                  <c:v>NA</c:v>
                </c:pt>
                <c:pt idx="271">
                  <c:v>NA</c:v>
                </c:pt>
                <c:pt idx="272">
                  <c:v>NA</c:v>
                </c:pt>
                <c:pt idx="273">
                  <c:v>NA</c:v>
                </c:pt>
                <c:pt idx="274">
                  <c:v>NA</c:v>
                </c:pt>
                <c:pt idx="275">
                  <c:v>NA</c:v>
                </c:pt>
                <c:pt idx="276">
                  <c:v>NA</c:v>
                </c:pt>
                <c:pt idx="277">
                  <c:v>NA</c:v>
                </c:pt>
                <c:pt idx="278">
                  <c:v>NA</c:v>
                </c:pt>
                <c:pt idx="279">
                  <c:v>NA</c:v>
                </c:pt>
                <c:pt idx="280">
                  <c:v>NA</c:v>
                </c:pt>
                <c:pt idx="281">
                  <c:v>NA</c:v>
                </c:pt>
                <c:pt idx="282">
                  <c:v>NA</c:v>
                </c:pt>
                <c:pt idx="283">
                  <c:v>NA</c:v>
                </c:pt>
                <c:pt idx="284">
                  <c:v>NA</c:v>
                </c:pt>
                <c:pt idx="285">
                  <c:v>NA</c:v>
                </c:pt>
                <c:pt idx="286">
                  <c:v>NA</c:v>
                </c:pt>
                <c:pt idx="287">
                  <c:v>NA</c:v>
                </c:pt>
                <c:pt idx="288">
                  <c:v>0.285</c:v>
                </c:pt>
                <c:pt idx="289">
                  <c:v>0.279</c:v>
                </c:pt>
                <c:pt idx="290">
                  <c:v>0.287</c:v>
                </c:pt>
                <c:pt idx="291">
                  <c:v>0.598</c:v>
                </c:pt>
                <c:pt idx="292">
                  <c:v>0.554</c:v>
                </c:pt>
                <c:pt idx="293">
                  <c:v>0.625</c:v>
                </c:pt>
                <c:pt idx="294">
                  <c:v>0.589</c:v>
                </c:pt>
                <c:pt idx="295">
                  <c:v>0.539</c:v>
                </c:pt>
                <c:pt idx="296">
                  <c:v>0.575</c:v>
                </c:pt>
                <c:pt idx="297">
                  <c:v>0.61</c:v>
                </c:pt>
                <c:pt idx="298">
                  <c:v>0.572</c:v>
                </c:pt>
                <c:pt idx="299">
                  <c:v>0.512</c:v>
                </c:pt>
                <c:pt idx="300">
                  <c:v>0.563</c:v>
                </c:pt>
                <c:pt idx="301">
                  <c:v>0.624</c:v>
                </c:pt>
                <c:pt idx="302">
                  <c:v>0.58</c:v>
                </c:pt>
                <c:pt idx="303">
                  <c:v>0.535</c:v>
                </c:pt>
                <c:pt idx="304">
                  <c:v>0.688</c:v>
                </c:pt>
                <c:pt idx="305">
                  <c:v>0.661</c:v>
                </c:pt>
                <c:pt idx="306">
                  <c:v>0.68</c:v>
                </c:pt>
                <c:pt idx="307">
                  <c:v>0.68</c:v>
                </c:pt>
                <c:pt idx="308">
                  <c:v>0.666</c:v>
                </c:pt>
                <c:pt idx="309">
                  <c:v>0.673</c:v>
                </c:pt>
                <c:pt idx="310">
                  <c:v>0.687</c:v>
                </c:pt>
                <c:pt idx="311">
                  <c:v>0.672</c:v>
                </c:pt>
                <c:pt idx="312">
                  <c:v>0.668</c:v>
                </c:pt>
                <c:pt idx="313">
                  <c:v>0.696</c:v>
                </c:pt>
                <c:pt idx="314">
                  <c:v>0.691</c:v>
                </c:pt>
                <c:pt idx="315">
                  <c:v>0.656</c:v>
                </c:pt>
                <c:pt idx="316">
                  <c:v>0.656</c:v>
                </c:pt>
                <c:pt idx="317">
                  <c:v>0.656</c:v>
                </c:pt>
                <c:pt idx="318">
                  <c:v>0.695</c:v>
                </c:pt>
                <c:pt idx="319">
                  <c:v>0.695</c:v>
                </c:pt>
                <c:pt idx="320">
                  <c:v>0.663</c:v>
                </c:pt>
                <c:pt idx="321">
                  <c:v>0.675</c:v>
                </c:pt>
                <c:pt idx="322">
                  <c:v>0.689</c:v>
                </c:pt>
                <c:pt idx="323">
                  <c:v>0.658</c:v>
                </c:pt>
                <c:pt idx="324">
                  <c:v>0.651</c:v>
                </c:pt>
                <c:pt idx="325">
                  <c:v>0.651</c:v>
                </c:pt>
                <c:pt idx="326">
                  <c:v>0.651</c:v>
                </c:pt>
                <c:pt idx="327">
                  <c:v>0.672</c:v>
                </c:pt>
                <c:pt idx="328">
                  <c:v>0.672</c:v>
                </c:pt>
                <c:pt idx="329">
                  <c:v>0.11</c:v>
                </c:pt>
                <c:pt idx="330">
                  <c:v>0.137</c:v>
                </c:pt>
                <c:pt idx="331">
                  <c:v>0.22</c:v>
                </c:pt>
                <c:pt idx="332">
                  <c:v>0.654</c:v>
                </c:pt>
                <c:pt idx="333">
                  <c:v>NA</c:v>
                </c:pt>
                <c:pt idx="334">
                  <c:v>NA</c:v>
                </c:pt>
                <c:pt idx="335">
                  <c:v>NA</c:v>
                </c:pt>
                <c:pt idx="336">
                  <c:v>NA</c:v>
                </c:pt>
                <c:pt idx="337">
                  <c:v>NA</c:v>
                </c:pt>
                <c:pt idx="338">
                  <c:v>NA</c:v>
                </c:pt>
                <c:pt idx="339">
                  <c:v>NA</c:v>
                </c:pt>
                <c:pt idx="340">
                  <c:v>NA</c:v>
                </c:pt>
                <c:pt idx="341">
                  <c:v>NA</c:v>
                </c:pt>
                <c:pt idx="342">
                  <c:v>NA</c:v>
                </c:pt>
                <c:pt idx="343">
                  <c:v>NA</c:v>
                </c:pt>
                <c:pt idx="344">
                  <c:v>NA</c:v>
                </c:pt>
                <c:pt idx="345">
                  <c:v>NA</c:v>
                </c:pt>
                <c:pt idx="346">
                  <c:v>NA</c:v>
                </c:pt>
                <c:pt idx="347">
                  <c:v>NA</c:v>
                </c:pt>
                <c:pt idx="348">
                  <c:v>NA</c:v>
                </c:pt>
                <c:pt idx="349">
                  <c:v>NA</c:v>
                </c:pt>
                <c:pt idx="350">
                  <c:v>NA</c:v>
                </c:pt>
                <c:pt idx="351">
                  <c:v>NA</c:v>
                </c:pt>
                <c:pt idx="352">
                  <c:v>NA</c:v>
                </c:pt>
                <c:pt idx="353">
                  <c:v>NA</c:v>
                </c:pt>
                <c:pt idx="354">
                  <c:v>NA</c:v>
                </c:pt>
                <c:pt idx="355">
                  <c:v>NA</c:v>
                </c:pt>
                <c:pt idx="356">
                  <c:v>NA</c:v>
                </c:pt>
                <c:pt idx="357">
                  <c:v>NA</c:v>
                </c:pt>
                <c:pt idx="358">
                  <c:v>0.575</c:v>
                </c:pt>
                <c:pt idx="359">
                  <c:v>0.556</c:v>
                </c:pt>
                <c:pt idx="360">
                  <c:v>0.564</c:v>
                </c:pt>
                <c:pt idx="361">
                  <c:v>0.785</c:v>
                </c:pt>
                <c:pt idx="362">
                  <c:v>0.784</c:v>
                </c:pt>
                <c:pt idx="363">
                  <c:v>0.747</c:v>
                </c:pt>
                <c:pt idx="364">
                  <c:v>0.787</c:v>
                </c:pt>
                <c:pt idx="365">
                  <c:v>0.753</c:v>
                </c:pt>
                <c:pt idx="366">
                  <c:v>0.757</c:v>
                </c:pt>
                <c:pt idx="367">
                  <c:v>0.748</c:v>
                </c:pt>
                <c:pt idx="368">
                  <c:v>0.814</c:v>
                </c:pt>
                <c:pt idx="369">
                  <c:v>0.781</c:v>
                </c:pt>
                <c:pt idx="370">
                  <c:v>0.88</c:v>
                </c:pt>
                <c:pt idx="371">
                  <c:v>0.88</c:v>
                </c:pt>
                <c:pt idx="372">
                  <c:v>0.934</c:v>
                </c:pt>
                <c:pt idx="373">
                  <c:v>0.906</c:v>
                </c:pt>
                <c:pt idx="374">
                  <c:v>0.933</c:v>
                </c:pt>
                <c:pt idx="375">
                  <c:v>0.947</c:v>
                </c:pt>
                <c:pt idx="376">
                  <c:v>0.92</c:v>
                </c:pt>
                <c:pt idx="377">
                  <c:v>0.885</c:v>
                </c:pt>
                <c:pt idx="378">
                  <c:v>0.82</c:v>
                </c:pt>
                <c:pt idx="379">
                  <c:v>0.82</c:v>
                </c:pt>
                <c:pt idx="380">
                  <c:v>0.848</c:v>
                </c:pt>
                <c:pt idx="381">
                  <c:v>0.916</c:v>
                </c:pt>
                <c:pt idx="382">
                  <c:v>0.916</c:v>
                </c:pt>
                <c:pt idx="383">
                  <c:v>0.912</c:v>
                </c:pt>
                <c:pt idx="384">
                  <c:v>0.894</c:v>
                </c:pt>
                <c:pt idx="385">
                  <c:v>0.894</c:v>
                </c:pt>
                <c:pt idx="386">
                  <c:v>0.906</c:v>
                </c:pt>
                <c:pt idx="387">
                  <c:v>0.869</c:v>
                </c:pt>
                <c:pt idx="388">
                  <c:v>0.869</c:v>
                </c:pt>
                <c:pt idx="389">
                  <c:v>0.923</c:v>
                </c:pt>
                <c:pt idx="390">
                  <c:v>0.909</c:v>
                </c:pt>
                <c:pt idx="391">
                  <c:v>0.909</c:v>
                </c:pt>
                <c:pt idx="392">
                  <c:v>1.014</c:v>
                </c:pt>
                <c:pt idx="393">
                  <c:v>1.014</c:v>
                </c:pt>
                <c:pt idx="394">
                  <c:v>0.342</c:v>
                </c:pt>
                <c:pt idx="395">
                  <c:v>0.79</c:v>
                </c:pt>
                <c:pt idx="396">
                  <c:v>NA</c:v>
                </c:pt>
                <c:pt idx="397">
                  <c:v>NA</c:v>
                </c:pt>
                <c:pt idx="398">
                  <c:v>NA</c:v>
                </c:pt>
                <c:pt idx="399">
                  <c:v>NA</c:v>
                </c:pt>
                <c:pt idx="400">
                  <c:v>NA</c:v>
                </c:pt>
                <c:pt idx="401">
                  <c:v>NA</c:v>
                </c:pt>
                <c:pt idx="402">
                  <c:v>NA</c:v>
                </c:pt>
                <c:pt idx="403">
                  <c:v>NA</c:v>
                </c:pt>
                <c:pt idx="404">
                  <c:v>NA</c:v>
                </c:pt>
                <c:pt idx="405">
                  <c:v>NA</c:v>
                </c:pt>
                <c:pt idx="406">
                  <c:v>NA</c:v>
                </c:pt>
                <c:pt idx="407">
                  <c:v>NA</c:v>
                </c:pt>
                <c:pt idx="408">
                  <c:v>NA</c:v>
                </c:pt>
                <c:pt idx="409">
                  <c:v>NA</c:v>
                </c:pt>
                <c:pt idx="410">
                  <c:v>NA</c:v>
                </c:pt>
                <c:pt idx="411">
                  <c:v>NA</c:v>
                </c:pt>
                <c:pt idx="412">
                  <c:v>NA</c:v>
                </c:pt>
                <c:pt idx="413">
                  <c:v>NA</c:v>
                </c:pt>
                <c:pt idx="414">
                  <c:v>NA</c:v>
                </c:pt>
                <c:pt idx="415">
                  <c:v>NA</c:v>
                </c:pt>
                <c:pt idx="416">
                  <c:v>NA</c:v>
                </c:pt>
                <c:pt idx="417">
                  <c:v>NA</c:v>
                </c:pt>
                <c:pt idx="418">
                  <c:v>NA</c:v>
                </c:pt>
                <c:pt idx="419">
                  <c:v>NA</c:v>
                </c:pt>
                <c:pt idx="420">
                  <c:v>NA</c:v>
                </c:pt>
                <c:pt idx="421">
                  <c:v>NA</c:v>
                </c:pt>
                <c:pt idx="422">
                  <c:v>0.763</c:v>
                </c:pt>
                <c:pt idx="423">
                  <c:v>0.757</c:v>
                </c:pt>
                <c:pt idx="424">
                  <c:v>0.764</c:v>
                </c:pt>
                <c:pt idx="425">
                  <c:v>NA</c:v>
                </c:pt>
                <c:pt idx="426">
                  <c:v>0.796</c:v>
                </c:pt>
                <c:pt idx="427">
                  <c:v>0.871</c:v>
                </c:pt>
                <c:pt idx="428">
                  <c:v>0.806</c:v>
                </c:pt>
                <c:pt idx="429">
                  <c:v>0.848</c:v>
                </c:pt>
                <c:pt idx="430">
                  <c:v>0.838</c:v>
                </c:pt>
                <c:pt idx="431">
                  <c:v>0.835</c:v>
                </c:pt>
                <c:pt idx="432">
                  <c:v>0.828</c:v>
                </c:pt>
                <c:pt idx="433">
                  <c:v>0.857</c:v>
                </c:pt>
                <c:pt idx="434">
                  <c:v>0.863</c:v>
                </c:pt>
                <c:pt idx="435">
                  <c:v>0.99</c:v>
                </c:pt>
                <c:pt idx="436">
                  <c:v>1.043</c:v>
                </c:pt>
                <c:pt idx="437">
                  <c:v>0.996</c:v>
                </c:pt>
                <c:pt idx="438">
                  <c:v>0.971</c:v>
                </c:pt>
                <c:pt idx="439">
                  <c:v>0.995</c:v>
                </c:pt>
                <c:pt idx="440">
                  <c:v>1.03</c:v>
                </c:pt>
                <c:pt idx="441">
                  <c:v>1.059</c:v>
                </c:pt>
                <c:pt idx="442">
                  <c:v>0.465</c:v>
                </c:pt>
                <c:pt idx="443">
                  <c:v>1.008</c:v>
                </c:pt>
                <c:pt idx="444">
                  <c:v>NA</c:v>
                </c:pt>
                <c:pt idx="445">
                  <c:v>NA</c:v>
                </c:pt>
                <c:pt idx="446">
                  <c:v>NA</c:v>
                </c:pt>
                <c:pt idx="447">
                  <c:v>NA</c:v>
                </c:pt>
                <c:pt idx="448">
                  <c:v>NA</c:v>
                </c:pt>
                <c:pt idx="449">
                  <c:v>NA</c:v>
                </c:pt>
                <c:pt idx="450">
                  <c:v>NA</c:v>
                </c:pt>
                <c:pt idx="451">
                  <c:v>NA</c:v>
                </c:pt>
                <c:pt idx="452">
                  <c:v>NA</c:v>
                </c:pt>
              </c:strCache>
            </c:strRef>
          </c:xVal>
          <c:yVal>
            <c:numRef>
              <c:f>'Individual data from NASA'!$M$2:$M$454</c:f>
              <c:numCache>
                <c:formatCode>0.00E+00</c:formatCode>
                <c:ptCount val="453"/>
                <c:pt idx="0">
                  <c:v>2490000000000000</c:v>
                </c:pt>
                <c:pt idx="1">
                  <c:v>2260000000000000</c:v>
                </c:pt>
                <c:pt idx="2">
                  <c:v>2180000000000000</c:v>
                </c:pt>
                <c:pt idx="3">
                  <c:v>1790000000000000</c:v>
                </c:pt>
                <c:pt idx="4">
                  <c:v>1880000000000000</c:v>
                </c:pt>
                <c:pt idx="5">
                  <c:v>1730000000000000</c:v>
                </c:pt>
                <c:pt idx="6">
                  <c:v>3230000000000000</c:v>
                </c:pt>
                <c:pt idx="7">
                  <c:v>2990000000000000</c:v>
                </c:pt>
                <c:pt idx="8">
                  <c:v>2540000000000000</c:v>
                </c:pt>
                <c:pt idx="9">
                  <c:v>3750000000000000</c:v>
                </c:pt>
                <c:pt idx="10">
                  <c:v>3910000000000000</c:v>
                </c:pt>
                <c:pt idx="11">
                  <c:v>3780000000000000</c:v>
                </c:pt>
                <c:pt idx="12">
                  <c:v>5070000000000000</c:v>
                </c:pt>
                <c:pt idx="13">
                  <c:v>4530000000000000</c:v>
                </c:pt>
                <c:pt idx="14">
                  <c:v>2760000000000000</c:v>
                </c:pt>
                <c:pt idx="15">
                  <c:v>1450000000000000</c:v>
                </c:pt>
                <c:pt idx="16">
                  <c:v>4800000000000000</c:v>
                </c:pt>
                <c:pt idx="17">
                  <c:v>4480000000000000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2650000000000000</c:v>
                </c:pt>
                <c:pt idx="21">
                  <c:v>3570000000000000</c:v>
                </c:pt>
                <c:pt idx="22">
                  <c:v>2270000000000000</c:v>
                </c:pt>
                <c:pt idx="23">
                  <c:v>2320000000000000</c:v>
                </c:pt>
                <c:pt idx="24">
                  <c:v>2100000000000000</c:v>
                </c:pt>
                <c:pt idx="25">
                  <c:v>6580000000000000</c:v>
                </c:pt>
                <c:pt idx="26">
                  <c:v>2100000000000000</c:v>
                </c:pt>
                <c:pt idx="27">
                  <c:v>2110000000000000</c:v>
                </c:pt>
                <c:pt idx="28">
                  <c:v>2440000000000000</c:v>
                </c:pt>
                <c:pt idx="29">
                  <c:v>2740000000000000</c:v>
                </c:pt>
                <c:pt idx="30">
                  <c:v>3470000000000000</c:v>
                </c:pt>
                <c:pt idx="31">
                  <c:v>2520000000000000</c:v>
                </c:pt>
                <c:pt idx="32">
                  <c:v>3110000000000000</c:v>
                </c:pt>
                <c:pt idx="33">
                  <c:v>3290000000000000</c:v>
                </c:pt>
                <c:pt idx="34">
                  <c:v>3190000000000000</c:v>
                </c:pt>
                <c:pt idx="35">
                  <c:v>7310000000000000</c:v>
                </c:pt>
                <c:pt idx="36" formatCode="General">
                  <c:v>0</c:v>
                </c:pt>
                <c:pt idx="37">
                  <c:v>9620000000000000</c:v>
                </c:pt>
                <c:pt idx="38" formatCode="General">
                  <c:v>0</c:v>
                </c:pt>
                <c:pt idx="39">
                  <c:v>2640000000000000</c:v>
                </c:pt>
                <c:pt idx="40">
                  <c:v>181000000000000</c:v>
                </c:pt>
                <c:pt idx="41">
                  <c:v>15900000000000</c:v>
                </c:pt>
                <c:pt idx="42">
                  <c:v>8790000000000</c:v>
                </c:pt>
                <c:pt idx="43" formatCode="General">
                  <c:v>0</c:v>
                </c:pt>
                <c:pt idx="44">
                  <c:v>359000000000000</c:v>
                </c:pt>
                <c:pt idx="45">
                  <c:v>3160000000000000</c:v>
                </c:pt>
                <c:pt idx="46">
                  <c:v>24200000000000</c:v>
                </c:pt>
                <c:pt idx="47">
                  <c:v>25900000000000</c:v>
                </c:pt>
                <c:pt idx="48">
                  <c:v>3010000000000000</c:v>
                </c:pt>
                <c:pt idx="49">
                  <c:v>952000000000000</c:v>
                </c:pt>
                <c:pt idx="50">
                  <c:v>1200000000000000</c:v>
                </c:pt>
                <c:pt idx="51">
                  <c:v>1870000000000000</c:v>
                </c:pt>
                <c:pt idx="52">
                  <c:v>70500000000000</c:v>
                </c:pt>
                <c:pt idx="53">
                  <c:v>1.34E+16</c:v>
                </c:pt>
                <c:pt idx="54">
                  <c:v>203000000000000</c:v>
                </c:pt>
                <c:pt idx="55">
                  <c:v>2480000000000000</c:v>
                </c:pt>
                <c:pt idx="56">
                  <c:v>999000000000000</c:v>
                </c:pt>
                <c:pt idx="57">
                  <c:v>928000000000000</c:v>
                </c:pt>
                <c:pt idx="58">
                  <c:v>2300000000000000</c:v>
                </c:pt>
                <c:pt idx="59">
                  <c:v>388000000000000</c:v>
                </c:pt>
                <c:pt idx="60">
                  <c:v>2270000000000000</c:v>
                </c:pt>
                <c:pt idx="61">
                  <c:v>2340000000000000</c:v>
                </c:pt>
                <c:pt idx="62">
                  <c:v>2530000000000000</c:v>
                </c:pt>
                <c:pt idx="63">
                  <c:v>2240000000000000</c:v>
                </c:pt>
                <c:pt idx="64">
                  <c:v>2010000000000000</c:v>
                </c:pt>
                <c:pt idx="65">
                  <c:v>2530000000000000</c:v>
                </c:pt>
                <c:pt idx="66">
                  <c:v>1.32E+16</c:v>
                </c:pt>
                <c:pt idx="67">
                  <c:v>1.78E+16</c:v>
                </c:pt>
                <c:pt idx="68">
                  <c:v>1230000000000000</c:v>
                </c:pt>
                <c:pt idx="69">
                  <c:v>1630000000000000</c:v>
                </c:pt>
                <c:pt idx="70">
                  <c:v>1370000000000000</c:v>
                </c:pt>
                <c:pt idx="71">
                  <c:v>255000000000000</c:v>
                </c:pt>
                <c:pt idx="72">
                  <c:v>1.62E+16</c:v>
                </c:pt>
                <c:pt idx="73">
                  <c:v>1770000000000000</c:v>
                </c:pt>
                <c:pt idx="74">
                  <c:v>1730000000000000</c:v>
                </c:pt>
                <c:pt idx="75">
                  <c:v>1340000000000000</c:v>
                </c:pt>
                <c:pt idx="76">
                  <c:v>312000000000000</c:v>
                </c:pt>
                <c:pt idx="77">
                  <c:v>1080000000000000</c:v>
                </c:pt>
                <c:pt idx="78">
                  <c:v>70300000000000</c:v>
                </c:pt>
                <c:pt idx="79">
                  <c:v>61300000000000</c:v>
                </c:pt>
                <c:pt idx="80">
                  <c:v>1570000000000000</c:v>
                </c:pt>
                <c:pt idx="81">
                  <c:v>33600000000000</c:v>
                </c:pt>
                <c:pt idx="82">
                  <c:v>46000000000000</c:v>
                </c:pt>
                <c:pt idx="83">
                  <c:v>1370000000000000</c:v>
                </c:pt>
                <c:pt idx="84">
                  <c:v>33700000000000</c:v>
                </c:pt>
                <c:pt idx="85">
                  <c:v>140000000000000</c:v>
                </c:pt>
                <c:pt idx="86">
                  <c:v>1450000000000000</c:v>
                </c:pt>
                <c:pt idx="87">
                  <c:v>41600000000000</c:v>
                </c:pt>
                <c:pt idx="88">
                  <c:v>770000000000000</c:v>
                </c:pt>
                <c:pt idx="89">
                  <c:v>1520000000000000</c:v>
                </c:pt>
                <c:pt idx="90">
                  <c:v>580000000000000</c:v>
                </c:pt>
                <c:pt idx="91">
                  <c:v>1690000000000000</c:v>
                </c:pt>
                <c:pt idx="92">
                  <c:v>338000000000000</c:v>
                </c:pt>
                <c:pt idx="93">
                  <c:v>404000000000000</c:v>
                </c:pt>
                <c:pt idx="94">
                  <c:v>857000000000000</c:v>
                </c:pt>
                <c:pt idx="95">
                  <c:v>1210000000000000</c:v>
                </c:pt>
                <c:pt idx="96">
                  <c:v>9470000000000000</c:v>
                </c:pt>
                <c:pt idx="97">
                  <c:v>1.46E+16</c:v>
                </c:pt>
                <c:pt idx="98" formatCode="General">
                  <c:v>0</c:v>
                </c:pt>
                <c:pt idx="99">
                  <c:v>2440000000000000</c:v>
                </c:pt>
                <c:pt idx="100" formatCode="General">
                  <c:v>0</c:v>
                </c:pt>
                <c:pt idx="101">
                  <c:v>1660000000000000</c:v>
                </c:pt>
                <c:pt idx="102">
                  <c:v>1250000000000000</c:v>
                </c:pt>
                <c:pt idx="103">
                  <c:v>1040000000000000</c:v>
                </c:pt>
                <c:pt idx="104">
                  <c:v>825000000000000</c:v>
                </c:pt>
                <c:pt idx="105">
                  <c:v>667000000000000</c:v>
                </c:pt>
                <c:pt idx="106">
                  <c:v>2040000000000000</c:v>
                </c:pt>
                <c:pt idx="107">
                  <c:v>1930000000000000</c:v>
                </c:pt>
                <c:pt idx="108">
                  <c:v>1590000000000000</c:v>
                </c:pt>
                <c:pt idx="109">
                  <c:v>1240000000000000</c:v>
                </c:pt>
                <c:pt idx="110">
                  <c:v>1100000000000000</c:v>
                </c:pt>
                <c:pt idx="111">
                  <c:v>946000000000000</c:v>
                </c:pt>
                <c:pt idx="112">
                  <c:v>3280000000000000</c:v>
                </c:pt>
                <c:pt idx="113">
                  <c:v>3530000000000000</c:v>
                </c:pt>
                <c:pt idx="114">
                  <c:v>1140000000000000</c:v>
                </c:pt>
                <c:pt idx="115">
                  <c:v>2920000000000000</c:v>
                </c:pt>
                <c:pt idx="116">
                  <c:v>4860000000000000</c:v>
                </c:pt>
                <c:pt idx="117">
                  <c:v>110000000000000</c:v>
                </c:pt>
                <c:pt idx="118">
                  <c:v>2720000000000000</c:v>
                </c:pt>
                <c:pt idx="119">
                  <c:v>1500000000000000</c:v>
                </c:pt>
                <c:pt idx="120">
                  <c:v>2120000000000000</c:v>
                </c:pt>
                <c:pt idx="121">
                  <c:v>1640000000000000</c:v>
                </c:pt>
                <c:pt idx="122">
                  <c:v>1350000000000000</c:v>
                </c:pt>
                <c:pt idx="123">
                  <c:v>2420000000000000</c:v>
                </c:pt>
                <c:pt idx="124">
                  <c:v>1950000000000000</c:v>
                </c:pt>
                <c:pt idx="125">
                  <c:v>2110000000000000</c:v>
                </c:pt>
                <c:pt idx="126">
                  <c:v>2380000000000000</c:v>
                </c:pt>
                <c:pt idx="127">
                  <c:v>2320000000000000</c:v>
                </c:pt>
                <c:pt idx="128">
                  <c:v>1940000000000000</c:v>
                </c:pt>
                <c:pt idx="129">
                  <c:v>2080000000000000</c:v>
                </c:pt>
                <c:pt idx="130">
                  <c:v>2240000000000000</c:v>
                </c:pt>
                <c:pt idx="131">
                  <c:v>2530000000000000</c:v>
                </c:pt>
                <c:pt idx="132">
                  <c:v>1.48E+16</c:v>
                </c:pt>
                <c:pt idx="133" formatCode="General">
                  <c:v>0</c:v>
                </c:pt>
                <c:pt idx="134">
                  <c:v>201000000000000</c:v>
                </c:pt>
                <c:pt idx="135">
                  <c:v>2020000000000000</c:v>
                </c:pt>
                <c:pt idx="136">
                  <c:v>1800000000000000</c:v>
                </c:pt>
                <c:pt idx="137">
                  <c:v>33900000000000</c:v>
                </c:pt>
                <c:pt idx="138">
                  <c:v>14600000000000</c:v>
                </c:pt>
                <c:pt idx="139">
                  <c:v>21500000000000</c:v>
                </c:pt>
                <c:pt idx="140">
                  <c:v>2320000000000000</c:v>
                </c:pt>
                <c:pt idx="141">
                  <c:v>2250000000000000</c:v>
                </c:pt>
                <c:pt idx="142">
                  <c:v>24900000000000</c:v>
                </c:pt>
                <c:pt idx="143">
                  <c:v>23700000000000</c:v>
                </c:pt>
                <c:pt idx="144">
                  <c:v>661000000000000</c:v>
                </c:pt>
                <c:pt idx="145">
                  <c:v>1990000000000000</c:v>
                </c:pt>
                <c:pt idx="146">
                  <c:v>2130000000000000</c:v>
                </c:pt>
                <c:pt idx="147">
                  <c:v>813000000000000</c:v>
                </c:pt>
                <c:pt idx="148">
                  <c:v>816000000000000</c:v>
                </c:pt>
                <c:pt idx="149">
                  <c:v>39900000000000</c:v>
                </c:pt>
                <c:pt idx="150">
                  <c:v>1550000000000000</c:v>
                </c:pt>
                <c:pt idx="151">
                  <c:v>932000000000000</c:v>
                </c:pt>
                <c:pt idx="152">
                  <c:v>213000000000000</c:v>
                </c:pt>
                <c:pt idx="153">
                  <c:v>978000000000000</c:v>
                </c:pt>
                <c:pt idx="154">
                  <c:v>61100000000000</c:v>
                </c:pt>
                <c:pt idx="155">
                  <c:v>2180000000000000</c:v>
                </c:pt>
                <c:pt idx="156">
                  <c:v>1960000000000000</c:v>
                </c:pt>
                <c:pt idx="157">
                  <c:v>71600000000000</c:v>
                </c:pt>
                <c:pt idx="158">
                  <c:v>1770000000000000</c:v>
                </c:pt>
                <c:pt idx="159">
                  <c:v>735000000000000</c:v>
                </c:pt>
                <c:pt idx="160">
                  <c:v>1830000000000000</c:v>
                </c:pt>
                <c:pt idx="161">
                  <c:v>726000000000000</c:v>
                </c:pt>
                <c:pt idx="162">
                  <c:v>737000000000000</c:v>
                </c:pt>
                <c:pt idx="163">
                  <c:v>1830000000000000</c:v>
                </c:pt>
                <c:pt idx="164">
                  <c:v>1800000000000000</c:v>
                </c:pt>
                <c:pt idx="165">
                  <c:v>1590000000000000</c:v>
                </c:pt>
                <c:pt idx="166">
                  <c:v>1600000000000000</c:v>
                </c:pt>
                <c:pt idx="167" formatCode="General">
                  <c:v>0</c:v>
                </c:pt>
                <c:pt idx="168">
                  <c:v>1670000000000000</c:v>
                </c:pt>
                <c:pt idx="169">
                  <c:v>1.37E+16</c:v>
                </c:pt>
                <c:pt idx="170">
                  <c:v>1.17E+16</c:v>
                </c:pt>
                <c:pt idx="171">
                  <c:v>762000000000000</c:v>
                </c:pt>
                <c:pt idx="172">
                  <c:v>1350000000000000</c:v>
                </c:pt>
                <c:pt idx="173">
                  <c:v>920000000000000</c:v>
                </c:pt>
                <c:pt idx="174">
                  <c:v>1050000000000000</c:v>
                </c:pt>
                <c:pt idx="175">
                  <c:v>750000000000000</c:v>
                </c:pt>
                <c:pt idx="176">
                  <c:v>1000000000000000</c:v>
                </c:pt>
                <c:pt idx="177">
                  <c:v>1.29E+16</c:v>
                </c:pt>
                <c:pt idx="178">
                  <c:v>1310000000000000</c:v>
                </c:pt>
                <c:pt idx="179">
                  <c:v>796000000000000</c:v>
                </c:pt>
                <c:pt idx="180">
                  <c:v>793000000000000</c:v>
                </c:pt>
                <c:pt idx="181">
                  <c:v>812000000000000</c:v>
                </c:pt>
                <c:pt idx="182">
                  <c:v>856000000000000</c:v>
                </c:pt>
                <c:pt idx="183">
                  <c:v>242000000000000</c:v>
                </c:pt>
                <c:pt idx="184">
                  <c:v>324000000000000</c:v>
                </c:pt>
                <c:pt idx="185">
                  <c:v>45900000000000</c:v>
                </c:pt>
                <c:pt idx="186">
                  <c:v>1200000000000000</c:v>
                </c:pt>
                <c:pt idx="187">
                  <c:v>47200000000000</c:v>
                </c:pt>
                <c:pt idx="188">
                  <c:v>30700000000000</c:v>
                </c:pt>
                <c:pt idx="189">
                  <c:v>22500000000000</c:v>
                </c:pt>
                <c:pt idx="190">
                  <c:v>1120000000000000</c:v>
                </c:pt>
                <c:pt idx="191">
                  <c:v>21300000000000</c:v>
                </c:pt>
                <c:pt idx="192">
                  <c:v>16400000000000</c:v>
                </c:pt>
                <c:pt idx="193">
                  <c:v>14100000000000</c:v>
                </c:pt>
                <c:pt idx="194">
                  <c:v>1150000000000000</c:v>
                </c:pt>
                <c:pt idx="195">
                  <c:v>59000000000000</c:v>
                </c:pt>
                <c:pt idx="196">
                  <c:v>11000000000000</c:v>
                </c:pt>
                <c:pt idx="197">
                  <c:v>27200000000000</c:v>
                </c:pt>
                <c:pt idx="198">
                  <c:v>425000000000000</c:v>
                </c:pt>
                <c:pt idx="199">
                  <c:v>534000000000000</c:v>
                </c:pt>
                <c:pt idx="200">
                  <c:v>885000000000000</c:v>
                </c:pt>
                <c:pt idx="201">
                  <c:v>1290000000000000</c:v>
                </c:pt>
                <c:pt idx="202">
                  <c:v>361000000000000</c:v>
                </c:pt>
                <c:pt idx="203">
                  <c:v>260000000000000</c:v>
                </c:pt>
                <c:pt idx="204">
                  <c:v>1100000000000000</c:v>
                </c:pt>
                <c:pt idx="205">
                  <c:v>301000000000000</c:v>
                </c:pt>
                <c:pt idx="206">
                  <c:v>292000000000000</c:v>
                </c:pt>
                <c:pt idx="207">
                  <c:v>689000000000000</c:v>
                </c:pt>
                <c:pt idx="208">
                  <c:v>372000000000000</c:v>
                </c:pt>
                <c:pt idx="209">
                  <c:v>430000000000000</c:v>
                </c:pt>
                <c:pt idx="210">
                  <c:v>100000000000000</c:v>
                </c:pt>
                <c:pt idx="211">
                  <c:v>1.12E+16</c:v>
                </c:pt>
                <c:pt idx="212">
                  <c:v>1.19E+16</c:v>
                </c:pt>
                <c:pt idx="213">
                  <c:v>7370000000000000</c:v>
                </c:pt>
                <c:pt idx="214">
                  <c:v>203000000000000</c:v>
                </c:pt>
                <c:pt idx="215">
                  <c:v>156000000000000</c:v>
                </c:pt>
                <c:pt idx="216">
                  <c:v>271000000000000</c:v>
                </c:pt>
                <c:pt idx="217">
                  <c:v>225000000000000</c:v>
                </c:pt>
                <c:pt idx="218" formatCode="General">
                  <c:v>0</c:v>
                </c:pt>
                <c:pt idx="219">
                  <c:v>285000000000000</c:v>
                </c:pt>
                <c:pt idx="220">
                  <c:v>112000000000000</c:v>
                </c:pt>
                <c:pt idx="221">
                  <c:v>168000000000000</c:v>
                </c:pt>
                <c:pt idx="222">
                  <c:v>184000000000000</c:v>
                </c:pt>
                <c:pt idx="223">
                  <c:v>105000000000000</c:v>
                </c:pt>
                <c:pt idx="224" formatCode="General">
                  <c:v>0</c:v>
                </c:pt>
                <c:pt idx="225">
                  <c:v>83800000000000</c:v>
                </c:pt>
                <c:pt idx="226">
                  <c:v>125000000000000</c:v>
                </c:pt>
                <c:pt idx="227">
                  <c:v>227000000000000</c:v>
                </c:pt>
                <c:pt idx="228">
                  <c:v>91400000000000</c:v>
                </c:pt>
                <c:pt idx="229">
                  <c:v>360000000000000</c:v>
                </c:pt>
                <c:pt idx="230">
                  <c:v>500000000000000</c:v>
                </c:pt>
                <c:pt idx="231">
                  <c:v>550000000000000</c:v>
                </c:pt>
                <c:pt idx="232">
                  <c:v>620000000000000</c:v>
                </c:pt>
                <c:pt idx="233">
                  <c:v>750000000000000</c:v>
                </c:pt>
                <c:pt idx="234">
                  <c:v>470000000000000</c:v>
                </c:pt>
                <c:pt idx="235">
                  <c:v>410000000000000</c:v>
                </c:pt>
                <c:pt idx="236">
                  <c:v>570000000000000</c:v>
                </c:pt>
                <c:pt idx="237">
                  <c:v>770000000000000</c:v>
                </c:pt>
                <c:pt idx="238">
                  <c:v>9400000000000000</c:v>
                </c:pt>
                <c:pt idx="239">
                  <c:v>600000000000000</c:v>
                </c:pt>
                <c:pt idx="240">
                  <c:v>23000000000000</c:v>
                </c:pt>
                <c:pt idx="241">
                  <c:v>9400000000000</c:v>
                </c:pt>
                <c:pt idx="242">
                  <c:v>670000000000000</c:v>
                </c:pt>
                <c:pt idx="243">
                  <c:v>14000000000000</c:v>
                </c:pt>
                <c:pt idx="244">
                  <c:v>33000000000000</c:v>
                </c:pt>
                <c:pt idx="245">
                  <c:v>650000000000000</c:v>
                </c:pt>
                <c:pt idx="246">
                  <c:v>150000000000000</c:v>
                </c:pt>
                <c:pt idx="247">
                  <c:v>130000000000000</c:v>
                </c:pt>
                <c:pt idx="248">
                  <c:v>540000000000000</c:v>
                </c:pt>
                <c:pt idx="249">
                  <c:v>32000000000000</c:v>
                </c:pt>
                <c:pt idx="250">
                  <c:v>19000000000000</c:v>
                </c:pt>
                <c:pt idx="251">
                  <c:v>630000000000000</c:v>
                </c:pt>
                <c:pt idx="252">
                  <c:v>65000000000000</c:v>
                </c:pt>
                <c:pt idx="253">
                  <c:v>560000000000000</c:v>
                </c:pt>
                <c:pt idx="254">
                  <c:v>160000000000000</c:v>
                </c:pt>
                <c:pt idx="255">
                  <c:v>140000000000000</c:v>
                </c:pt>
                <c:pt idx="256">
                  <c:v>400000000000000</c:v>
                </c:pt>
                <c:pt idx="257">
                  <c:v>435000000000000</c:v>
                </c:pt>
                <c:pt idx="258">
                  <c:v>338000000000000</c:v>
                </c:pt>
                <c:pt idx="259">
                  <c:v>262000000000000</c:v>
                </c:pt>
                <c:pt idx="260" formatCode="General">
                  <c:v>0</c:v>
                </c:pt>
                <c:pt idx="261">
                  <c:v>286000000000000</c:v>
                </c:pt>
                <c:pt idx="262">
                  <c:v>262000000000000</c:v>
                </c:pt>
                <c:pt idx="263">
                  <c:v>446000000000000</c:v>
                </c:pt>
                <c:pt idx="264">
                  <c:v>25100000000000</c:v>
                </c:pt>
                <c:pt idx="265">
                  <c:v>15600000000000</c:v>
                </c:pt>
                <c:pt idx="266">
                  <c:v>404000000000000</c:v>
                </c:pt>
                <c:pt idx="267">
                  <c:v>19000000000000</c:v>
                </c:pt>
                <c:pt idx="268">
                  <c:v>14100000000000</c:v>
                </c:pt>
                <c:pt idx="269">
                  <c:v>401000000000000</c:v>
                </c:pt>
                <c:pt idx="270">
                  <c:v>11700000000000</c:v>
                </c:pt>
                <c:pt idx="271">
                  <c:v>9800000000000</c:v>
                </c:pt>
                <c:pt idx="272">
                  <c:v>420000000000000</c:v>
                </c:pt>
                <c:pt idx="273">
                  <c:v>29300000000000</c:v>
                </c:pt>
                <c:pt idx="274">
                  <c:v>14900000000000</c:v>
                </c:pt>
                <c:pt idx="275">
                  <c:v>430000000000000</c:v>
                </c:pt>
                <c:pt idx="276">
                  <c:v>94300000000000</c:v>
                </c:pt>
                <c:pt idx="277">
                  <c:v>71200000000000</c:v>
                </c:pt>
                <c:pt idx="278">
                  <c:v>432000000000000</c:v>
                </c:pt>
                <c:pt idx="279">
                  <c:v>402000000000000</c:v>
                </c:pt>
                <c:pt idx="280">
                  <c:v>66800000000000</c:v>
                </c:pt>
                <c:pt idx="281">
                  <c:v>61300000000000</c:v>
                </c:pt>
                <c:pt idx="282">
                  <c:v>123000000000000</c:v>
                </c:pt>
                <c:pt idx="283">
                  <c:v>143000000000000</c:v>
                </c:pt>
                <c:pt idx="284">
                  <c:v>80500000000000</c:v>
                </c:pt>
                <c:pt idx="285">
                  <c:v>161000000000000</c:v>
                </c:pt>
                <c:pt idx="286">
                  <c:v>102000000000000</c:v>
                </c:pt>
                <c:pt idx="287">
                  <c:v>257000000000000</c:v>
                </c:pt>
                <c:pt idx="288" formatCode="General">
                  <c:v>0</c:v>
                </c:pt>
                <c:pt idx="289">
                  <c:v>3180000000000000</c:v>
                </c:pt>
                <c:pt idx="290">
                  <c:v>2250000000000000</c:v>
                </c:pt>
                <c:pt idx="291">
                  <c:v>136000000000000</c:v>
                </c:pt>
                <c:pt idx="292">
                  <c:v>131000000000000</c:v>
                </c:pt>
                <c:pt idx="293">
                  <c:v>221000000000000</c:v>
                </c:pt>
                <c:pt idx="294">
                  <c:v>177000000000000</c:v>
                </c:pt>
                <c:pt idx="295">
                  <c:v>133000000000000</c:v>
                </c:pt>
                <c:pt idx="296">
                  <c:v>196000000000000</c:v>
                </c:pt>
                <c:pt idx="297">
                  <c:v>198000000000000</c:v>
                </c:pt>
                <c:pt idx="298">
                  <c:v>159000000000000</c:v>
                </c:pt>
                <c:pt idx="299">
                  <c:v>112000000000000</c:v>
                </c:pt>
                <c:pt idx="300">
                  <c:v>146000000000000</c:v>
                </c:pt>
                <c:pt idx="301">
                  <c:v>252000000000000</c:v>
                </c:pt>
                <c:pt idx="302">
                  <c:v>201000000000000</c:v>
                </c:pt>
                <c:pt idx="303">
                  <c:v>150000000000000</c:v>
                </c:pt>
                <c:pt idx="304">
                  <c:v>350000000000000</c:v>
                </c:pt>
                <c:pt idx="305">
                  <c:v>520000000000000</c:v>
                </c:pt>
                <c:pt idx="306">
                  <c:v>510000000000000</c:v>
                </c:pt>
                <c:pt idx="307">
                  <c:v>540000000000000</c:v>
                </c:pt>
                <c:pt idx="308">
                  <c:v>790000000000000</c:v>
                </c:pt>
                <c:pt idx="309">
                  <c:v>760000000000000</c:v>
                </c:pt>
                <c:pt idx="310">
                  <c:v>540000000000000</c:v>
                </c:pt>
                <c:pt idx="311">
                  <c:v>470000000000000</c:v>
                </c:pt>
                <c:pt idx="312">
                  <c:v>860000000000000</c:v>
                </c:pt>
                <c:pt idx="313">
                  <c:v>630000000000000</c:v>
                </c:pt>
                <c:pt idx="314">
                  <c:v>7400000000000000</c:v>
                </c:pt>
                <c:pt idx="315">
                  <c:v>660000000000000</c:v>
                </c:pt>
                <c:pt idx="316">
                  <c:v>59000000000000</c:v>
                </c:pt>
                <c:pt idx="317">
                  <c:v>47000000000000</c:v>
                </c:pt>
                <c:pt idx="318">
                  <c:v>810000000000000</c:v>
                </c:pt>
                <c:pt idx="319">
                  <c:v>75000000000000</c:v>
                </c:pt>
                <c:pt idx="320">
                  <c:v>60000000000000</c:v>
                </c:pt>
                <c:pt idx="321">
                  <c:v>790000000000000</c:v>
                </c:pt>
                <c:pt idx="322">
                  <c:v>300000000000000</c:v>
                </c:pt>
                <c:pt idx="323">
                  <c:v>260000000000000</c:v>
                </c:pt>
                <c:pt idx="324">
                  <c:v>620000000000000</c:v>
                </c:pt>
                <c:pt idx="325">
                  <c:v>120000000000000</c:v>
                </c:pt>
                <c:pt idx="326">
                  <c:v>110000000000000</c:v>
                </c:pt>
                <c:pt idx="327">
                  <c:v>770000000000000</c:v>
                </c:pt>
                <c:pt idx="328">
                  <c:v>110000000000000</c:v>
                </c:pt>
                <c:pt idx="329">
                  <c:v>690000000000000</c:v>
                </c:pt>
                <c:pt idx="330">
                  <c:v>270000000000000</c:v>
                </c:pt>
                <c:pt idx="331">
                  <c:v>240000000000000</c:v>
                </c:pt>
                <c:pt idx="332">
                  <c:v>430000000000000</c:v>
                </c:pt>
                <c:pt idx="333">
                  <c:v>400000000000000</c:v>
                </c:pt>
                <c:pt idx="334">
                  <c:v>493000000000000</c:v>
                </c:pt>
                <c:pt idx="335">
                  <c:v>320000000000000</c:v>
                </c:pt>
                <c:pt idx="336">
                  <c:v>360000000000000</c:v>
                </c:pt>
                <c:pt idx="337">
                  <c:v>479000000000000</c:v>
                </c:pt>
                <c:pt idx="338">
                  <c:v>320000000000000</c:v>
                </c:pt>
                <c:pt idx="339">
                  <c:v>79300000000000</c:v>
                </c:pt>
                <c:pt idx="340">
                  <c:v>498000000000000</c:v>
                </c:pt>
                <c:pt idx="341">
                  <c:v>103000000000000</c:v>
                </c:pt>
                <c:pt idx="342">
                  <c:v>68400000000000</c:v>
                </c:pt>
                <c:pt idx="343">
                  <c:v>502000000000000</c:v>
                </c:pt>
                <c:pt idx="344">
                  <c:v>66300000000000</c:v>
                </c:pt>
                <c:pt idx="345">
                  <c:v>61300000000000</c:v>
                </c:pt>
                <c:pt idx="346">
                  <c:v>437000000000000</c:v>
                </c:pt>
                <c:pt idx="347">
                  <c:v>69400000000000</c:v>
                </c:pt>
                <c:pt idx="348">
                  <c:v>116000000000000</c:v>
                </c:pt>
                <c:pt idx="349">
                  <c:v>535000000000000</c:v>
                </c:pt>
                <c:pt idx="350">
                  <c:v>81600000000000</c:v>
                </c:pt>
                <c:pt idx="351">
                  <c:v>255000000000000</c:v>
                </c:pt>
                <c:pt idx="352">
                  <c:v>147000000000000</c:v>
                </c:pt>
                <c:pt idx="353">
                  <c:v>516000000000000</c:v>
                </c:pt>
                <c:pt idx="354">
                  <c:v>107000000000000</c:v>
                </c:pt>
                <c:pt idx="355">
                  <c:v>218000000000000</c:v>
                </c:pt>
                <c:pt idx="356">
                  <c:v>302000000000000</c:v>
                </c:pt>
                <c:pt idx="357">
                  <c:v>333000000000000</c:v>
                </c:pt>
                <c:pt idx="358">
                  <c:v>464000000000000</c:v>
                </c:pt>
                <c:pt idx="359">
                  <c:v>534000000000000</c:v>
                </c:pt>
                <c:pt idx="360">
                  <c:v>1790000000000000</c:v>
                </c:pt>
                <c:pt idx="361">
                  <c:v>299000000000000</c:v>
                </c:pt>
                <c:pt idx="362">
                  <c:v>377000000000000</c:v>
                </c:pt>
                <c:pt idx="363">
                  <c:v>254000000000000</c:v>
                </c:pt>
                <c:pt idx="364">
                  <c:v>370000000000000</c:v>
                </c:pt>
                <c:pt idx="365">
                  <c:v>298000000000000</c:v>
                </c:pt>
                <c:pt idx="366">
                  <c:v>322000000000000</c:v>
                </c:pt>
                <c:pt idx="367">
                  <c:v>292000000000000</c:v>
                </c:pt>
                <c:pt idx="368">
                  <c:v>414000000000000</c:v>
                </c:pt>
                <c:pt idx="369">
                  <c:v>345000000000000</c:v>
                </c:pt>
                <c:pt idx="370">
                  <c:v>590000000000000</c:v>
                </c:pt>
                <c:pt idx="371">
                  <c:v>530000000000000</c:v>
                </c:pt>
                <c:pt idx="372">
                  <c:v>940000000000000</c:v>
                </c:pt>
                <c:pt idx="373">
                  <c:v>850000000000000</c:v>
                </c:pt>
                <c:pt idx="374">
                  <c:v>1000000000000000</c:v>
                </c:pt>
                <c:pt idx="375">
                  <c:v>1200000000000000</c:v>
                </c:pt>
                <c:pt idx="376">
                  <c:v>1000000000000000</c:v>
                </c:pt>
                <c:pt idx="377">
                  <c:v>5500000000000000</c:v>
                </c:pt>
                <c:pt idx="378">
                  <c:v>230000000000000</c:v>
                </c:pt>
                <c:pt idx="379">
                  <c:v>740000000000000</c:v>
                </c:pt>
                <c:pt idx="380">
                  <c:v>250000000000000</c:v>
                </c:pt>
                <c:pt idx="381">
                  <c:v>290000000000000</c:v>
                </c:pt>
                <c:pt idx="382">
                  <c:v>910000000000000</c:v>
                </c:pt>
                <c:pt idx="383">
                  <c:v>300000000000000</c:v>
                </c:pt>
                <c:pt idx="384">
                  <c:v>580000000000000</c:v>
                </c:pt>
                <c:pt idx="385">
                  <c:v>880000000000000</c:v>
                </c:pt>
                <c:pt idx="386">
                  <c:v>560000000000000</c:v>
                </c:pt>
                <c:pt idx="387">
                  <c:v>350000000000000</c:v>
                </c:pt>
                <c:pt idx="388">
                  <c:v>690000000000000</c:v>
                </c:pt>
                <c:pt idx="389">
                  <c:v>330000000000000</c:v>
                </c:pt>
                <c:pt idx="390">
                  <c:v>330000000000000</c:v>
                </c:pt>
                <c:pt idx="391">
                  <c:v>920000000000000</c:v>
                </c:pt>
                <c:pt idx="392">
                  <c:v>530000000000000</c:v>
                </c:pt>
                <c:pt idx="393">
                  <c:v>800000000000000</c:v>
                </c:pt>
                <c:pt idx="394">
                  <c:v>530000000000000</c:v>
                </c:pt>
                <c:pt idx="395">
                  <c:v>790000000000000</c:v>
                </c:pt>
                <c:pt idx="396">
                  <c:v>541000000000000</c:v>
                </c:pt>
                <c:pt idx="397">
                  <c:v>449000000000000</c:v>
                </c:pt>
                <c:pt idx="398">
                  <c:v>596000000000000</c:v>
                </c:pt>
                <c:pt idx="399">
                  <c:v>533000000000000</c:v>
                </c:pt>
                <c:pt idx="400">
                  <c:v>558000000000000</c:v>
                </c:pt>
                <c:pt idx="401">
                  <c:v>559000000000000</c:v>
                </c:pt>
                <c:pt idx="402">
                  <c:v>614000000000000</c:v>
                </c:pt>
                <c:pt idx="403">
                  <c:v>214000000000000</c:v>
                </c:pt>
                <c:pt idx="404">
                  <c:v>242000000000000</c:v>
                </c:pt>
                <c:pt idx="405">
                  <c:v>609000000000000</c:v>
                </c:pt>
                <c:pt idx="406">
                  <c:v>227000000000000</c:v>
                </c:pt>
                <c:pt idx="407">
                  <c:v>228000000000000</c:v>
                </c:pt>
                <c:pt idx="408">
                  <c:v>506000000000000</c:v>
                </c:pt>
                <c:pt idx="409">
                  <c:v>198000000000000</c:v>
                </c:pt>
                <c:pt idx="410">
                  <c:v>204000000000000</c:v>
                </c:pt>
                <c:pt idx="411">
                  <c:v>605000000000000</c:v>
                </c:pt>
                <c:pt idx="412">
                  <c:v>231000000000000</c:v>
                </c:pt>
                <c:pt idx="413">
                  <c:v>249000000000000</c:v>
                </c:pt>
                <c:pt idx="414">
                  <c:v>430000000000000</c:v>
                </c:pt>
                <c:pt idx="415">
                  <c:v>568000000000000</c:v>
                </c:pt>
                <c:pt idx="416">
                  <c:v>254000000000000</c:v>
                </c:pt>
                <c:pt idx="417">
                  <c:v>252000000000000</c:v>
                </c:pt>
                <c:pt idx="418">
                  <c:v>447000000000000</c:v>
                </c:pt>
                <c:pt idx="419">
                  <c:v>403000000000000</c:v>
                </c:pt>
                <c:pt idx="420">
                  <c:v>350000000000000</c:v>
                </c:pt>
                <c:pt idx="421">
                  <c:v>545000000000000</c:v>
                </c:pt>
                <c:pt idx="422">
                  <c:v>1310000000000000</c:v>
                </c:pt>
                <c:pt idx="423">
                  <c:v>1210000000000000</c:v>
                </c:pt>
                <c:pt idx="424">
                  <c:v>1420000000000000</c:v>
                </c:pt>
                <c:pt idx="425">
                  <c:v>535000000000000</c:v>
                </c:pt>
                <c:pt idx="426">
                  <c:v>276000000000000</c:v>
                </c:pt>
                <c:pt idx="427">
                  <c:v>465000000000000</c:v>
                </c:pt>
                <c:pt idx="428">
                  <c:v>374000000000000</c:v>
                </c:pt>
                <c:pt idx="429">
                  <c:v>425000000000000</c:v>
                </c:pt>
                <c:pt idx="430">
                  <c:v>482000000000000</c:v>
                </c:pt>
                <c:pt idx="431">
                  <c:v>678000000000000</c:v>
                </c:pt>
                <c:pt idx="432">
                  <c:v>391000000000000</c:v>
                </c:pt>
                <c:pt idx="433">
                  <c:v>970000000000000</c:v>
                </c:pt>
                <c:pt idx="434">
                  <c:v>388000000000000</c:v>
                </c:pt>
                <c:pt idx="435">
                  <c:v>580000000000000</c:v>
                </c:pt>
                <c:pt idx="436">
                  <c:v>1250000000000000</c:v>
                </c:pt>
                <c:pt idx="437">
                  <c:v>5000000000000000</c:v>
                </c:pt>
                <c:pt idx="438">
                  <c:v>447000000000000</c:v>
                </c:pt>
                <c:pt idx="439">
                  <c:v>497000000000000</c:v>
                </c:pt>
                <c:pt idx="440">
                  <c:v>871000000000000</c:v>
                </c:pt>
                <c:pt idx="441">
                  <c:v>584000000000000</c:v>
                </c:pt>
                <c:pt idx="442">
                  <c:v>783000000000000</c:v>
                </c:pt>
                <c:pt idx="443">
                  <c:v>888000000000000</c:v>
                </c:pt>
                <c:pt idx="444">
                  <c:v>770000000000000</c:v>
                </c:pt>
                <c:pt idx="445">
                  <c:v>643000000000000</c:v>
                </c:pt>
                <c:pt idx="446">
                  <c:v>271000000000000</c:v>
                </c:pt>
                <c:pt idx="447">
                  <c:v>354000000000000</c:v>
                </c:pt>
                <c:pt idx="448">
                  <c:v>324000000000000</c:v>
                </c:pt>
                <c:pt idx="449">
                  <c:v>314000000000000</c:v>
                </c:pt>
                <c:pt idx="450">
                  <c:v>332000000000000</c:v>
                </c:pt>
                <c:pt idx="451">
                  <c:v>708000000000000</c:v>
                </c:pt>
                <c:pt idx="452">
                  <c:v>637000000000000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EB-A346-A2E6-88F9C75FF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236992"/>
        <c:axId val="168728031"/>
      </c:scatterChart>
      <c:valAx>
        <c:axId val="204023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8031"/>
        <c:crosses val="autoZero"/>
        <c:crossBetween val="midCat"/>
      </c:valAx>
      <c:valAx>
        <c:axId val="168728031"/>
        <c:scaling>
          <c:orientation val="minMax"/>
          <c:max val="1.8E+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3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97070</xdr:colOff>
      <xdr:row>8</xdr:row>
      <xdr:rowOff>67733</xdr:rowOff>
    </xdr:from>
    <xdr:to>
      <xdr:col>36</xdr:col>
      <xdr:colOff>423333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72FCF5-F8B5-D67A-D8B7-D2DCE1D09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35A1-3B9E-8B48-B3DB-BB0C5421D9E8}">
  <dimension ref="A1:X454"/>
  <sheetViews>
    <sheetView zoomScale="50" workbookViewId="0">
      <selection activeCell="AC113" sqref="AC113"/>
    </sheetView>
  </sheetViews>
  <sheetFormatPr baseColWidth="10" defaultRowHeight="16" x14ac:dyDescent="0.2"/>
  <cols>
    <col min="1" max="1" width="12.83203125" bestFit="1" customWidth="1"/>
    <col min="2" max="2" width="10.83203125" customWidth="1"/>
  </cols>
  <sheetData>
    <row r="1" spans="1:24" x14ac:dyDescent="0.2">
      <c r="A1" t="s">
        <v>6</v>
      </c>
      <c r="B1" t="s">
        <v>5</v>
      </c>
      <c r="C1" t="s">
        <v>7</v>
      </c>
      <c r="D1" t="s">
        <v>20</v>
      </c>
      <c r="E1" t="s">
        <v>144</v>
      </c>
      <c r="F1" t="s">
        <v>21</v>
      </c>
      <c r="G1" t="s">
        <v>22</v>
      </c>
      <c r="H1" t="s">
        <v>9</v>
      </c>
      <c r="I1" t="s">
        <v>25</v>
      </c>
      <c r="J1" t="s">
        <v>23</v>
      </c>
      <c r="K1" t="s">
        <v>26</v>
      </c>
      <c r="L1" t="s">
        <v>31</v>
      </c>
      <c r="M1" t="s">
        <v>28</v>
      </c>
      <c r="N1" t="s">
        <v>29</v>
      </c>
      <c r="O1" t="s">
        <v>30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</row>
    <row r="2" spans="1:24" x14ac:dyDescent="0.2">
      <c r="A2" t="s">
        <v>32</v>
      </c>
      <c r="B2" t="s">
        <v>1</v>
      </c>
      <c r="C2" t="s">
        <v>8</v>
      </c>
      <c r="E2">
        <v>273</v>
      </c>
      <c r="F2">
        <v>17.600000000000001</v>
      </c>
      <c r="G2">
        <v>0.93</v>
      </c>
      <c r="H2">
        <v>383</v>
      </c>
      <c r="I2">
        <v>13.69</v>
      </c>
      <c r="J2">
        <v>28</v>
      </c>
      <c r="K2">
        <v>4</v>
      </c>
      <c r="L2" t="s">
        <v>24</v>
      </c>
      <c r="M2" s="4">
        <v>2490000000000000</v>
      </c>
      <c r="N2" s="4">
        <v>3.82E+16</v>
      </c>
      <c r="O2" s="4">
        <v>4.07E+16</v>
      </c>
      <c r="P2">
        <v>52.74</v>
      </c>
      <c r="Q2" t="s">
        <v>24</v>
      </c>
      <c r="R2" t="s">
        <v>24</v>
      </c>
      <c r="S2" t="s">
        <v>24</v>
      </c>
      <c r="T2" t="s">
        <v>24</v>
      </c>
      <c r="U2">
        <v>16.899999999999999</v>
      </c>
      <c r="V2">
        <v>32.6</v>
      </c>
      <c r="W2">
        <v>12.4</v>
      </c>
      <c r="X2">
        <v>37.200000000000003</v>
      </c>
    </row>
    <row r="3" spans="1:24" x14ac:dyDescent="0.2">
      <c r="A3" t="s">
        <v>32</v>
      </c>
      <c r="B3" t="s">
        <v>1</v>
      </c>
      <c r="C3" t="s">
        <v>8</v>
      </c>
      <c r="E3">
        <v>445</v>
      </c>
      <c r="F3">
        <v>17.600000000000001</v>
      </c>
      <c r="G3">
        <v>0.93</v>
      </c>
      <c r="H3">
        <v>383</v>
      </c>
      <c r="I3">
        <v>13.69</v>
      </c>
      <c r="J3">
        <v>32</v>
      </c>
      <c r="K3">
        <v>4</v>
      </c>
      <c r="L3">
        <v>9.8000000000000004E-2</v>
      </c>
      <c r="M3" s="4">
        <v>2260000000000000</v>
      </c>
      <c r="N3" s="4">
        <v>2.8E+16</v>
      </c>
      <c r="O3" s="4">
        <v>3.03E+16</v>
      </c>
      <c r="P3">
        <v>12.37</v>
      </c>
      <c r="Q3">
        <v>0.87</v>
      </c>
      <c r="R3">
        <v>0.13</v>
      </c>
      <c r="S3">
        <v>129.4282906</v>
      </c>
      <c r="T3">
        <v>19.324947850000001</v>
      </c>
      <c r="U3">
        <v>16.5</v>
      </c>
      <c r="V3">
        <v>27.2</v>
      </c>
      <c r="W3">
        <v>12.7</v>
      </c>
      <c r="X3">
        <v>28.8</v>
      </c>
    </row>
    <row r="4" spans="1:24" x14ac:dyDescent="0.2">
      <c r="A4" t="s">
        <v>32</v>
      </c>
      <c r="B4" t="s">
        <v>1</v>
      </c>
      <c r="C4" t="s">
        <v>8</v>
      </c>
      <c r="E4">
        <v>50</v>
      </c>
      <c r="F4">
        <v>17.600000000000001</v>
      </c>
      <c r="G4">
        <v>0.93</v>
      </c>
      <c r="H4">
        <v>383</v>
      </c>
      <c r="I4">
        <v>13.69</v>
      </c>
      <c r="J4">
        <v>34</v>
      </c>
      <c r="K4">
        <v>4</v>
      </c>
      <c r="L4">
        <v>9.4E-2</v>
      </c>
      <c r="M4" s="4">
        <v>2180000000000000</v>
      </c>
      <c r="N4" s="4">
        <v>2.68E+16</v>
      </c>
      <c r="O4" s="4">
        <v>2.9E+16</v>
      </c>
      <c r="P4">
        <v>12.49</v>
      </c>
      <c r="Q4">
        <v>0.92800000000000005</v>
      </c>
      <c r="R4">
        <v>7.1999999999999995E-2</v>
      </c>
      <c r="S4">
        <v>82.929467380000006</v>
      </c>
      <c r="T4">
        <v>6.4095374520000004</v>
      </c>
      <c r="U4">
        <v>15.1</v>
      </c>
      <c r="V4">
        <v>29</v>
      </c>
      <c r="W4">
        <v>11.8</v>
      </c>
      <c r="X4">
        <v>65.8</v>
      </c>
    </row>
    <row r="5" spans="1:24" x14ac:dyDescent="0.2">
      <c r="A5" t="s">
        <v>32</v>
      </c>
      <c r="B5" t="s">
        <v>1</v>
      </c>
      <c r="C5" t="s">
        <v>8</v>
      </c>
      <c r="E5">
        <v>266</v>
      </c>
      <c r="F5">
        <v>17.600000000000001</v>
      </c>
      <c r="G5">
        <v>0.93</v>
      </c>
      <c r="H5">
        <v>383</v>
      </c>
      <c r="I5">
        <v>13.69</v>
      </c>
      <c r="J5">
        <v>33</v>
      </c>
      <c r="K5">
        <v>4</v>
      </c>
      <c r="L5">
        <v>9.8000000000000004E-2</v>
      </c>
      <c r="M5" s="4">
        <v>1790000000000000</v>
      </c>
      <c r="N5" s="4">
        <v>2.26E+16</v>
      </c>
      <c r="O5" s="4">
        <v>2.44E+16</v>
      </c>
      <c r="P5">
        <v>11.33</v>
      </c>
      <c r="Q5">
        <v>0.76900000000000002</v>
      </c>
      <c r="R5">
        <v>0.23100000000000001</v>
      </c>
      <c r="S5">
        <v>86.266230320000005</v>
      </c>
      <c r="T5">
        <v>25.87959275</v>
      </c>
      <c r="U5">
        <v>16.399999999999999</v>
      </c>
      <c r="V5">
        <v>28.2</v>
      </c>
      <c r="W5">
        <v>12.7</v>
      </c>
      <c r="X5">
        <v>38.5</v>
      </c>
    </row>
    <row r="6" spans="1:24" x14ac:dyDescent="0.2">
      <c r="A6" t="s">
        <v>32</v>
      </c>
      <c r="B6" t="s">
        <v>1</v>
      </c>
      <c r="C6" t="s">
        <v>8</v>
      </c>
      <c r="E6">
        <v>674</v>
      </c>
      <c r="F6">
        <v>17.600000000000001</v>
      </c>
      <c r="G6">
        <v>0.93</v>
      </c>
      <c r="H6">
        <v>383</v>
      </c>
      <c r="I6">
        <v>13.69</v>
      </c>
      <c r="J6">
        <v>33</v>
      </c>
      <c r="K6">
        <v>4</v>
      </c>
      <c r="L6">
        <v>9.6000000000000002E-2</v>
      </c>
      <c r="M6" s="4">
        <v>1880000000000000</v>
      </c>
      <c r="N6" s="4">
        <v>2.2E+16</v>
      </c>
      <c r="O6" s="4">
        <v>2.39E+16</v>
      </c>
      <c r="P6">
        <v>9.77</v>
      </c>
      <c r="Q6">
        <v>0.86299999999999999</v>
      </c>
      <c r="R6">
        <v>0.13700000000000001</v>
      </c>
      <c r="S6">
        <v>111.6699923</v>
      </c>
      <c r="T6">
        <v>17.68940654</v>
      </c>
      <c r="U6">
        <v>16.399999999999999</v>
      </c>
      <c r="V6">
        <v>27.4</v>
      </c>
      <c r="W6">
        <v>12.5</v>
      </c>
      <c r="X6">
        <v>30.4</v>
      </c>
    </row>
    <row r="7" spans="1:24" x14ac:dyDescent="0.2">
      <c r="A7" t="s">
        <v>32</v>
      </c>
      <c r="B7" t="s">
        <v>1</v>
      </c>
      <c r="C7" t="s">
        <v>8</v>
      </c>
      <c r="E7">
        <v>262</v>
      </c>
      <c r="F7">
        <v>17.600000000000001</v>
      </c>
      <c r="G7">
        <v>0.93</v>
      </c>
      <c r="H7">
        <v>383</v>
      </c>
      <c r="I7">
        <v>13.69</v>
      </c>
      <c r="J7">
        <v>35</v>
      </c>
      <c r="K7">
        <v>4</v>
      </c>
      <c r="L7">
        <v>0.1</v>
      </c>
      <c r="M7" s="4">
        <v>1730000000000000</v>
      </c>
      <c r="N7" s="4">
        <v>2.73E+16</v>
      </c>
      <c r="O7" s="4">
        <v>2.91E+16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>
        <v>19.3</v>
      </c>
      <c r="V7">
        <v>28.7</v>
      </c>
      <c r="W7">
        <v>14.7</v>
      </c>
      <c r="X7">
        <v>30.5</v>
      </c>
    </row>
    <row r="8" spans="1:24" x14ac:dyDescent="0.2">
      <c r="A8" t="s">
        <v>32</v>
      </c>
      <c r="B8" t="s">
        <v>1</v>
      </c>
      <c r="C8" t="s">
        <v>8</v>
      </c>
      <c r="E8">
        <v>231</v>
      </c>
      <c r="F8">
        <v>17.600000000000001</v>
      </c>
      <c r="G8">
        <v>0.93</v>
      </c>
      <c r="H8">
        <v>383</v>
      </c>
      <c r="I8">
        <v>13.69</v>
      </c>
      <c r="J8">
        <v>22</v>
      </c>
      <c r="K8">
        <v>4</v>
      </c>
      <c r="L8">
        <v>9.2999999999999999E-2</v>
      </c>
      <c r="M8" s="4">
        <v>3230000000000000</v>
      </c>
      <c r="N8" s="4">
        <v>4.69E+16</v>
      </c>
      <c r="O8" s="4">
        <v>5.01E+16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>
        <v>16.3</v>
      </c>
      <c r="V8">
        <v>25</v>
      </c>
      <c r="W8">
        <v>11.2</v>
      </c>
      <c r="X8">
        <v>31.2</v>
      </c>
    </row>
    <row r="9" spans="1:24" x14ac:dyDescent="0.2">
      <c r="A9" t="s">
        <v>32</v>
      </c>
      <c r="B9" t="s">
        <v>1</v>
      </c>
      <c r="C9" t="s">
        <v>8</v>
      </c>
      <c r="E9">
        <v>395</v>
      </c>
      <c r="F9">
        <v>17.600000000000001</v>
      </c>
      <c r="G9">
        <v>0.93</v>
      </c>
      <c r="H9">
        <v>383</v>
      </c>
      <c r="I9">
        <v>13.69</v>
      </c>
      <c r="J9">
        <v>24</v>
      </c>
      <c r="K9">
        <v>4</v>
      </c>
      <c r="L9">
        <v>9.1999999999999998E-2</v>
      </c>
      <c r="M9" s="4">
        <v>2990000000000000</v>
      </c>
      <c r="N9" s="4">
        <v>4.64E+16</v>
      </c>
      <c r="O9" s="4">
        <v>4.94E+16</v>
      </c>
      <c r="P9">
        <v>14.05</v>
      </c>
      <c r="Q9" t="s">
        <v>24</v>
      </c>
      <c r="R9" t="s">
        <v>24</v>
      </c>
      <c r="S9" t="s">
        <v>24</v>
      </c>
      <c r="T9" t="s">
        <v>24</v>
      </c>
      <c r="U9">
        <v>16.2</v>
      </c>
      <c r="V9">
        <v>24.6</v>
      </c>
      <c r="W9">
        <v>11.3</v>
      </c>
      <c r="X9">
        <v>27</v>
      </c>
    </row>
    <row r="10" spans="1:24" x14ac:dyDescent="0.2">
      <c r="A10" t="s">
        <v>32</v>
      </c>
      <c r="B10" t="s">
        <v>1</v>
      </c>
      <c r="C10" t="s">
        <v>9</v>
      </c>
      <c r="E10">
        <v>154</v>
      </c>
      <c r="F10">
        <v>17.3</v>
      </c>
      <c r="G10">
        <v>1.31</v>
      </c>
      <c r="H10">
        <v>1595</v>
      </c>
      <c r="I10">
        <v>13.67</v>
      </c>
      <c r="J10">
        <v>33</v>
      </c>
      <c r="K10">
        <v>4</v>
      </c>
      <c r="L10">
        <v>9.6000000000000002E-2</v>
      </c>
      <c r="M10" s="4">
        <v>2540000000000000</v>
      </c>
      <c r="N10" s="4">
        <v>3.54E+16</v>
      </c>
      <c r="O10" s="4">
        <v>3.79E+16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>
        <v>15.8</v>
      </c>
      <c r="V10">
        <v>24.8</v>
      </c>
      <c r="W10">
        <v>12</v>
      </c>
      <c r="X10">
        <v>31.8</v>
      </c>
    </row>
    <row r="11" spans="1:24" x14ac:dyDescent="0.2">
      <c r="A11" t="s">
        <v>32</v>
      </c>
      <c r="B11" t="s">
        <v>1</v>
      </c>
      <c r="C11" t="s">
        <v>9</v>
      </c>
      <c r="E11">
        <v>217</v>
      </c>
      <c r="F11">
        <v>17.3</v>
      </c>
      <c r="G11">
        <v>1.31</v>
      </c>
      <c r="H11">
        <v>1595</v>
      </c>
      <c r="I11">
        <v>13.67</v>
      </c>
      <c r="J11">
        <v>33</v>
      </c>
      <c r="K11">
        <v>4</v>
      </c>
      <c r="L11">
        <v>9.6000000000000002E-2</v>
      </c>
      <c r="M11" s="4">
        <v>3750000000000000</v>
      </c>
      <c r="N11" s="4">
        <v>4.48E+16</v>
      </c>
      <c r="O11" s="4">
        <v>4.85E+16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>
        <v>16.3</v>
      </c>
      <c r="V11">
        <v>24</v>
      </c>
      <c r="W11">
        <v>12.4</v>
      </c>
      <c r="X11">
        <v>23.3</v>
      </c>
    </row>
    <row r="12" spans="1:24" x14ac:dyDescent="0.2">
      <c r="A12" t="s">
        <v>32</v>
      </c>
      <c r="B12" t="s">
        <v>1</v>
      </c>
      <c r="C12" t="s">
        <v>9</v>
      </c>
      <c r="E12">
        <v>265</v>
      </c>
      <c r="F12">
        <v>17.3</v>
      </c>
      <c r="G12">
        <v>1.31</v>
      </c>
      <c r="H12">
        <v>1595</v>
      </c>
      <c r="I12">
        <v>13.67</v>
      </c>
      <c r="J12">
        <v>33</v>
      </c>
      <c r="K12">
        <v>4</v>
      </c>
      <c r="L12">
        <v>9.6000000000000002E-2</v>
      </c>
      <c r="M12" s="4">
        <v>3910000000000000</v>
      </c>
      <c r="N12" s="4">
        <v>4.63E+16</v>
      </c>
      <c r="O12" s="4">
        <v>5.02E+16</v>
      </c>
      <c r="P12">
        <v>10.88</v>
      </c>
      <c r="Q12" t="s">
        <v>24</v>
      </c>
      <c r="R12" t="s">
        <v>24</v>
      </c>
      <c r="S12" t="s">
        <v>24</v>
      </c>
      <c r="T12" t="s">
        <v>24</v>
      </c>
      <c r="U12">
        <v>16.7</v>
      </c>
      <c r="V12">
        <v>23.7</v>
      </c>
      <c r="W12">
        <v>12.4</v>
      </c>
      <c r="X12">
        <v>23.1</v>
      </c>
    </row>
    <row r="13" spans="1:24" x14ac:dyDescent="0.2">
      <c r="A13" t="s">
        <v>32</v>
      </c>
      <c r="B13" t="s">
        <v>1</v>
      </c>
      <c r="C13" t="s">
        <v>9</v>
      </c>
      <c r="E13">
        <v>260</v>
      </c>
      <c r="F13">
        <v>17.3</v>
      </c>
      <c r="G13">
        <v>1.31</v>
      </c>
      <c r="H13">
        <v>1595</v>
      </c>
      <c r="I13">
        <v>13.67</v>
      </c>
      <c r="J13">
        <v>33</v>
      </c>
      <c r="K13">
        <v>4</v>
      </c>
      <c r="L13">
        <v>9.7000000000000003E-2</v>
      </c>
      <c r="M13" s="4">
        <v>3780000000000000</v>
      </c>
      <c r="N13" s="4">
        <v>5.83E+16</v>
      </c>
      <c r="O13" s="4">
        <v>6.21E+16</v>
      </c>
      <c r="P13">
        <v>8.42</v>
      </c>
      <c r="Q13">
        <v>0.68500000000000005</v>
      </c>
      <c r="R13">
        <v>0.315</v>
      </c>
      <c r="S13">
        <v>107.3041827</v>
      </c>
      <c r="T13">
        <v>49.446628850000003</v>
      </c>
      <c r="U13">
        <v>16.8</v>
      </c>
      <c r="V13">
        <v>22.6</v>
      </c>
      <c r="W13">
        <v>12.5</v>
      </c>
      <c r="X13">
        <v>24.7</v>
      </c>
    </row>
    <row r="14" spans="1:24" x14ac:dyDescent="0.2">
      <c r="A14" t="s">
        <v>32</v>
      </c>
      <c r="B14" t="s">
        <v>1</v>
      </c>
      <c r="C14" t="s">
        <v>9</v>
      </c>
      <c r="E14">
        <v>249</v>
      </c>
      <c r="F14">
        <v>17.3</v>
      </c>
      <c r="G14">
        <v>1.31</v>
      </c>
      <c r="H14">
        <v>1595</v>
      </c>
      <c r="I14">
        <v>13.67</v>
      </c>
      <c r="J14">
        <v>25</v>
      </c>
      <c r="K14">
        <v>4</v>
      </c>
      <c r="L14">
        <v>9.7000000000000003E-2</v>
      </c>
      <c r="M14" s="4">
        <v>5070000000000000</v>
      </c>
      <c r="N14" s="4">
        <v>5.59E+16</v>
      </c>
      <c r="O14" s="4">
        <v>6.09E+16</v>
      </c>
      <c r="P14">
        <v>-0.96</v>
      </c>
      <c r="Q14" t="s">
        <v>24</v>
      </c>
      <c r="R14" t="s">
        <v>24</v>
      </c>
      <c r="S14" t="s">
        <v>24</v>
      </c>
      <c r="T14" t="s">
        <v>24</v>
      </c>
      <c r="U14">
        <v>16.5</v>
      </c>
      <c r="V14">
        <v>22.1</v>
      </c>
      <c r="W14">
        <v>11.5</v>
      </c>
      <c r="X14">
        <v>19.100000000000001</v>
      </c>
    </row>
    <row r="15" spans="1:24" x14ac:dyDescent="0.2">
      <c r="A15" t="s">
        <v>32</v>
      </c>
      <c r="B15" t="s">
        <v>1</v>
      </c>
      <c r="C15" t="s">
        <v>9</v>
      </c>
      <c r="E15">
        <v>283</v>
      </c>
      <c r="F15">
        <v>17.3</v>
      </c>
      <c r="G15">
        <v>1.31</v>
      </c>
      <c r="H15">
        <v>1595</v>
      </c>
      <c r="I15">
        <v>13.67</v>
      </c>
      <c r="J15">
        <v>26</v>
      </c>
      <c r="K15">
        <v>4</v>
      </c>
      <c r="L15">
        <v>9.7000000000000003E-2</v>
      </c>
      <c r="M15" s="4">
        <v>4530000000000000</v>
      </c>
      <c r="N15" s="4">
        <v>5.48E+16</v>
      </c>
      <c r="O15" s="4">
        <v>5.93E+16</v>
      </c>
      <c r="P15">
        <v>11.73</v>
      </c>
      <c r="Q15">
        <v>0.77100000000000002</v>
      </c>
      <c r="R15">
        <v>0.22900000000000001</v>
      </c>
      <c r="S15">
        <v>110.2642242</v>
      </c>
      <c r="T15">
        <v>32.831207409999998</v>
      </c>
      <c r="U15">
        <v>16.2</v>
      </c>
      <c r="V15">
        <v>22.1</v>
      </c>
      <c r="W15">
        <v>11.5</v>
      </c>
      <c r="X15">
        <v>19.899999999999999</v>
      </c>
    </row>
    <row r="16" spans="1:24" x14ac:dyDescent="0.2">
      <c r="A16" t="s">
        <v>32</v>
      </c>
      <c r="B16" t="s">
        <v>1</v>
      </c>
      <c r="C16" t="s">
        <v>10</v>
      </c>
      <c r="E16">
        <v>222</v>
      </c>
      <c r="F16">
        <v>21.8</v>
      </c>
      <c r="G16">
        <v>1.34</v>
      </c>
      <c r="H16">
        <v>530</v>
      </c>
      <c r="I16">
        <v>13.7</v>
      </c>
      <c r="J16">
        <v>29</v>
      </c>
      <c r="K16">
        <v>4</v>
      </c>
      <c r="L16">
        <v>9.5000000000000001E-2</v>
      </c>
      <c r="M16" s="4">
        <v>2760000000000000</v>
      </c>
      <c r="N16" s="4">
        <v>3.41E+16</v>
      </c>
      <c r="O16" s="4">
        <v>3.68E+16</v>
      </c>
      <c r="P16">
        <v>11.46</v>
      </c>
      <c r="Q16">
        <v>0.82399999999999995</v>
      </c>
      <c r="R16">
        <v>0.17599999999999999</v>
      </c>
      <c r="S16">
        <v>59.209479989999998</v>
      </c>
      <c r="T16">
        <v>12.609898510000001</v>
      </c>
      <c r="U16">
        <v>14.1</v>
      </c>
      <c r="V16">
        <v>22.2</v>
      </c>
      <c r="W16">
        <v>11.3</v>
      </c>
      <c r="X16">
        <v>26.7</v>
      </c>
    </row>
    <row r="17" spans="1:24" x14ac:dyDescent="0.2">
      <c r="A17" t="s">
        <v>32</v>
      </c>
      <c r="B17" t="s">
        <v>1</v>
      </c>
      <c r="C17" t="s">
        <v>10</v>
      </c>
      <c r="E17">
        <v>339</v>
      </c>
      <c r="F17">
        <v>21.8</v>
      </c>
      <c r="G17">
        <v>1.34</v>
      </c>
      <c r="H17">
        <v>530</v>
      </c>
      <c r="I17">
        <v>13.7</v>
      </c>
      <c r="J17">
        <v>29</v>
      </c>
      <c r="K17">
        <v>4</v>
      </c>
      <c r="L17">
        <v>9.6000000000000002E-2</v>
      </c>
      <c r="M17" s="4">
        <v>1450000000000000</v>
      </c>
      <c r="N17" s="4">
        <v>3.29E+16</v>
      </c>
      <c r="O17" s="4">
        <v>3.44E+16</v>
      </c>
      <c r="P17">
        <v>9.1999999999999993</v>
      </c>
      <c r="Q17">
        <v>0.78700000000000003</v>
      </c>
      <c r="R17">
        <v>0.21299999999999999</v>
      </c>
      <c r="S17">
        <v>45.175470400000002</v>
      </c>
      <c r="T17">
        <v>12.23932407</v>
      </c>
      <c r="U17">
        <v>13.2</v>
      </c>
      <c r="V17">
        <v>20.3</v>
      </c>
      <c r="W17">
        <v>10.5</v>
      </c>
      <c r="X17">
        <v>26.7</v>
      </c>
    </row>
    <row r="18" spans="1:24" x14ac:dyDescent="0.2">
      <c r="A18" t="s">
        <v>32</v>
      </c>
      <c r="B18" t="s">
        <v>1</v>
      </c>
      <c r="C18" t="s">
        <v>10</v>
      </c>
      <c r="E18">
        <v>267</v>
      </c>
      <c r="F18">
        <v>21.8</v>
      </c>
      <c r="G18">
        <v>1.34</v>
      </c>
      <c r="H18">
        <v>530</v>
      </c>
      <c r="I18">
        <v>13.7</v>
      </c>
      <c r="J18">
        <v>22</v>
      </c>
      <c r="K18">
        <v>4</v>
      </c>
      <c r="L18">
        <v>9.4E-2</v>
      </c>
      <c r="M18" s="4">
        <v>4800000000000000</v>
      </c>
      <c r="N18" s="4">
        <v>5.29E+16</v>
      </c>
      <c r="O18" s="4">
        <v>5.77E+16</v>
      </c>
      <c r="P18">
        <v>21.14</v>
      </c>
      <c r="Q18">
        <v>0.96199999999999997</v>
      </c>
      <c r="R18">
        <v>3.7999999999999999E-2</v>
      </c>
      <c r="S18">
        <v>239.16408799999999</v>
      </c>
      <c r="T18">
        <v>9.4822272890000008</v>
      </c>
      <c r="U18">
        <v>18.100000000000001</v>
      </c>
      <c r="V18">
        <v>25.6</v>
      </c>
      <c r="W18">
        <v>11.9</v>
      </c>
      <c r="X18">
        <v>28.5</v>
      </c>
    </row>
    <row r="19" spans="1:24" x14ac:dyDescent="0.2">
      <c r="A19" t="s">
        <v>32</v>
      </c>
      <c r="B19" t="s">
        <v>1</v>
      </c>
      <c r="C19" t="s">
        <v>10</v>
      </c>
      <c r="E19">
        <v>270</v>
      </c>
      <c r="F19">
        <v>21.8</v>
      </c>
      <c r="G19">
        <v>1.34</v>
      </c>
      <c r="H19">
        <v>530</v>
      </c>
      <c r="I19">
        <v>13.7</v>
      </c>
      <c r="J19">
        <v>19</v>
      </c>
      <c r="K19">
        <v>4</v>
      </c>
      <c r="L19">
        <v>9.6000000000000002E-2</v>
      </c>
      <c r="M19" s="4">
        <v>4480000000000000</v>
      </c>
      <c r="N19" s="4">
        <v>5.43E+16</v>
      </c>
      <c r="O19" s="4">
        <v>5.88E+16</v>
      </c>
      <c r="P19">
        <v>12.11</v>
      </c>
      <c r="Q19">
        <v>0.93700000000000006</v>
      </c>
      <c r="R19">
        <v>6.3E-2</v>
      </c>
      <c r="S19">
        <v>182.480557</v>
      </c>
      <c r="T19">
        <v>12.176998729999999</v>
      </c>
      <c r="U19">
        <v>16.899999999999999</v>
      </c>
      <c r="V19">
        <v>23.4</v>
      </c>
      <c r="W19">
        <v>11.5</v>
      </c>
      <c r="X19">
        <v>22.6</v>
      </c>
    </row>
    <row r="20" spans="1:24" x14ac:dyDescent="0.2">
      <c r="A20" t="s">
        <v>32</v>
      </c>
      <c r="B20" t="s">
        <v>1</v>
      </c>
      <c r="C20" t="s">
        <v>8</v>
      </c>
      <c r="E20">
        <v>165</v>
      </c>
      <c r="F20">
        <v>17.600000000000001</v>
      </c>
      <c r="G20">
        <v>0.93</v>
      </c>
      <c r="H20">
        <v>383</v>
      </c>
      <c r="I20">
        <v>13.69</v>
      </c>
      <c r="J20" t="s">
        <v>24</v>
      </c>
      <c r="K20">
        <v>4</v>
      </c>
      <c r="L20" t="s">
        <v>24</v>
      </c>
      <c r="M20" t="s">
        <v>24</v>
      </c>
      <c r="N20" t="s">
        <v>24</v>
      </c>
      <c r="O20" t="s">
        <v>24</v>
      </c>
      <c r="P20">
        <v>11.47</v>
      </c>
      <c r="Q20" t="s">
        <v>24</v>
      </c>
      <c r="R20" t="s">
        <v>24</v>
      </c>
      <c r="S20" t="s">
        <v>24</v>
      </c>
      <c r="T20" t="s">
        <v>24</v>
      </c>
      <c r="U20">
        <v>16.600000000000001</v>
      </c>
      <c r="V20">
        <v>29.3</v>
      </c>
      <c r="W20" t="s">
        <v>24</v>
      </c>
      <c r="X20" t="s">
        <v>24</v>
      </c>
    </row>
    <row r="21" spans="1:24" x14ac:dyDescent="0.2">
      <c r="A21" t="s">
        <v>32</v>
      </c>
      <c r="B21" t="s">
        <v>1</v>
      </c>
      <c r="C21" t="s">
        <v>8</v>
      </c>
      <c r="E21">
        <v>131</v>
      </c>
      <c r="F21">
        <v>17.600000000000001</v>
      </c>
      <c r="G21">
        <v>0.93</v>
      </c>
      <c r="H21">
        <v>383</v>
      </c>
      <c r="I21">
        <v>13.69</v>
      </c>
      <c r="J21" t="s">
        <v>24</v>
      </c>
      <c r="K21">
        <v>4</v>
      </c>
      <c r="L21" t="s">
        <v>24</v>
      </c>
      <c r="M21" t="s">
        <v>24</v>
      </c>
      <c r="N21" t="s">
        <v>24</v>
      </c>
      <c r="O21" t="s">
        <v>24</v>
      </c>
      <c r="P21">
        <v>41.9</v>
      </c>
      <c r="Q21">
        <v>0.92900000000000005</v>
      </c>
      <c r="R21">
        <v>7.0999999999999994E-2</v>
      </c>
      <c r="S21" t="s">
        <v>24</v>
      </c>
      <c r="T21" t="s">
        <v>24</v>
      </c>
      <c r="U21">
        <v>19.3</v>
      </c>
      <c r="V21">
        <v>32</v>
      </c>
      <c r="W21" t="s">
        <v>24</v>
      </c>
      <c r="X21" t="s">
        <v>24</v>
      </c>
    </row>
    <row r="22" spans="1:24" x14ac:dyDescent="0.2">
      <c r="A22" t="s">
        <v>32</v>
      </c>
      <c r="B22" t="s">
        <v>2</v>
      </c>
      <c r="C22" t="s">
        <v>8</v>
      </c>
      <c r="E22">
        <v>120</v>
      </c>
      <c r="F22">
        <v>18.600000000000001</v>
      </c>
      <c r="G22">
        <v>1.6</v>
      </c>
      <c r="H22">
        <v>1148</v>
      </c>
      <c r="I22">
        <v>13.6</v>
      </c>
      <c r="J22">
        <v>1.3</v>
      </c>
      <c r="K22">
        <v>4</v>
      </c>
      <c r="L22">
        <v>0.124</v>
      </c>
      <c r="M22" s="4">
        <v>2650000000000000</v>
      </c>
      <c r="N22" s="4">
        <v>3.72E+16</v>
      </c>
      <c r="O22" s="4">
        <v>3.99E+16</v>
      </c>
      <c r="P22">
        <v>40.07</v>
      </c>
      <c r="Q22" t="s">
        <v>24</v>
      </c>
      <c r="R22" t="s">
        <v>24</v>
      </c>
      <c r="S22" t="s">
        <v>24</v>
      </c>
      <c r="T22" t="s">
        <v>24</v>
      </c>
      <c r="U22">
        <v>21.6</v>
      </c>
      <c r="V22">
        <v>31.2</v>
      </c>
      <c r="W22">
        <v>12.9</v>
      </c>
      <c r="X22">
        <v>34.799999999999997</v>
      </c>
    </row>
    <row r="23" spans="1:24" x14ac:dyDescent="0.2">
      <c r="A23" t="s">
        <v>32</v>
      </c>
      <c r="B23" t="s">
        <v>2</v>
      </c>
      <c r="C23" t="s">
        <v>8</v>
      </c>
      <c r="E23">
        <v>140</v>
      </c>
      <c r="F23">
        <v>18.600000000000001</v>
      </c>
      <c r="G23">
        <v>1.6</v>
      </c>
      <c r="H23">
        <v>1148</v>
      </c>
      <c r="I23">
        <v>13.6</v>
      </c>
      <c r="J23">
        <v>1.6</v>
      </c>
      <c r="K23">
        <v>4</v>
      </c>
      <c r="L23">
        <v>0.152</v>
      </c>
      <c r="M23" s="4">
        <v>3570000000000000</v>
      </c>
      <c r="N23" s="4">
        <v>4.12E+16</v>
      </c>
      <c r="O23" s="4">
        <v>4.48E+16</v>
      </c>
      <c r="P23">
        <v>77.569999999999993</v>
      </c>
      <c r="Q23" t="s">
        <v>24</v>
      </c>
      <c r="R23" t="s">
        <v>24</v>
      </c>
      <c r="S23" t="s">
        <v>24</v>
      </c>
      <c r="T23" t="s">
        <v>24</v>
      </c>
      <c r="U23">
        <v>21.2</v>
      </c>
      <c r="V23">
        <v>31.9</v>
      </c>
      <c r="W23">
        <v>13.5</v>
      </c>
      <c r="X23">
        <v>38.9</v>
      </c>
    </row>
    <row r="24" spans="1:24" x14ac:dyDescent="0.2">
      <c r="A24" t="s">
        <v>32</v>
      </c>
      <c r="B24" t="s">
        <v>2</v>
      </c>
      <c r="C24" t="s">
        <v>8</v>
      </c>
      <c r="E24">
        <v>200</v>
      </c>
      <c r="F24">
        <v>18.600000000000001</v>
      </c>
      <c r="G24">
        <v>1.6</v>
      </c>
      <c r="H24">
        <v>1148</v>
      </c>
      <c r="I24">
        <v>13.6</v>
      </c>
      <c r="J24">
        <v>1.9</v>
      </c>
      <c r="K24">
        <v>4</v>
      </c>
      <c r="L24">
        <v>0.124</v>
      </c>
      <c r="M24" s="4">
        <v>2270000000000000</v>
      </c>
      <c r="N24" s="4">
        <v>3.89E+16</v>
      </c>
      <c r="O24" s="4">
        <v>4.11E+16</v>
      </c>
      <c r="P24">
        <v>23.83</v>
      </c>
      <c r="Q24" t="s">
        <v>24</v>
      </c>
      <c r="R24" t="s">
        <v>24</v>
      </c>
      <c r="S24" t="s">
        <v>24</v>
      </c>
      <c r="T24" t="s">
        <v>24</v>
      </c>
      <c r="U24">
        <v>19.3</v>
      </c>
      <c r="V24">
        <v>27.9</v>
      </c>
      <c r="W24">
        <v>12.6</v>
      </c>
      <c r="X24">
        <v>33.299999999999997</v>
      </c>
    </row>
    <row r="25" spans="1:24" x14ac:dyDescent="0.2">
      <c r="A25" t="s">
        <v>32</v>
      </c>
      <c r="B25" t="s">
        <v>2</v>
      </c>
      <c r="C25" t="s">
        <v>8</v>
      </c>
      <c r="E25">
        <v>180</v>
      </c>
      <c r="F25">
        <v>18.600000000000001</v>
      </c>
      <c r="G25">
        <v>1.6</v>
      </c>
      <c r="H25">
        <v>1148</v>
      </c>
      <c r="I25">
        <v>13.6</v>
      </c>
      <c r="J25">
        <v>2.1</v>
      </c>
      <c r="K25">
        <v>4</v>
      </c>
      <c r="L25">
        <v>0.152</v>
      </c>
      <c r="M25" s="4">
        <v>2320000000000000</v>
      </c>
      <c r="N25" s="4">
        <v>4.78E+16</v>
      </c>
      <c r="O25" s="4">
        <v>5.01E+16</v>
      </c>
      <c r="P25">
        <v>23.8</v>
      </c>
      <c r="Q25" t="s">
        <v>24</v>
      </c>
      <c r="R25" t="s">
        <v>24</v>
      </c>
      <c r="S25" t="s">
        <v>24</v>
      </c>
      <c r="T25" t="s">
        <v>24</v>
      </c>
      <c r="U25">
        <v>19.2</v>
      </c>
      <c r="V25">
        <v>27.7</v>
      </c>
      <c r="W25">
        <v>12.6</v>
      </c>
      <c r="X25">
        <v>34</v>
      </c>
    </row>
    <row r="26" spans="1:24" x14ac:dyDescent="0.2">
      <c r="A26" t="s">
        <v>32</v>
      </c>
      <c r="B26" t="s">
        <v>2</v>
      </c>
      <c r="C26" t="s">
        <v>8</v>
      </c>
      <c r="E26">
        <v>1360</v>
      </c>
      <c r="F26">
        <v>18.600000000000001</v>
      </c>
      <c r="G26">
        <v>1.6</v>
      </c>
      <c r="H26">
        <v>1148</v>
      </c>
      <c r="I26">
        <v>13.6</v>
      </c>
      <c r="J26">
        <v>3.4</v>
      </c>
      <c r="K26">
        <v>4</v>
      </c>
      <c r="L26">
        <v>0.124</v>
      </c>
      <c r="M26" s="4">
        <v>2100000000000000</v>
      </c>
      <c r="N26" s="4">
        <v>3.76E+16</v>
      </c>
      <c r="O26" s="4">
        <v>3.97E+16</v>
      </c>
      <c r="P26">
        <v>20.55</v>
      </c>
      <c r="Q26" t="s">
        <v>24</v>
      </c>
      <c r="R26" t="s">
        <v>24</v>
      </c>
      <c r="S26" t="s">
        <v>24</v>
      </c>
      <c r="T26" t="s">
        <v>24</v>
      </c>
      <c r="U26">
        <v>19.100000000000001</v>
      </c>
      <c r="V26">
        <v>27.1</v>
      </c>
      <c r="W26">
        <v>12.1</v>
      </c>
      <c r="X26">
        <v>32</v>
      </c>
    </row>
    <row r="27" spans="1:24" x14ac:dyDescent="0.2">
      <c r="A27" t="s">
        <v>32</v>
      </c>
      <c r="B27" t="s">
        <v>2</v>
      </c>
      <c r="C27" t="s">
        <v>8</v>
      </c>
      <c r="E27">
        <v>240</v>
      </c>
      <c r="F27">
        <v>18.600000000000001</v>
      </c>
      <c r="G27">
        <v>1.6</v>
      </c>
      <c r="H27">
        <v>1148</v>
      </c>
      <c r="I27">
        <v>13.6</v>
      </c>
      <c r="J27">
        <v>4.9000000000000004</v>
      </c>
      <c r="K27">
        <v>4</v>
      </c>
      <c r="L27">
        <v>0.152</v>
      </c>
      <c r="M27" s="4">
        <v>6580000000000000</v>
      </c>
      <c r="N27" s="4">
        <v>1740000000000000</v>
      </c>
      <c r="O27" s="4">
        <v>8320000000000000</v>
      </c>
      <c r="P27">
        <v>85.79</v>
      </c>
      <c r="Q27" t="s">
        <v>24</v>
      </c>
      <c r="R27" t="s">
        <v>24</v>
      </c>
      <c r="S27" t="s">
        <v>24</v>
      </c>
      <c r="T27" t="s">
        <v>24</v>
      </c>
      <c r="U27">
        <v>20</v>
      </c>
      <c r="V27">
        <v>32.6</v>
      </c>
      <c r="W27">
        <v>11.9</v>
      </c>
      <c r="X27">
        <v>28.3</v>
      </c>
    </row>
    <row r="28" spans="1:24" x14ac:dyDescent="0.2">
      <c r="A28" t="s">
        <v>32</v>
      </c>
      <c r="B28" t="s">
        <v>2</v>
      </c>
      <c r="C28" t="s">
        <v>8</v>
      </c>
      <c r="E28">
        <v>306</v>
      </c>
      <c r="F28">
        <v>18.600000000000001</v>
      </c>
      <c r="G28">
        <v>1.6</v>
      </c>
      <c r="H28">
        <v>1148</v>
      </c>
      <c r="I28">
        <v>13.6</v>
      </c>
      <c r="J28">
        <v>6.2</v>
      </c>
      <c r="K28">
        <v>4</v>
      </c>
      <c r="L28">
        <v>0.13700000000000001</v>
      </c>
      <c r="M28" s="4">
        <v>2100000000000000</v>
      </c>
      <c r="N28" s="4">
        <v>4.82E+16</v>
      </c>
      <c r="O28" s="4">
        <v>5.03E+16</v>
      </c>
      <c r="P28">
        <v>19.91</v>
      </c>
      <c r="Q28" t="s">
        <v>24</v>
      </c>
      <c r="R28" t="s">
        <v>24</v>
      </c>
      <c r="S28" t="s">
        <v>24</v>
      </c>
      <c r="T28" t="s">
        <v>24</v>
      </c>
      <c r="U28">
        <v>17.7</v>
      </c>
      <c r="V28">
        <v>24.3</v>
      </c>
      <c r="W28">
        <v>11.7</v>
      </c>
      <c r="X28">
        <v>27.3</v>
      </c>
    </row>
    <row r="29" spans="1:24" x14ac:dyDescent="0.2">
      <c r="A29" t="s">
        <v>32</v>
      </c>
      <c r="B29" t="s">
        <v>2</v>
      </c>
      <c r="C29" t="s">
        <v>8</v>
      </c>
      <c r="E29">
        <v>150</v>
      </c>
      <c r="F29">
        <v>18.600000000000001</v>
      </c>
      <c r="G29">
        <v>1.6</v>
      </c>
      <c r="H29">
        <v>1148</v>
      </c>
      <c r="I29">
        <v>13.6</v>
      </c>
      <c r="J29">
        <v>6.4</v>
      </c>
      <c r="K29">
        <v>4</v>
      </c>
      <c r="L29">
        <v>0.124</v>
      </c>
      <c r="M29" s="4">
        <v>2110000000000000</v>
      </c>
      <c r="N29" s="4">
        <v>3.82E+16</v>
      </c>
      <c r="O29" s="4">
        <v>4.03E+16</v>
      </c>
      <c r="P29">
        <v>18.66</v>
      </c>
      <c r="Q29" t="s">
        <v>24</v>
      </c>
      <c r="R29" t="s">
        <v>24</v>
      </c>
      <c r="S29" t="s">
        <v>24</v>
      </c>
      <c r="T29" t="s">
        <v>24</v>
      </c>
      <c r="U29">
        <v>18.5</v>
      </c>
      <c r="V29">
        <v>25.4</v>
      </c>
      <c r="W29">
        <v>11.8</v>
      </c>
      <c r="X29">
        <v>26.7</v>
      </c>
    </row>
    <row r="30" spans="1:24" x14ac:dyDescent="0.2">
      <c r="A30" t="s">
        <v>32</v>
      </c>
      <c r="B30" t="s">
        <v>2</v>
      </c>
      <c r="C30" t="s">
        <v>8</v>
      </c>
      <c r="E30">
        <v>113</v>
      </c>
      <c r="F30">
        <v>18.600000000000001</v>
      </c>
      <c r="G30">
        <v>1.6</v>
      </c>
      <c r="H30">
        <v>1148</v>
      </c>
      <c r="I30">
        <v>13.6</v>
      </c>
      <c r="J30">
        <v>7.3</v>
      </c>
      <c r="K30">
        <v>4</v>
      </c>
      <c r="L30">
        <v>0.13800000000000001</v>
      </c>
      <c r="M30" s="4">
        <v>2440000000000000</v>
      </c>
      <c r="N30" s="4">
        <v>2.42E+16</v>
      </c>
      <c r="O30" s="4">
        <v>2.66E+16</v>
      </c>
      <c r="P30">
        <v>24.8</v>
      </c>
      <c r="Q30" t="s">
        <v>24</v>
      </c>
      <c r="R30" t="s">
        <v>24</v>
      </c>
      <c r="S30" t="s">
        <v>24</v>
      </c>
      <c r="T30" t="s">
        <v>24</v>
      </c>
      <c r="U30">
        <v>21.1</v>
      </c>
      <c r="V30">
        <v>42.1</v>
      </c>
      <c r="W30">
        <v>12.5</v>
      </c>
      <c r="X30">
        <v>79.8</v>
      </c>
    </row>
    <row r="31" spans="1:24" x14ac:dyDescent="0.2">
      <c r="A31" t="s">
        <v>32</v>
      </c>
      <c r="B31" t="s">
        <v>2</v>
      </c>
      <c r="C31" t="s">
        <v>8</v>
      </c>
      <c r="E31">
        <v>134</v>
      </c>
      <c r="F31">
        <v>18.600000000000001</v>
      </c>
      <c r="G31">
        <v>1.6</v>
      </c>
      <c r="H31">
        <v>1148</v>
      </c>
      <c r="I31">
        <v>13.6</v>
      </c>
      <c r="J31">
        <v>6.4</v>
      </c>
      <c r="K31">
        <v>4</v>
      </c>
      <c r="L31">
        <v>0.111</v>
      </c>
      <c r="M31" s="4">
        <v>2740000000000000</v>
      </c>
      <c r="N31" s="4">
        <v>3.85E+16</v>
      </c>
      <c r="O31" s="4">
        <v>4.12E+16</v>
      </c>
      <c r="P31">
        <v>21.24</v>
      </c>
      <c r="Q31" t="s">
        <v>24</v>
      </c>
      <c r="R31" t="s">
        <v>24</v>
      </c>
      <c r="S31" t="s">
        <v>24</v>
      </c>
      <c r="T31" t="s">
        <v>24</v>
      </c>
      <c r="U31">
        <v>19.899999999999999</v>
      </c>
      <c r="V31">
        <v>31.2</v>
      </c>
      <c r="W31">
        <v>12</v>
      </c>
      <c r="X31">
        <v>74.900000000000006</v>
      </c>
    </row>
    <row r="32" spans="1:24" x14ac:dyDescent="0.2">
      <c r="A32" t="s">
        <v>32</v>
      </c>
      <c r="B32" t="s">
        <v>2</v>
      </c>
      <c r="C32" t="s">
        <v>8</v>
      </c>
      <c r="E32">
        <v>720</v>
      </c>
      <c r="F32">
        <v>18.600000000000001</v>
      </c>
      <c r="G32">
        <v>1.6</v>
      </c>
      <c r="H32">
        <v>1148</v>
      </c>
      <c r="I32">
        <v>13.6</v>
      </c>
      <c r="J32">
        <v>8.8000000000000007</v>
      </c>
      <c r="K32">
        <v>4</v>
      </c>
      <c r="L32">
        <v>0.124</v>
      </c>
      <c r="M32" s="4">
        <v>3470000000000000</v>
      </c>
      <c r="N32" s="4">
        <v>3.59E+16</v>
      </c>
      <c r="O32" s="4">
        <v>3.94E+16</v>
      </c>
      <c r="P32">
        <v>45.8</v>
      </c>
      <c r="Q32" t="s">
        <v>24</v>
      </c>
      <c r="R32" t="s">
        <v>24</v>
      </c>
      <c r="S32" t="s">
        <v>24</v>
      </c>
      <c r="T32" t="s">
        <v>24</v>
      </c>
      <c r="U32">
        <v>20</v>
      </c>
      <c r="V32">
        <v>31.5</v>
      </c>
      <c r="W32">
        <v>12.9</v>
      </c>
      <c r="X32">
        <v>39.4</v>
      </c>
    </row>
    <row r="33" spans="1:24" x14ac:dyDescent="0.2">
      <c r="A33" t="s">
        <v>32</v>
      </c>
      <c r="B33" t="s">
        <v>2</v>
      </c>
      <c r="C33" t="s">
        <v>8</v>
      </c>
      <c r="E33">
        <v>135</v>
      </c>
      <c r="F33">
        <v>18.600000000000001</v>
      </c>
      <c r="G33">
        <v>1.6</v>
      </c>
      <c r="H33">
        <v>1148</v>
      </c>
      <c r="I33">
        <v>13.6</v>
      </c>
      <c r="J33">
        <v>8.8000000000000007</v>
      </c>
      <c r="K33">
        <v>4</v>
      </c>
      <c r="L33">
        <v>0.13800000000000001</v>
      </c>
      <c r="M33" s="4">
        <v>2520000000000000</v>
      </c>
      <c r="N33" s="4">
        <v>7050000000000000</v>
      </c>
      <c r="O33" s="4">
        <v>9570000000000000</v>
      </c>
      <c r="P33">
        <v>31.31</v>
      </c>
      <c r="Q33" t="s">
        <v>24</v>
      </c>
      <c r="R33" t="s">
        <v>24</v>
      </c>
      <c r="S33" t="s">
        <v>24</v>
      </c>
      <c r="T33" t="s">
        <v>24</v>
      </c>
      <c r="U33">
        <v>17.100000000000001</v>
      </c>
      <c r="V33">
        <v>23.5</v>
      </c>
      <c r="W33">
        <v>12.1</v>
      </c>
      <c r="X33">
        <v>25.4</v>
      </c>
    </row>
    <row r="34" spans="1:24" x14ac:dyDescent="0.2">
      <c r="A34" t="s">
        <v>32</v>
      </c>
      <c r="B34" t="s">
        <v>2</v>
      </c>
      <c r="C34" t="s">
        <v>8</v>
      </c>
      <c r="E34">
        <v>120</v>
      </c>
      <c r="F34">
        <v>18.600000000000001</v>
      </c>
      <c r="G34">
        <v>1.6</v>
      </c>
      <c r="H34">
        <v>1148</v>
      </c>
      <c r="I34">
        <v>13.6</v>
      </c>
      <c r="J34">
        <v>10.199999999999999</v>
      </c>
      <c r="K34">
        <v>4</v>
      </c>
      <c r="L34">
        <v>0.151</v>
      </c>
      <c r="M34" s="4">
        <v>3110000000000000</v>
      </c>
      <c r="N34" s="4">
        <v>6.61E+16</v>
      </c>
      <c r="O34" s="4">
        <v>6.92E+16</v>
      </c>
      <c r="P34">
        <v>16.79</v>
      </c>
      <c r="Q34" t="s">
        <v>24</v>
      </c>
      <c r="R34" t="s">
        <v>24</v>
      </c>
      <c r="S34" t="s">
        <v>24</v>
      </c>
      <c r="T34" t="s">
        <v>24</v>
      </c>
      <c r="U34">
        <v>16</v>
      </c>
      <c r="V34">
        <v>22.9</v>
      </c>
      <c r="W34">
        <v>12</v>
      </c>
      <c r="X34">
        <v>30.5</v>
      </c>
    </row>
    <row r="35" spans="1:24" x14ac:dyDescent="0.2">
      <c r="A35" t="s">
        <v>32</v>
      </c>
      <c r="B35" t="s">
        <v>2</v>
      </c>
      <c r="C35" t="s">
        <v>8</v>
      </c>
      <c r="E35">
        <v>181</v>
      </c>
      <c r="F35">
        <v>18.600000000000001</v>
      </c>
      <c r="G35">
        <v>1.6</v>
      </c>
      <c r="H35">
        <v>1148</v>
      </c>
      <c r="I35">
        <v>13.6</v>
      </c>
      <c r="J35">
        <v>-3.3</v>
      </c>
      <c r="K35">
        <v>4</v>
      </c>
      <c r="L35">
        <v>0.112</v>
      </c>
      <c r="M35" s="4">
        <v>3290000000000000</v>
      </c>
      <c r="N35" s="4">
        <v>4.46E+16</v>
      </c>
      <c r="O35" s="4">
        <v>4.79E+16</v>
      </c>
      <c r="P35">
        <v>33.72</v>
      </c>
      <c r="Q35">
        <v>0.996</v>
      </c>
      <c r="R35">
        <v>4.0000000000000001E-3</v>
      </c>
      <c r="S35">
        <v>468.57223599999998</v>
      </c>
      <c r="T35">
        <v>1.6528040340000001</v>
      </c>
      <c r="U35">
        <v>21.6</v>
      </c>
      <c r="V35">
        <v>30.5</v>
      </c>
      <c r="W35">
        <v>12.6</v>
      </c>
      <c r="X35">
        <v>34.5</v>
      </c>
    </row>
    <row r="36" spans="1:24" x14ac:dyDescent="0.2">
      <c r="A36" t="s">
        <v>32</v>
      </c>
      <c r="B36" t="s">
        <v>2</v>
      </c>
      <c r="C36" t="s">
        <v>8</v>
      </c>
      <c r="E36">
        <v>118</v>
      </c>
      <c r="F36">
        <v>18.600000000000001</v>
      </c>
      <c r="G36">
        <v>1.6</v>
      </c>
      <c r="H36">
        <v>1148</v>
      </c>
      <c r="I36">
        <v>13.6</v>
      </c>
      <c r="J36">
        <v>-2.9</v>
      </c>
      <c r="K36">
        <v>4</v>
      </c>
      <c r="L36">
        <v>0.14000000000000001</v>
      </c>
      <c r="M36" s="4">
        <v>3190000000000000</v>
      </c>
      <c r="N36" s="4">
        <v>6.09E+16</v>
      </c>
      <c r="O36" s="4">
        <v>6.41E+16</v>
      </c>
      <c r="P36">
        <v>33.67</v>
      </c>
      <c r="Q36" t="s">
        <v>24</v>
      </c>
      <c r="R36" t="s">
        <v>24</v>
      </c>
      <c r="S36" t="s">
        <v>24</v>
      </c>
      <c r="T36" t="s">
        <v>24</v>
      </c>
      <c r="U36">
        <v>20.100000000000001</v>
      </c>
      <c r="V36">
        <v>28.9</v>
      </c>
      <c r="W36">
        <v>12.1</v>
      </c>
      <c r="X36">
        <v>33.4</v>
      </c>
    </row>
    <row r="37" spans="1:24" x14ac:dyDescent="0.2">
      <c r="A37" t="s">
        <v>32</v>
      </c>
      <c r="B37" t="s">
        <v>2</v>
      </c>
      <c r="C37" t="s">
        <v>8</v>
      </c>
      <c r="E37">
        <v>127</v>
      </c>
      <c r="F37">
        <v>18.600000000000001</v>
      </c>
      <c r="G37">
        <v>1.6</v>
      </c>
      <c r="H37">
        <v>1148</v>
      </c>
      <c r="I37">
        <v>13.6</v>
      </c>
      <c r="J37">
        <v>3.9</v>
      </c>
      <c r="K37">
        <v>4</v>
      </c>
      <c r="L37">
        <v>0.13800000000000001</v>
      </c>
      <c r="M37" s="4">
        <v>7310000000000000</v>
      </c>
      <c r="N37" s="4">
        <v>4490000000000000</v>
      </c>
      <c r="O37" s="4">
        <v>1.18E+16</v>
      </c>
      <c r="P37">
        <v>41.45</v>
      </c>
      <c r="Q37" t="s">
        <v>24</v>
      </c>
      <c r="R37" t="s">
        <v>24</v>
      </c>
      <c r="S37" t="s">
        <v>24</v>
      </c>
      <c r="T37" t="s">
        <v>24</v>
      </c>
      <c r="U37">
        <v>12.8</v>
      </c>
      <c r="V37">
        <v>29.2</v>
      </c>
      <c r="W37">
        <v>13.7</v>
      </c>
      <c r="X37">
        <v>38.700000000000003</v>
      </c>
    </row>
    <row r="38" spans="1:24" x14ac:dyDescent="0.2">
      <c r="A38" t="s">
        <v>32</v>
      </c>
      <c r="B38" t="s">
        <v>2</v>
      </c>
      <c r="C38" t="s">
        <v>8</v>
      </c>
      <c r="E38">
        <v>163</v>
      </c>
      <c r="F38">
        <v>18.600000000000001</v>
      </c>
      <c r="G38">
        <v>1.6</v>
      </c>
      <c r="H38">
        <v>1148</v>
      </c>
      <c r="I38">
        <v>13.6</v>
      </c>
      <c r="J38">
        <v>4</v>
      </c>
      <c r="K38">
        <v>4</v>
      </c>
      <c r="L38">
        <v>0.13800000000000001</v>
      </c>
      <c r="M38" t="s">
        <v>24</v>
      </c>
      <c r="N38" t="s">
        <v>24</v>
      </c>
      <c r="O38" s="4">
        <v>5.38E+16</v>
      </c>
      <c r="P38">
        <v>25.79</v>
      </c>
      <c r="Q38">
        <v>0.99</v>
      </c>
      <c r="R38">
        <v>0.01</v>
      </c>
      <c r="S38">
        <v>66.063069679999998</v>
      </c>
      <c r="T38">
        <v>0.67853031699999999</v>
      </c>
      <c r="U38">
        <v>19.100000000000001</v>
      </c>
      <c r="V38">
        <v>26.9</v>
      </c>
      <c r="W38">
        <v>19.8</v>
      </c>
      <c r="X38">
        <v>28.7</v>
      </c>
    </row>
    <row r="39" spans="1:24" x14ac:dyDescent="0.2">
      <c r="A39" t="s">
        <v>32</v>
      </c>
      <c r="B39" t="s">
        <v>2</v>
      </c>
      <c r="C39" t="s">
        <v>8</v>
      </c>
      <c r="E39">
        <v>150</v>
      </c>
      <c r="F39">
        <v>18.600000000000001</v>
      </c>
      <c r="G39">
        <v>1.6</v>
      </c>
      <c r="H39">
        <v>1148</v>
      </c>
      <c r="I39">
        <v>13.6</v>
      </c>
      <c r="J39">
        <v>11.4</v>
      </c>
      <c r="K39">
        <v>4</v>
      </c>
      <c r="L39">
        <v>0.123</v>
      </c>
      <c r="M39" s="4">
        <v>9620000000000000</v>
      </c>
      <c r="N39" s="4">
        <v>2.74E+16</v>
      </c>
      <c r="O39" s="4">
        <v>3.71E+16</v>
      </c>
      <c r="P39">
        <v>28.6</v>
      </c>
      <c r="Q39" t="s">
        <v>24</v>
      </c>
      <c r="R39" t="s">
        <v>24</v>
      </c>
      <c r="S39" t="s">
        <v>24</v>
      </c>
      <c r="T39" t="s">
        <v>24</v>
      </c>
      <c r="U39">
        <v>19.8</v>
      </c>
      <c r="V39">
        <v>29.6</v>
      </c>
      <c r="W39">
        <v>20.2</v>
      </c>
      <c r="X39">
        <v>31</v>
      </c>
    </row>
    <row r="40" spans="1:24" x14ac:dyDescent="0.2">
      <c r="A40" t="s">
        <v>32</v>
      </c>
      <c r="B40" t="s">
        <v>2</v>
      </c>
      <c r="C40" t="s">
        <v>12</v>
      </c>
      <c r="E40">
        <v>189</v>
      </c>
      <c r="F40">
        <v>0</v>
      </c>
      <c r="G40">
        <v>0</v>
      </c>
      <c r="H40">
        <v>19</v>
      </c>
      <c r="I40">
        <v>15.5</v>
      </c>
      <c r="J40">
        <v>11.6</v>
      </c>
      <c r="K40">
        <v>4</v>
      </c>
      <c r="L40">
        <v>0.13700000000000001</v>
      </c>
      <c r="M40" t="s">
        <v>24</v>
      </c>
      <c r="N40" t="s">
        <v>24</v>
      </c>
      <c r="O40" s="4">
        <v>5.47E+16</v>
      </c>
      <c r="P40">
        <v>35.68</v>
      </c>
      <c r="Q40" t="s">
        <v>24</v>
      </c>
      <c r="R40" t="s">
        <v>24</v>
      </c>
      <c r="S40" t="s">
        <v>24</v>
      </c>
      <c r="T40" t="s">
        <v>24</v>
      </c>
      <c r="U40">
        <v>18.8</v>
      </c>
      <c r="V40">
        <v>28.9</v>
      </c>
      <c r="W40">
        <v>20.2</v>
      </c>
      <c r="X40">
        <v>34.799999999999997</v>
      </c>
    </row>
    <row r="41" spans="1:24" x14ac:dyDescent="0.2">
      <c r="A41" t="s">
        <v>32</v>
      </c>
      <c r="B41" t="s">
        <v>2</v>
      </c>
      <c r="C41" t="s">
        <v>8</v>
      </c>
      <c r="E41">
        <v>169</v>
      </c>
      <c r="F41">
        <v>18.600000000000001</v>
      </c>
      <c r="G41">
        <v>1.6</v>
      </c>
      <c r="H41">
        <v>1148</v>
      </c>
      <c r="I41">
        <v>13.6</v>
      </c>
      <c r="J41">
        <v>11.9</v>
      </c>
      <c r="K41">
        <v>4</v>
      </c>
      <c r="L41">
        <v>0.123</v>
      </c>
      <c r="M41" s="4">
        <v>2640000000000000</v>
      </c>
      <c r="N41" s="4">
        <v>1.03E+16</v>
      </c>
      <c r="O41" s="4">
        <v>1.29E+16</v>
      </c>
      <c r="P41">
        <v>16.05</v>
      </c>
      <c r="Q41">
        <v>0.97899999999999998</v>
      </c>
      <c r="R41">
        <v>2.1000000000000001E-2</v>
      </c>
      <c r="S41">
        <v>172.22979079999999</v>
      </c>
      <c r="T41">
        <v>3.6536092089999999</v>
      </c>
      <c r="U41">
        <v>17.899999999999999</v>
      </c>
      <c r="V41">
        <v>26</v>
      </c>
      <c r="W41">
        <v>12.1</v>
      </c>
      <c r="X41">
        <v>35.5</v>
      </c>
    </row>
    <row r="42" spans="1:24" x14ac:dyDescent="0.2">
      <c r="A42" t="s">
        <v>32</v>
      </c>
      <c r="B42" t="s">
        <v>2</v>
      </c>
      <c r="C42" t="s">
        <v>12</v>
      </c>
      <c r="E42">
        <v>180</v>
      </c>
      <c r="F42">
        <v>0</v>
      </c>
      <c r="G42">
        <v>0</v>
      </c>
      <c r="H42">
        <v>19</v>
      </c>
      <c r="I42">
        <v>15.5</v>
      </c>
      <c r="J42">
        <v>12.4</v>
      </c>
      <c r="K42">
        <v>4</v>
      </c>
      <c r="L42">
        <v>0.13700000000000001</v>
      </c>
      <c r="M42" s="4">
        <v>181000000000000</v>
      </c>
      <c r="N42" s="4">
        <v>5950000000000000</v>
      </c>
      <c r="O42" s="4">
        <v>6130000000000000</v>
      </c>
      <c r="P42">
        <v>3.06</v>
      </c>
      <c r="Q42">
        <v>0.96</v>
      </c>
      <c r="R42">
        <v>0.04</v>
      </c>
      <c r="S42">
        <v>18.67176452</v>
      </c>
      <c r="T42">
        <v>0.78019948299999997</v>
      </c>
      <c r="U42">
        <v>11.2</v>
      </c>
      <c r="V42">
        <v>38.1</v>
      </c>
      <c r="W42">
        <v>18.3</v>
      </c>
      <c r="X42">
        <v>62.8</v>
      </c>
    </row>
    <row r="43" spans="1:24" x14ac:dyDescent="0.2">
      <c r="A43" t="s">
        <v>32</v>
      </c>
      <c r="B43" t="s">
        <v>2</v>
      </c>
      <c r="C43" t="s">
        <v>12</v>
      </c>
      <c r="E43">
        <v>170</v>
      </c>
      <c r="F43">
        <v>0</v>
      </c>
      <c r="G43">
        <v>0</v>
      </c>
      <c r="H43">
        <v>19</v>
      </c>
      <c r="I43">
        <v>15.5</v>
      </c>
      <c r="J43">
        <v>14.9</v>
      </c>
      <c r="K43">
        <v>4</v>
      </c>
      <c r="L43">
        <v>0.13700000000000001</v>
      </c>
      <c r="M43" s="4">
        <v>15900000000000</v>
      </c>
      <c r="N43" s="4">
        <v>5480000000000000</v>
      </c>
      <c r="O43" s="4">
        <v>5490000000000000</v>
      </c>
      <c r="P43">
        <v>9.32</v>
      </c>
      <c r="Q43" t="s">
        <v>24</v>
      </c>
      <c r="R43" t="s">
        <v>24</v>
      </c>
      <c r="S43" t="s">
        <v>24</v>
      </c>
      <c r="T43" t="s">
        <v>24</v>
      </c>
      <c r="U43">
        <v>10.5</v>
      </c>
      <c r="V43">
        <v>22.7</v>
      </c>
      <c r="W43">
        <v>18.600000000000001</v>
      </c>
      <c r="X43">
        <v>82.5</v>
      </c>
    </row>
    <row r="44" spans="1:24" x14ac:dyDescent="0.2">
      <c r="A44" t="s">
        <v>32</v>
      </c>
      <c r="B44" t="s">
        <v>2</v>
      </c>
      <c r="C44" t="s">
        <v>12</v>
      </c>
      <c r="E44">
        <v>180</v>
      </c>
      <c r="F44">
        <v>0</v>
      </c>
      <c r="G44">
        <v>0</v>
      </c>
      <c r="H44">
        <v>19</v>
      </c>
      <c r="I44">
        <v>15.5</v>
      </c>
      <c r="J44">
        <v>15</v>
      </c>
      <c r="K44">
        <v>4</v>
      </c>
      <c r="L44">
        <v>0.13700000000000001</v>
      </c>
      <c r="M44" s="4">
        <v>8790000000000</v>
      </c>
      <c r="N44" s="4">
        <v>22500000000000</v>
      </c>
      <c r="O44" s="4">
        <v>31200000000000</v>
      </c>
      <c r="P44">
        <v>9.76</v>
      </c>
      <c r="Q44" t="s">
        <v>24</v>
      </c>
      <c r="R44" t="s">
        <v>24</v>
      </c>
      <c r="S44" t="s">
        <v>24</v>
      </c>
      <c r="T44" t="s">
        <v>24</v>
      </c>
      <c r="U44">
        <v>11.7</v>
      </c>
      <c r="V44">
        <v>57.2</v>
      </c>
      <c r="W44">
        <v>18.100000000000001</v>
      </c>
      <c r="X44">
        <v>96.4</v>
      </c>
    </row>
    <row r="45" spans="1:24" x14ac:dyDescent="0.2">
      <c r="A45" t="s">
        <v>32</v>
      </c>
      <c r="B45" t="s">
        <v>2</v>
      </c>
      <c r="C45" t="s">
        <v>8</v>
      </c>
      <c r="E45">
        <v>148</v>
      </c>
      <c r="F45">
        <v>18.600000000000001</v>
      </c>
      <c r="G45">
        <v>1.6</v>
      </c>
      <c r="H45">
        <v>1148</v>
      </c>
      <c r="I45">
        <v>13.6</v>
      </c>
      <c r="J45">
        <v>4.2</v>
      </c>
      <c r="K45">
        <v>4</v>
      </c>
      <c r="L45">
        <v>0.13800000000000001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>
        <v>14.7</v>
      </c>
      <c r="V45">
        <v>21.8</v>
      </c>
      <c r="W45">
        <v>15.2</v>
      </c>
      <c r="X45">
        <v>27.1</v>
      </c>
    </row>
    <row r="46" spans="1:24" x14ac:dyDescent="0.2">
      <c r="A46" t="s">
        <v>32</v>
      </c>
      <c r="B46" t="s">
        <v>2</v>
      </c>
      <c r="C46" t="s">
        <v>12</v>
      </c>
      <c r="E46">
        <v>160</v>
      </c>
      <c r="F46">
        <v>0</v>
      </c>
      <c r="G46">
        <v>0</v>
      </c>
      <c r="H46">
        <v>19</v>
      </c>
      <c r="I46">
        <v>15.5</v>
      </c>
      <c r="J46">
        <v>-0.6</v>
      </c>
      <c r="K46">
        <v>4</v>
      </c>
      <c r="L46">
        <v>0.14000000000000001</v>
      </c>
      <c r="M46" s="4">
        <v>359000000000000</v>
      </c>
      <c r="N46" s="4">
        <v>2.14E+16</v>
      </c>
      <c r="O46" s="4">
        <v>2.17E+16</v>
      </c>
      <c r="P46">
        <v>22.83</v>
      </c>
      <c r="Q46" t="s">
        <v>24</v>
      </c>
      <c r="R46" t="s">
        <v>24</v>
      </c>
      <c r="S46" t="s">
        <v>24</v>
      </c>
      <c r="T46" t="s">
        <v>24</v>
      </c>
      <c r="U46">
        <v>13.7</v>
      </c>
      <c r="V46">
        <v>16.2</v>
      </c>
      <c r="W46">
        <v>11.6</v>
      </c>
      <c r="X46">
        <v>13.5</v>
      </c>
    </row>
    <row r="47" spans="1:24" x14ac:dyDescent="0.2">
      <c r="A47" t="s">
        <v>32</v>
      </c>
      <c r="B47" t="s">
        <v>2</v>
      </c>
      <c r="C47" t="s">
        <v>8</v>
      </c>
      <c r="E47">
        <v>180</v>
      </c>
      <c r="F47">
        <v>18.600000000000001</v>
      </c>
      <c r="G47">
        <v>1.6</v>
      </c>
      <c r="H47">
        <v>1148</v>
      </c>
      <c r="I47">
        <v>13.6</v>
      </c>
      <c r="J47">
        <v>-0.7</v>
      </c>
      <c r="K47">
        <v>4</v>
      </c>
      <c r="L47">
        <v>0.112</v>
      </c>
      <c r="M47" s="4">
        <v>3160000000000000</v>
      </c>
      <c r="N47" s="4">
        <v>2.55E+16</v>
      </c>
      <c r="O47" s="4">
        <v>2.86E+16</v>
      </c>
      <c r="P47">
        <v>32.11</v>
      </c>
      <c r="Q47">
        <v>0.99199999999999999</v>
      </c>
      <c r="R47">
        <v>8.0000000000000002E-3</v>
      </c>
      <c r="S47">
        <v>36.182692690000003</v>
      </c>
      <c r="T47">
        <v>0.28201930800000002</v>
      </c>
      <c r="U47">
        <v>15.3</v>
      </c>
      <c r="V47">
        <v>16.8</v>
      </c>
      <c r="W47">
        <v>11.4</v>
      </c>
      <c r="X47">
        <v>13.2</v>
      </c>
    </row>
    <row r="48" spans="1:24" x14ac:dyDescent="0.2">
      <c r="A48" t="s">
        <v>32</v>
      </c>
      <c r="B48" t="s">
        <v>2</v>
      </c>
      <c r="C48" t="s">
        <v>12</v>
      </c>
      <c r="E48">
        <v>200</v>
      </c>
      <c r="F48">
        <v>0</v>
      </c>
      <c r="G48">
        <v>0</v>
      </c>
      <c r="H48">
        <v>19</v>
      </c>
      <c r="I48">
        <v>15.5</v>
      </c>
      <c r="J48">
        <v>-0.8</v>
      </c>
      <c r="K48">
        <v>4</v>
      </c>
      <c r="L48">
        <v>0.14000000000000001</v>
      </c>
      <c r="M48" s="4">
        <v>24200000000000</v>
      </c>
      <c r="N48" s="4">
        <v>4850000000000000</v>
      </c>
      <c r="O48" s="4">
        <v>4870000000000000</v>
      </c>
      <c r="P48">
        <v>5.96</v>
      </c>
      <c r="Q48">
        <v>0.89300000000000002</v>
      </c>
      <c r="R48">
        <v>0.107</v>
      </c>
      <c r="S48">
        <v>2.3089598119999999</v>
      </c>
      <c r="T48">
        <v>0.27657866800000003</v>
      </c>
      <c r="U48">
        <v>10.3</v>
      </c>
      <c r="V48">
        <v>10.8</v>
      </c>
      <c r="W48">
        <v>11.5</v>
      </c>
      <c r="X48">
        <v>13.7</v>
      </c>
    </row>
    <row r="49" spans="1:24" x14ac:dyDescent="0.2">
      <c r="A49" t="s">
        <v>32</v>
      </c>
      <c r="B49" t="s">
        <v>2</v>
      </c>
      <c r="C49" t="s">
        <v>12</v>
      </c>
      <c r="E49">
        <v>110</v>
      </c>
      <c r="F49">
        <v>0</v>
      </c>
      <c r="G49">
        <v>0</v>
      </c>
      <c r="H49">
        <v>19</v>
      </c>
      <c r="I49">
        <v>15.5</v>
      </c>
      <c r="J49">
        <v>5.2</v>
      </c>
      <c r="K49">
        <v>4</v>
      </c>
      <c r="L49">
        <v>0.13700000000000001</v>
      </c>
      <c r="M49" s="4">
        <v>25900000000000</v>
      </c>
      <c r="N49" s="4">
        <v>6990000000000000</v>
      </c>
      <c r="O49" s="4">
        <v>7020000000000000</v>
      </c>
      <c r="P49">
        <v>6.24</v>
      </c>
      <c r="Q49">
        <v>0.999</v>
      </c>
      <c r="R49">
        <v>1E-3</v>
      </c>
      <c r="S49">
        <v>6.9033580299999997</v>
      </c>
      <c r="T49">
        <v>7.1393300000000002E-3</v>
      </c>
      <c r="U49">
        <v>10.7</v>
      </c>
      <c r="V49">
        <v>11.6</v>
      </c>
      <c r="W49">
        <v>12.2</v>
      </c>
      <c r="X49">
        <v>14.4</v>
      </c>
    </row>
    <row r="50" spans="1:24" x14ac:dyDescent="0.2">
      <c r="A50" t="s">
        <v>32</v>
      </c>
      <c r="B50" t="s">
        <v>2</v>
      </c>
      <c r="C50" t="s">
        <v>8</v>
      </c>
      <c r="E50">
        <v>150</v>
      </c>
      <c r="F50">
        <v>18.600000000000001</v>
      </c>
      <c r="G50">
        <v>1.6</v>
      </c>
      <c r="H50">
        <v>1148</v>
      </c>
      <c r="I50">
        <v>13.6</v>
      </c>
      <c r="J50">
        <v>1.7</v>
      </c>
      <c r="K50">
        <v>4</v>
      </c>
      <c r="L50">
        <v>0.125</v>
      </c>
      <c r="M50" s="4">
        <v>3010000000000000</v>
      </c>
      <c r="N50" s="4">
        <v>4.08E+16</v>
      </c>
      <c r="O50" s="4">
        <v>4.38E+16</v>
      </c>
      <c r="P50">
        <v>23.82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24</v>
      </c>
      <c r="X50" t="s">
        <v>24</v>
      </c>
    </row>
    <row r="51" spans="1:24" x14ac:dyDescent="0.2">
      <c r="A51" t="s">
        <v>32</v>
      </c>
      <c r="B51" t="s">
        <v>2</v>
      </c>
      <c r="C51" t="s">
        <v>14</v>
      </c>
      <c r="E51">
        <v>160</v>
      </c>
      <c r="F51">
        <v>8</v>
      </c>
      <c r="G51">
        <v>0.8</v>
      </c>
      <c r="H51">
        <v>699</v>
      </c>
      <c r="I51">
        <v>14.5</v>
      </c>
      <c r="J51">
        <v>0</v>
      </c>
      <c r="K51">
        <v>4</v>
      </c>
      <c r="L51">
        <v>0.13900000000000001</v>
      </c>
      <c r="M51" s="4">
        <v>952000000000000</v>
      </c>
      <c r="N51" s="4">
        <v>3.85E+16</v>
      </c>
      <c r="O51" s="4">
        <v>3.95E+16</v>
      </c>
      <c r="P51">
        <v>6.57</v>
      </c>
      <c r="Q51" t="s">
        <v>24</v>
      </c>
      <c r="R51" t="s">
        <v>24</v>
      </c>
      <c r="S51" t="s">
        <v>24</v>
      </c>
      <c r="T51" t="s">
        <v>24</v>
      </c>
      <c r="U51">
        <v>14.8</v>
      </c>
      <c r="V51">
        <v>19.100000000000001</v>
      </c>
      <c r="W51">
        <v>11.1</v>
      </c>
      <c r="X51">
        <v>18.100000000000001</v>
      </c>
    </row>
    <row r="52" spans="1:24" x14ac:dyDescent="0.2">
      <c r="A52" t="s">
        <v>32</v>
      </c>
      <c r="B52" t="s">
        <v>2</v>
      </c>
      <c r="C52" t="s">
        <v>14</v>
      </c>
      <c r="E52">
        <v>170</v>
      </c>
      <c r="F52">
        <v>8</v>
      </c>
      <c r="G52">
        <v>0.8</v>
      </c>
      <c r="H52">
        <v>699</v>
      </c>
      <c r="I52">
        <v>14.5</v>
      </c>
      <c r="J52">
        <v>9.3000000000000007</v>
      </c>
      <c r="K52">
        <v>4</v>
      </c>
      <c r="L52">
        <v>0.13700000000000001</v>
      </c>
      <c r="M52" s="4">
        <v>1200000000000000</v>
      </c>
      <c r="N52" s="4">
        <v>4.61E+16</v>
      </c>
      <c r="O52" s="4">
        <v>4.73E+16</v>
      </c>
      <c r="P52">
        <v>4.75</v>
      </c>
      <c r="Q52" t="s">
        <v>24</v>
      </c>
      <c r="R52" t="s">
        <v>24</v>
      </c>
      <c r="S52" t="s">
        <v>24</v>
      </c>
      <c r="T52" t="s">
        <v>24</v>
      </c>
      <c r="U52">
        <v>13.9</v>
      </c>
      <c r="V52">
        <v>17.399999999999999</v>
      </c>
      <c r="W52">
        <v>11.6</v>
      </c>
      <c r="X52">
        <v>19.399999999999999</v>
      </c>
    </row>
    <row r="53" spans="1:24" x14ac:dyDescent="0.2">
      <c r="A53" t="s">
        <v>32</v>
      </c>
      <c r="B53" t="s">
        <v>2</v>
      </c>
      <c r="C53" t="s">
        <v>8</v>
      </c>
      <c r="E53">
        <v>210</v>
      </c>
      <c r="F53">
        <v>18.600000000000001</v>
      </c>
      <c r="G53">
        <v>1.6</v>
      </c>
      <c r="H53">
        <v>1148</v>
      </c>
      <c r="I53">
        <v>13.6</v>
      </c>
      <c r="J53">
        <v>13.7</v>
      </c>
      <c r="K53">
        <v>4</v>
      </c>
      <c r="L53">
        <v>0.122</v>
      </c>
      <c r="M53" s="4">
        <v>1870000000000000</v>
      </c>
      <c r="N53" s="4">
        <v>3.01E+16</v>
      </c>
      <c r="O53" s="4">
        <v>3.2E+16</v>
      </c>
      <c r="P53">
        <v>16.43</v>
      </c>
      <c r="Q53" t="s">
        <v>24</v>
      </c>
      <c r="R53" t="s">
        <v>24</v>
      </c>
      <c r="S53" t="s">
        <v>24</v>
      </c>
      <c r="T53" t="s">
        <v>24</v>
      </c>
      <c r="U53">
        <v>12.4</v>
      </c>
      <c r="V53">
        <v>18.3</v>
      </c>
      <c r="W53">
        <v>12.2</v>
      </c>
      <c r="X53">
        <v>24.6</v>
      </c>
    </row>
    <row r="54" spans="1:24" x14ac:dyDescent="0.2">
      <c r="A54" t="s">
        <v>32</v>
      </c>
      <c r="B54" t="s">
        <v>2</v>
      </c>
      <c r="C54" t="s">
        <v>11</v>
      </c>
      <c r="E54">
        <v>170</v>
      </c>
      <c r="F54">
        <v>0.6</v>
      </c>
      <c r="G54">
        <v>0</v>
      </c>
      <c r="H54">
        <v>22</v>
      </c>
      <c r="I54">
        <v>15.1</v>
      </c>
      <c r="J54">
        <v>14.2</v>
      </c>
      <c r="K54">
        <v>4</v>
      </c>
      <c r="L54">
        <v>0.13600000000000001</v>
      </c>
      <c r="M54" s="4">
        <v>70500000000000</v>
      </c>
      <c r="N54" s="4">
        <v>8380000000000000</v>
      </c>
      <c r="O54" s="4">
        <v>8450000000000000</v>
      </c>
      <c r="P54">
        <v>3.79</v>
      </c>
      <c r="Q54" t="s">
        <v>24</v>
      </c>
      <c r="R54" t="s">
        <v>24</v>
      </c>
      <c r="S54" t="s">
        <v>24</v>
      </c>
      <c r="T54" t="s">
        <v>24</v>
      </c>
      <c r="U54">
        <v>10.7</v>
      </c>
      <c r="V54">
        <v>12.8</v>
      </c>
      <c r="W54">
        <v>14.4</v>
      </c>
      <c r="X54">
        <v>34.200000000000003</v>
      </c>
    </row>
    <row r="55" spans="1:24" x14ac:dyDescent="0.2">
      <c r="A55" t="s">
        <v>32</v>
      </c>
      <c r="B55" t="s">
        <v>2</v>
      </c>
      <c r="C55" t="s">
        <v>8</v>
      </c>
      <c r="E55">
        <v>160</v>
      </c>
      <c r="F55">
        <v>18.600000000000001</v>
      </c>
      <c r="G55">
        <v>1.6</v>
      </c>
      <c r="H55">
        <v>1148</v>
      </c>
      <c r="I55">
        <v>13.6</v>
      </c>
      <c r="J55">
        <v>-2.5</v>
      </c>
      <c r="K55">
        <v>4</v>
      </c>
      <c r="L55" t="s">
        <v>24</v>
      </c>
      <c r="M55" s="4">
        <v>1.34E+16</v>
      </c>
      <c r="N55" s="4">
        <v>1.15E+17</v>
      </c>
      <c r="O55" s="4">
        <v>1.28E+17</v>
      </c>
      <c r="P55">
        <v>149.12</v>
      </c>
      <c r="Q55" t="s">
        <v>24</v>
      </c>
      <c r="R55" t="s">
        <v>24</v>
      </c>
      <c r="S55" t="s">
        <v>24</v>
      </c>
      <c r="T55" t="s">
        <v>24</v>
      </c>
      <c r="U55">
        <v>19.7</v>
      </c>
      <c r="V55">
        <v>28.2</v>
      </c>
      <c r="W55">
        <v>12.5</v>
      </c>
      <c r="X55">
        <v>31.7</v>
      </c>
    </row>
    <row r="56" spans="1:24" x14ac:dyDescent="0.2">
      <c r="A56" t="s">
        <v>32</v>
      </c>
      <c r="B56" t="s">
        <v>2</v>
      </c>
      <c r="C56" t="s">
        <v>11</v>
      </c>
      <c r="E56">
        <v>150</v>
      </c>
      <c r="F56">
        <v>0.6</v>
      </c>
      <c r="G56">
        <v>0</v>
      </c>
      <c r="H56">
        <v>22</v>
      </c>
      <c r="I56">
        <v>15.1</v>
      </c>
      <c r="J56">
        <v>-2.2999999999999998</v>
      </c>
      <c r="K56">
        <v>4</v>
      </c>
      <c r="L56">
        <v>0.13600000000000001</v>
      </c>
      <c r="M56" s="4">
        <v>203000000000000</v>
      </c>
      <c r="N56" s="4">
        <v>4510000000000000</v>
      </c>
      <c r="O56" s="4">
        <v>4710000000000000</v>
      </c>
      <c r="P56">
        <v>4.12</v>
      </c>
      <c r="Q56">
        <v>0.94199999999999995</v>
      </c>
      <c r="R56">
        <v>5.8000000000000003E-2</v>
      </c>
      <c r="S56">
        <v>67.645044940000005</v>
      </c>
      <c r="T56">
        <v>4.1997470640000003</v>
      </c>
      <c r="U56">
        <v>17</v>
      </c>
      <c r="V56">
        <v>27.9</v>
      </c>
      <c r="W56">
        <v>12.5</v>
      </c>
      <c r="X56">
        <v>33.200000000000003</v>
      </c>
    </row>
    <row r="57" spans="1:24" x14ac:dyDescent="0.2">
      <c r="A57" t="s">
        <v>32</v>
      </c>
      <c r="B57" t="s">
        <v>2</v>
      </c>
      <c r="C57" t="s">
        <v>8</v>
      </c>
      <c r="E57">
        <v>160</v>
      </c>
      <c r="F57">
        <v>18.600000000000001</v>
      </c>
      <c r="G57">
        <v>1.6</v>
      </c>
      <c r="H57">
        <v>1148</v>
      </c>
      <c r="I57">
        <v>13.6</v>
      </c>
      <c r="J57">
        <v>9.1999999999999993</v>
      </c>
      <c r="K57">
        <v>4</v>
      </c>
      <c r="L57">
        <v>0.34399999999999997</v>
      </c>
      <c r="M57" s="4">
        <v>2480000000000000</v>
      </c>
      <c r="N57" s="4">
        <v>3.64E+16</v>
      </c>
      <c r="O57" s="4">
        <v>3.89E+16</v>
      </c>
      <c r="P57">
        <v>19.07</v>
      </c>
      <c r="Q57">
        <v>0.998</v>
      </c>
      <c r="R57">
        <v>2E-3</v>
      </c>
      <c r="S57">
        <v>235.6700859</v>
      </c>
      <c r="T57">
        <v>0.51523411100000005</v>
      </c>
      <c r="U57">
        <v>18.2</v>
      </c>
      <c r="V57">
        <v>25.5</v>
      </c>
      <c r="W57">
        <v>12.2</v>
      </c>
      <c r="X57">
        <v>28.9</v>
      </c>
    </row>
    <row r="58" spans="1:24" x14ac:dyDescent="0.2">
      <c r="A58" t="s">
        <v>32</v>
      </c>
      <c r="B58" t="s">
        <v>2</v>
      </c>
      <c r="C58" t="s">
        <v>13</v>
      </c>
      <c r="E58">
        <v>130</v>
      </c>
      <c r="F58">
        <v>9.1</v>
      </c>
      <c r="G58">
        <v>0.8</v>
      </c>
      <c r="H58">
        <v>658</v>
      </c>
      <c r="I58">
        <v>14.3</v>
      </c>
      <c r="J58">
        <v>9.3000000000000007</v>
      </c>
      <c r="K58">
        <v>4</v>
      </c>
      <c r="L58">
        <v>0.35799999999999998</v>
      </c>
      <c r="M58" s="4">
        <v>999000000000000</v>
      </c>
      <c r="N58" s="4">
        <v>3.27E+16</v>
      </c>
      <c r="O58" s="4">
        <v>3.37E+16</v>
      </c>
      <c r="P58">
        <v>8.4</v>
      </c>
      <c r="Q58">
        <v>0.85699999999999998</v>
      </c>
      <c r="R58">
        <v>0.14299999999999999</v>
      </c>
      <c r="S58">
        <v>94.272174919999998</v>
      </c>
      <c r="T58">
        <v>15.77054908</v>
      </c>
      <c r="U58">
        <v>14.3</v>
      </c>
      <c r="V58">
        <v>19.3</v>
      </c>
      <c r="W58">
        <v>11.7</v>
      </c>
      <c r="X58">
        <v>31</v>
      </c>
    </row>
    <row r="59" spans="1:24" x14ac:dyDescent="0.2">
      <c r="A59" t="s">
        <v>32</v>
      </c>
      <c r="B59" t="s">
        <v>2</v>
      </c>
      <c r="C59" t="s">
        <v>13</v>
      </c>
      <c r="E59">
        <v>170</v>
      </c>
      <c r="F59">
        <v>9.1</v>
      </c>
      <c r="G59">
        <v>0.8</v>
      </c>
      <c r="H59">
        <v>658</v>
      </c>
      <c r="I59">
        <v>14.3</v>
      </c>
      <c r="J59">
        <v>14.1</v>
      </c>
      <c r="K59">
        <v>4</v>
      </c>
      <c r="L59">
        <v>0.151</v>
      </c>
      <c r="M59" s="4">
        <v>928000000000000</v>
      </c>
      <c r="N59" s="4">
        <v>2.83E+16</v>
      </c>
      <c r="O59" s="4">
        <v>2.92E+16</v>
      </c>
      <c r="P59">
        <v>6.39</v>
      </c>
      <c r="Q59" t="s">
        <v>24</v>
      </c>
      <c r="R59" t="s">
        <v>24</v>
      </c>
      <c r="S59" t="s">
        <v>24</v>
      </c>
      <c r="T59" t="s">
        <v>24</v>
      </c>
      <c r="U59">
        <v>13.7</v>
      </c>
      <c r="V59">
        <v>17.899999999999999</v>
      </c>
      <c r="W59">
        <v>11.9</v>
      </c>
      <c r="X59">
        <v>31.3</v>
      </c>
    </row>
    <row r="60" spans="1:24" x14ac:dyDescent="0.2">
      <c r="A60" t="s">
        <v>32</v>
      </c>
      <c r="B60" t="s">
        <v>2</v>
      </c>
      <c r="C60" t="s">
        <v>8</v>
      </c>
      <c r="E60">
        <v>110</v>
      </c>
      <c r="F60">
        <v>18.600000000000001</v>
      </c>
      <c r="G60">
        <v>1.6</v>
      </c>
      <c r="H60">
        <v>1148</v>
      </c>
      <c r="I60">
        <v>13.6</v>
      </c>
      <c r="J60">
        <v>14.6</v>
      </c>
      <c r="K60">
        <v>4</v>
      </c>
      <c r="L60">
        <v>0.13800000000000001</v>
      </c>
      <c r="M60" s="4">
        <v>2300000000000000</v>
      </c>
      <c r="N60" s="4">
        <v>3.12E+16</v>
      </c>
      <c r="O60" s="4">
        <v>3.35E+16</v>
      </c>
      <c r="P60">
        <v>17.93</v>
      </c>
      <c r="Q60" t="s">
        <v>24</v>
      </c>
      <c r="R60" t="s">
        <v>24</v>
      </c>
      <c r="S60" t="s">
        <v>24</v>
      </c>
      <c r="T60" t="s">
        <v>24</v>
      </c>
      <c r="U60">
        <v>17.2</v>
      </c>
      <c r="V60">
        <v>24.8</v>
      </c>
      <c r="W60">
        <v>12.2</v>
      </c>
      <c r="X60">
        <v>29.4</v>
      </c>
    </row>
    <row r="61" spans="1:24" x14ac:dyDescent="0.2">
      <c r="A61" t="s">
        <v>32</v>
      </c>
      <c r="B61" t="s">
        <v>2</v>
      </c>
      <c r="C61" t="s">
        <v>8</v>
      </c>
      <c r="E61">
        <v>300</v>
      </c>
      <c r="F61">
        <v>18.600000000000001</v>
      </c>
      <c r="G61">
        <v>1.6</v>
      </c>
      <c r="H61">
        <v>1148</v>
      </c>
      <c r="I61">
        <v>13.6</v>
      </c>
      <c r="J61">
        <v>17.7</v>
      </c>
      <c r="K61">
        <v>4</v>
      </c>
      <c r="L61">
        <v>0.11600000000000001</v>
      </c>
      <c r="M61" s="4">
        <v>388000000000000</v>
      </c>
      <c r="N61" s="4">
        <v>1.3E+16</v>
      </c>
      <c r="O61" s="4">
        <v>1.33E+16</v>
      </c>
      <c r="P61">
        <v>9.43</v>
      </c>
      <c r="Q61" t="s">
        <v>24</v>
      </c>
      <c r="R61" t="s">
        <v>24</v>
      </c>
      <c r="S61" t="s">
        <v>24</v>
      </c>
      <c r="T61" t="s">
        <v>24</v>
      </c>
      <c r="U61">
        <v>12.2</v>
      </c>
      <c r="V61">
        <v>20.6</v>
      </c>
      <c r="W61">
        <v>17.5</v>
      </c>
      <c r="X61">
        <v>58.4</v>
      </c>
    </row>
    <row r="62" spans="1:24" x14ac:dyDescent="0.2">
      <c r="A62" t="s">
        <v>32</v>
      </c>
      <c r="B62" t="s">
        <v>2</v>
      </c>
      <c r="C62" t="s">
        <v>8</v>
      </c>
      <c r="E62">
        <v>204</v>
      </c>
      <c r="F62">
        <v>18.600000000000001</v>
      </c>
      <c r="G62">
        <v>1.6</v>
      </c>
      <c r="H62">
        <v>1148</v>
      </c>
      <c r="I62">
        <v>13.6</v>
      </c>
      <c r="J62">
        <v>17.8</v>
      </c>
      <c r="K62">
        <v>4</v>
      </c>
      <c r="L62">
        <v>0.11600000000000001</v>
      </c>
      <c r="M62" s="4">
        <v>2270000000000000</v>
      </c>
      <c r="N62" s="4">
        <v>3.01E+16</v>
      </c>
      <c r="O62" s="4">
        <v>3.24E+16</v>
      </c>
      <c r="P62">
        <v>16.52</v>
      </c>
      <c r="Q62" t="s">
        <v>24</v>
      </c>
      <c r="R62" t="s">
        <v>24</v>
      </c>
      <c r="S62" t="s">
        <v>24</v>
      </c>
      <c r="T62" t="s">
        <v>24</v>
      </c>
      <c r="U62">
        <v>16</v>
      </c>
      <c r="V62">
        <v>24.1</v>
      </c>
      <c r="W62">
        <v>12.3</v>
      </c>
      <c r="X62">
        <v>34.9</v>
      </c>
    </row>
    <row r="63" spans="1:24" x14ac:dyDescent="0.2">
      <c r="A63" t="s">
        <v>32</v>
      </c>
      <c r="B63" t="s">
        <v>2</v>
      </c>
      <c r="C63" t="s">
        <v>8</v>
      </c>
      <c r="E63">
        <v>190</v>
      </c>
      <c r="F63">
        <v>18.600000000000001</v>
      </c>
      <c r="G63">
        <v>1.6</v>
      </c>
      <c r="H63">
        <v>1148</v>
      </c>
      <c r="I63">
        <v>13.6</v>
      </c>
      <c r="J63">
        <v>17.7</v>
      </c>
      <c r="K63">
        <v>4</v>
      </c>
      <c r="L63">
        <v>0.13600000000000001</v>
      </c>
      <c r="M63" s="4">
        <v>2340000000000000</v>
      </c>
      <c r="N63" s="4">
        <v>5.06E+16</v>
      </c>
      <c r="O63" s="4">
        <v>5.29E+16</v>
      </c>
      <c r="P63">
        <v>14.63</v>
      </c>
      <c r="Q63" t="s">
        <v>24</v>
      </c>
      <c r="R63" t="s">
        <v>24</v>
      </c>
      <c r="S63" t="s">
        <v>24</v>
      </c>
      <c r="T63" t="s">
        <v>24</v>
      </c>
      <c r="U63">
        <v>15.4</v>
      </c>
      <c r="V63">
        <v>22</v>
      </c>
      <c r="W63">
        <v>11.9</v>
      </c>
      <c r="X63">
        <v>35.9</v>
      </c>
    </row>
    <row r="64" spans="1:24" x14ac:dyDescent="0.2">
      <c r="A64" t="s">
        <v>32</v>
      </c>
      <c r="B64" t="s">
        <v>2</v>
      </c>
      <c r="C64" t="s">
        <v>8</v>
      </c>
      <c r="E64">
        <v>105</v>
      </c>
      <c r="F64">
        <v>18.600000000000001</v>
      </c>
      <c r="G64">
        <v>1.6</v>
      </c>
      <c r="H64">
        <v>1148</v>
      </c>
      <c r="I64">
        <v>13.6</v>
      </c>
      <c r="J64">
        <v>19.399999999999999</v>
      </c>
      <c r="K64">
        <v>4</v>
      </c>
      <c r="L64">
        <v>0.13600000000000001</v>
      </c>
      <c r="M64" s="4">
        <v>2530000000000000</v>
      </c>
      <c r="N64" s="4">
        <v>4.27E+16</v>
      </c>
      <c r="O64" s="4">
        <v>4.52E+16</v>
      </c>
      <c r="P64">
        <v>28.73</v>
      </c>
      <c r="Q64" t="s">
        <v>24</v>
      </c>
      <c r="R64" t="s">
        <v>24</v>
      </c>
      <c r="S64" t="s">
        <v>24</v>
      </c>
      <c r="T64" t="s">
        <v>24</v>
      </c>
      <c r="U64">
        <v>15.9</v>
      </c>
      <c r="V64">
        <v>22.2</v>
      </c>
      <c r="W64">
        <v>11.8</v>
      </c>
      <c r="X64">
        <v>28.4</v>
      </c>
    </row>
    <row r="65" spans="1:24" x14ac:dyDescent="0.2">
      <c r="A65" t="s">
        <v>32</v>
      </c>
      <c r="B65" t="s">
        <v>2</v>
      </c>
      <c r="C65" t="s">
        <v>8</v>
      </c>
      <c r="E65">
        <v>180</v>
      </c>
      <c r="F65">
        <v>18.600000000000001</v>
      </c>
      <c r="G65">
        <v>1.6</v>
      </c>
      <c r="H65">
        <v>1148</v>
      </c>
      <c r="I65">
        <v>13.6</v>
      </c>
      <c r="J65">
        <v>19.3</v>
      </c>
      <c r="K65">
        <v>4</v>
      </c>
      <c r="L65">
        <v>0.109</v>
      </c>
      <c r="M65" s="4">
        <v>2240000000000000</v>
      </c>
      <c r="N65" s="4">
        <v>2.89E+16</v>
      </c>
      <c r="O65" s="4">
        <v>3.11E+16</v>
      </c>
      <c r="P65">
        <v>21.52</v>
      </c>
      <c r="Q65" t="s">
        <v>24</v>
      </c>
      <c r="R65" t="s">
        <v>24</v>
      </c>
      <c r="S65" t="s">
        <v>24</v>
      </c>
      <c r="T65" t="s">
        <v>24</v>
      </c>
      <c r="U65">
        <v>16.399999999999999</v>
      </c>
      <c r="V65">
        <v>24</v>
      </c>
      <c r="W65">
        <v>12.1</v>
      </c>
      <c r="X65">
        <v>31.6</v>
      </c>
    </row>
    <row r="66" spans="1:24" x14ac:dyDescent="0.2">
      <c r="A66" t="s">
        <v>32</v>
      </c>
      <c r="B66" t="s">
        <v>2</v>
      </c>
      <c r="C66" t="s">
        <v>8</v>
      </c>
      <c r="E66">
        <v>150</v>
      </c>
      <c r="F66">
        <v>18.600000000000001</v>
      </c>
      <c r="G66">
        <v>1.6</v>
      </c>
      <c r="H66">
        <v>1148</v>
      </c>
      <c r="I66">
        <v>13.6</v>
      </c>
      <c r="J66">
        <v>20</v>
      </c>
      <c r="K66">
        <v>4</v>
      </c>
      <c r="L66">
        <v>0.123</v>
      </c>
      <c r="M66" s="4">
        <v>2010000000000000</v>
      </c>
      <c r="N66" s="4">
        <v>2.73E+16</v>
      </c>
      <c r="O66" s="4">
        <v>2.93E+16</v>
      </c>
      <c r="P66">
        <v>14.46</v>
      </c>
      <c r="Q66" t="s">
        <v>24</v>
      </c>
      <c r="R66" t="s">
        <v>24</v>
      </c>
      <c r="S66" t="s">
        <v>24</v>
      </c>
      <c r="T66" t="s">
        <v>24</v>
      </c>
      <c r="U66">
        <v>16.100000000000001</v>
      </c>
      <c r="V66">
        <v>23.7</v>
      </c>
      <c r="W66">
        <v>12.1</v>
      </c>
      <c r="X66">
        <v>33.9</v>
      </c>
    </row>
    <row r="67" spans="1:24" x14ac:dyDescent="0.2">
      <c r="A67" t="s">
        <v>32</v>
      </c>
      <c r="B67" t="s">
        <v>2</v>
      </c>
      <c r="C67" t="s">
        <v>8</v>
      </c>
      <c r="E67">
        <v>185</v>
      </c>
      <c r="F67">
        <v>18.600000000000001</v>
      </c>
      <c r="G67">
        <v>1.6</v>
      </c>
      <c r="H67">
        <v>1148</v>
      </c>
      <c r="I67">
        <v>13.6</v>
      </c>
      <c r="J67">
        <v>20</v>
      </c>
      <c r="K67">
        <v>4</v>
      </c>
      <c r="L67">
        <v>0.13600000000000001</v>
      </c>
      <c r="M67" s="4">
        <v>2530000000000000</v>
      </c>
      <c r="N67" s="4">
        <v>4.03E+16</v>
      </c>
      <c r="O67" s="4">
        <v>4.28E+16</v>
      </c>
      <c r="P67">
        <v>13.11</v>
      </c>
      <c r="Q67" t="s">
        <v>24</v>
      </c>
      <c r="R67" t="s">
        <v>24</v>
      </c>
      <c r="S67" t="s">
        <v>24</v>
      </c>
      <c r="T67" t="s">
        <v>24</v>
      </c>
      <c r="U67">
        <v>15.6</v>
      </c>
      <c r="V67">
        <v>21.9</v>
      </c>
      <c r="W67">
        <v>11.9</v>
      </c>
      <c r="X67">
        <v>29.4</v>
      </c>
    </row>
    <row r="68" spans="1:24" x14ac:dyDescent="0.2">
      <c r="A68" t="s">
        <v>32</v>
      </c>
      <c r="B68" t="s">
        <v>3</v>
      </c>
      <c r="C68" t="s">
        <v>18</v>
      </c>
      <c r="E68">
        <v>148</v>
      </c>
      <c r="F68">
        <v>10.199999999999999</v>
      </c>
      <c r="G68">
        <v>0.65</v>
      </c>
      <c r="H68">
        <v>276</v>
      </c>
      <c r="I68">
        <v>14.4</v>
      </c>
      <c r="J68">
        <v>23.9</v>
      </c>
      <c r="K68">
        <v>4</v>
      </c>
      <c r="L68" t="s">
        <v>24</v>
      </c>
      <c r="M68" s="4">
        <v>1.32E+16</v>
      </c>
      <c r="N68" t="s">
        <v>24</v>
      </c>
      <c r="O68" s="4">
        <v>1.29E+16</v>
      </c>
      <c r="P68">
        <v>3.23</v>
      </c>
      <c r="Q68">
        <v>0.871</v>
      </c>
      <c r="R68">
        <v>0.129</v>
      </c>
      <c r="S68" t="s">
        <v>24</v>
      </c>
      <c r="T68" t="s">
        <v>24</v>
      </c>
      <c r="U68">
        <v>12.246600000000001</v>
      </c>
      <c r="V68">
        <v>19.7181</v>
      </c>
      <c r="W68" t="s">
        <v>24</v>
      </c>
      <c r="X68" t="s">
        <v>24</v>
      </c>
    </row>
    <row r="69" spans="1:24" x14ac:dyDescent="0.2">
      <c r="A69" t="s">
        <v>32</v>
      </c>
      <c r="B69" t="s">
        <v>3</v>
      </c>
      <c r="C69" t="s">
        <v>8</v>
      </c>
      <c r="E69">
        <v>90</v>
      </c>
      <c r="F69">
        <v>21.8</v>
      </c>
      <c r="G69">
        <v>1.3</v>
      </c>
      <c r="H69">
        <v>188</v>
      </c>
      <c r="I69">
        <v>13.5</v>
      </c>
      <c r="J69">
        <v>25</v>
      </c>
      <c r="K69">
        <v>4</v>
      </c>
      <c r="L69" t="s">
        <v>24</v>
      </c>
      <c r="M69" s="4">
        <v>1.78E+16</v>
      </c>
      <c r="N69" t="s">
        <v>24</v>
      </c>
      <c r="O69" s="4">
        <v>1.39E+16</v>
      </c>
      <c r="P69">
        <v>3.59</v>
      </c>
      <c r="Q69">
        <v>0.89100000000000001</v>
      </c>
      <c r="R69">
        <v>0.109</v>
      </c>
      <c r="S69" t="s">
        <v>24</v>
      </c>
      <c r="T69" t="s">
        <v>24</v>
      </c>
      <c r="U69">
        <v>12.0436</v>
      </c>
      <c r="V69">
        <v>20.284099999999999</v>
      </c>
      <c r="W69" t="s">
        <v>24</v>
      </c>
      <c r="X69" t="s">
        <v>24</v>
      </c>
    </row>
    <row r="70" spans="1:24" x14ac:dyDescent="0.2">
      <c r="A70" t="s">
        <v>32</v>
      </c>
      <c r="B70" t="s">
        <v>3</v>
      </c>
      <c r="C70" t="s">
        <v>18</v>
      </c>
      <c r="E70">
        <v>360</v>
      </c>
      <c r="F70">
        <v>10.199999999999999</v>
      </c>
      <c r="G70">
        <v>0.65</v>
      </c>
      <c r="H70">
        <v>276</v>
      </c>
      <c r="I70">
        <v>14.4</v>
      </c>
      <c r="J70">
        <v>27.8</v>
      </c>
      <c r="K70">
        <v>4</v>
      </c>
      <c r="L70" t="s">
        <v>24</v>
      </c>
      <c r="M70" s="4">
        <v>1230000000000000</v>
      </c>
      <c r="N70" s="4">
        <v>1.31E+16</v>
      </c>
      <c r="O70" s="4">
        <v>1.44E+16</v>
      </c>
      <c r="P70">
        <v>9.2899999999999991</v>
      </c>
      <c r="Q70">
        <v>0.86299999999999999</v>
      </c>
      <c r="R70">
        <v>0.13700000000000001</v>
      </c>
      <c r="S70" t="s">
        <v>24</v>
      </c>
      <c r="T70" t="s">
        <v>24</v>
      </c>
      <c r="U70">
        <v>12.225899999999999</v>
      </c>
      <c r="V70">
        <v>21.600899999999999</v>
      </c>
      <c r="W70" t="s">
        <v>24</v>
      </c>
      <c r="X70" t="s">
        <v>24</v>
      </c>
    </row>
    <row r="71" spans="1:24" x14ac:dyDescent="0.2">
      <c r="A71" t="s">
        <v>32</v>
      </c>
      <c r="B71" t="s">
        <v>3</v>
      </c>
      <c r="C71" t="s">
        <v>18</v>
      </c>
      <c r="E71">
        <v>120</v>
      </c>
      <c r="F71">
        <v>10.199999999999999</v>
      </c>
      <c r="G71">
        <v>0.65</v>
      </c>
      <c r="H71">
        <v>276</v>
      </c>
      <c r="I71">
        <v>14.4</v>
      </c>
      <c r="J71">
        <v>28.3</v>
      </c>
      <c r="K71">
        <v>4</v>
      </c>
      <c r="L71" t="s">
        <v>24</v>
      </c>
      <c r="M71" s="4">
        <v>1630000000000000</v>
      </c>
      <c r="N71" s="4">
        <v>1.64E+16</v>
      </c>
      <c r="O71" s="4">
        <v>1.8E+16</v>
      </c>
      <c r="P71">
        <v>8.0299999999999994</v>
      </c>
      <c r="Q71">
        <v>0.86199999999999999</v>
      </c>
      <c r="R71">
        <v>0.13800000000000001</v>
      </c>
      <c r="S71" t="s">
        <v>24</v>
      </c>
      <c r="T71" t="s">
        <v>24</v>
      </c>
      <c r="U71">
        <v>13.412000000000001</v>
      </c>
      <c r="V71">
        <v>22.8444</v>
      </c>
      <c r="W71" t="s">
        <v>24</v>
      </c>
      <c r="X71" t="s">
        <v>24</v>
      </c>
    </row>
    <row r="72" spans="1:24" x14ac:dyDescent="0.2">
      <c r="A72" t="s">
        <v>32</v>
      </c>
      <c r="B72" t="s">
        <v>3</v>
      </c>
      <c r="C72" t="s">
        <v>8</v>
      </c>
      <c r="E72">
        <v>190</v>
      </c>
      <c r="F72">
        <v>21.8</v>
      </c>
      <c r="G72">
        <v>1.3</v>
      </c>
      <c r="H72">
        <v>188</v>
      </c>
      <c r="I72">
        <v>13.5</v>
      </c>
      <c r="J72">
        <v>9.4</v>
      </c>
      <c r="K72">
        <v>4</v>
      </c>
      <c r="L72" t="s">
        <v>24</v>
      </c>
      <c r="M72" s="4">
        <v>1370000000000000</v>
      </c>
      <c r="N72" t="s">
        <v>24</v>
      </c>
      <c r="O72" t="s">
        <v>24</v>
      </c>
      <c r="P72">
        <v>17.489999999999998</v>
      </c>
      <c r="Q72">
        <v>0.89300000000000002</v>
      </c>
      <c r="R72">
        <v>0.107</v>
      </c>
      <c r="S72">
        <v>81.338737120000005</v>
      </c>
      <c r="T72">
        <v>9.7484628759999996</v>
      </c>
      <c r="U72">
        <v>18.4194</v>
      </c>
      <c r="V72">
        <v>30.5686</v>
      </c>
      <c r="W72">
        <v>14.2</v>
      </c>
      <c r="X72">
        <v>37.6</v>
      </c>
    </row>
    <row r="73" spans="1:24" x14ac:dyDescent="0.2">
      <c r="A73" t="s">
        <v>32</v>
      </c>
      <c r="B73" t="s">
        <v>3</v>
      </c>
      <c r="C73" t="s">
        <v>8</v>
      </c>
      <c r="E73">
        <v>35</v>
      </c>
      <c r="F73">
        <v>21.8</v>
      </c>
      <c r="G73">
        <v>1.3</v>
      </c>
      <c r="H73">
        <v>188</v>
      </c>
      <c r="I73">
        <v>13.5</v>
      </c>
      <c r="J73" t="s">
        <v>24</v>
      </c>
      <c r="K73">
        <v>4</v>
      </c>
      <c r="L73" t="s">
        <v>24</v>
      </c>
      <c r="M73" s="4">
        <v>255000000000000</v>
      </c>
      <c r="N73" s="4">
        <v>64700000000000</v>
      </c>
      <c r="O73" s="4">
        <v>320000000000000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  <c r="W73" t="s">
        <v>24</v>
      </c>
      <c r="X73" t="s">
        <v>24</v>
      </c>
    </row>
    <row r="74" spans="1:24" x14ac:dyDescent="0.2">
      <c r="A74" t="s">
        <v>32</v>
      </c>
      <c r="B74" t="s">
        <v>3</v>
      </c>
      <c r="C74" t="s">
        <v>8</v>
      </c>
      <c r="E74">
        <v>50</v>
      </c>
      <c r="F74">
        <v>21.8</v>
      </c>
      <c r="G74">
        <v>1.3</v>
      </c>
      <c r="H74">
        <v>188</v>
      </c>
      <c r="I74">
        <v>13.5</v>
      </c>
      <c r="J74">
        <v>17.8</v>
      </c>
      <c r="K74">
        <v>4</v>
      </c>
      <c r="L74" t="s">
        <v>24</v>
      </c>
      <c r="M74" s="4">
        <v>1.62E+16</v>
      </c>
      <c r="N74" s="4">
        <v>1.16E+16</v>
      </c>
      <c r="O74" s="4">
        <v>2.78E+16</v>
      </c>
      <c r="P74">
        <v>9.7200000000000006</v>
      </c>
      <c r="Q74">
        <v>0.80500000000000005</v>
      </c>
      <c r="R74">
        <v>0.19500000000000001</v>
      </c>
      <c r="S74" t="s">
        <v>24</v>
      </c>
      <c r="T74" t="s">
        <v>24</v>
      </c>
      <c r="U74">
        <v>14.085599999999999</v>
      </c>
      <c r="V74">
        <v>22.284700000000001</v>
      </c>
      <c r="W74" t="s">
        <v>24</v>
      </c>
      <c r="X74" t="s">
        <v>24</v>
      </c>
    </row>
    <row r="75" spans="1:24" x14ac:dyDescent="0.2">
      <c r="A75" t="s">
        <v>32</v>
      </c>
      <c r="B75" t="s">
        <v>3</v>
      </c>
      <c r="C75" t="s">
        <v>8</v>
      </c>
      <c r="E75">
        <v>130</v>
      </c>
      <c r="F75">
        <v>21.8</v>
      </c>
      <c r="G75">
        <v>1.3</v>
      </c>
      <c r="H75">
        <v>188</v>
      </c>
      <c r="I75">
        <v>13.5</v>
      </c>
      <c r="J75">
        <v>17.2</v>
      </c>
      <c r="K75">
        <v>4</v>
      </c>
      <c r="L75" t="s">
        <v>24</v>
      </c>
      <c r="M75" s="4">
        <v>1770000000000000</v>
      </c>
      <c r="N75" s="4">
        <v>2.26E+16</v>
      </c>
      <c r="O75" s="4">
        <v>2.44E+16</v>
      </c>
      <c r="P75">
        <v>80.180000000000007</v>
      </c>
      <c r="Q75">
        <v>0.94699999999999995</v>
      </c>
      <c r="R75">
        <v>5.2999999999999999E-2</v>
      </c>
      <c r="S75">
        <v>175.81815180000001</v>
      </c>
      <c r="T75">
        <v>9.8405681979999997</v>
      </c>
      <c r="U75">
        <v>14.8247</v>
      </c>
      <c r="V75">
        <v>51.386099999999999</v>
      </c>
      <c r="W75">
        <v>14.4</v>
      </c>
      <c r="X75">
        <v>64.3</v>
      </c>
    </row>
    <row r="76" spans="1:24" x14ac:dyDescent="0.2">
      <c r="A76" t="s">
        <v>32</v>
      </c>
      <c r="B76" t="s">
        <v>3</v>
      </c>
      <c r="C76" t="s">
        <v>8</v>
      </c>
      <c r="E76">
        <v>150</v>
      </c>
      <c r="F76">
        <v>21.8</v>
      </c>
      <c r="G76">
        <v>1.3</v>
      </c>
      <c r="H76">
        <v>188</v>
      </c>
      <c r="I76">
        <v>13.5</v>
      </c>
      <c r="J76">
        <v>17.2</v>
      </c>
      <c r="K76">
        <v>4</v>
      </c>
      <c r="L76" t="s">
        <v>24</v>
      </c>
      <c r="M76" s="4">
        <v>1730000000000000</v>
      </c>
      <c r="N76" s="4">
        <v>2.45E+16</v>
      </c>
      <c r="O76" s="4">
        <v>2.62E+16</v>
      </c>
      <c r="P76">
        <v>20.51</v>
      </c>
      <c r="Q76">
        <v>0.75900000000000001</v>
      </c>
      <c r="R76">
        <v>0.24099999999999999</v>
      </c>
      <c r="S76">
        <v>54.15032326</v>
      </c>
      <c r="T76">
        <v>17.197956739999999</v>
      </c>
      <c r="U76">
        <v>14.638400000000001</v>
      </c>
      <c r="V76">
        <v>27.9969</v>
      </c>
      <c r="W76">
        <v>13.1</v>
      </c>
      <c r="X76">
        <v>35.6</v>
      </c>
    </row>
    <row r="77" spans="1:24" x14ac:dyDescent="0.2">
      <c r="A77" t="s">
        <v>32</v>
      </c>
      <c r="B77" t="s">
        <v>3</v>
      </c>
      <c r="C77" t="s">
        <v>8</v>
      </c>
      <c r="E77">
        <v>210</v>
      </c>
      <c r="F77">
        <v>21.8</v>
      </c>
      <c r="G77">
        <v>1.3</v>
      </c>
      <c r="H77">
        <v>188</v>
      </c>
      <c r="I77">
        <v>13.5</v>
      </c>
      <c r="J77">
        <v>17.2</v>
      </c>
      <c r="K77">
        <v>4</v>
      </c>
      <c r="L77" t="s">
        <v>24</v>
      </c>
      <c r="M77" s="4">
        <v>1340000000000000</v>
      </c>
      <c r="N77" s="4">
        <v>2.35E+16</v>
      </c>
      <c r="O77" s="4">
        <v>2.48E+16</v>
      </c>
      <c r="P77">
        <v>16.78</v>
      </c>
      <c r="Q77">
        <v>0.68899999999999995</v>
      </c>
      <c r="R77">
        <v>0.311</v>
      </c>
      <c r="S77">
        <v>40.563281480000001</v>
      </c>
      <c r="T77">
        <v>18.30127852</v>
      </c>
      <c r="U77">
        <v>13.171099999999999</v>
      </c>
      <c r="V77">
        <v>26.824200000000001</v>
      </c>
      <c r="W77">
        <v>12.7</v>
      </c>
      <c r="X77">
        <v>36.799999999999997</v>
      </c>
    </row>
    <row r="78" spans="1:24" x14ac:dyDescent="0.2">
      <c r="A78" t="s">
        <v>32</v>
      </c>
      <c r="B78" t="s">
        <v>3</v>
      </c>
      <c r="C78" t="s">
        <v>15</v>
      </c>
      <c r="E78">
        <v>165</v>
      </c>
      <c r="F78">
        <v>0.4</v>
      </c>
      <c r="G78">
        <v>0</v>
      </c>
      <c r="H78">
        <v>6</v>
      </c>
      <c r="I78">
        <v>15.3</v>
      </c>
      <c r="J78">
        <v>6.7</v>
      </c>
      <c r="K78">
        <v>4</v>
      </c>
      <c r="L78" t="s">
        <v>24</v>
      </c>
      <c r="M78" s="4">
        <v>312000000000000</v>
      </c>
      <c r="N78" s="4">
        <v>8060000000000000</v>
      </c>
      <c r="O78" s="4">
        <v>8370000000000000</v>
      </c>
      <c r="P78">
        <v>8.58</v>
      </c>
      <c r="Q78">
        <v>0.67400000000000004</v>
      </c>
      <c r="R78">
        <v>0.32600000000000001</v>
      </c>
      <c r="S78">
        <v>8.914041246</v>
      </c>
      <c r="T78">
        <v>4.3113663539999996</v>
      </c>
      <c r="U78">
        <v>11.673999999999999</v>
      </c>
      <c r="V78">
        <v>38.358899999999998</v>
      </c>
      <c r="W78">
        <v>12.8</v>
      </c>
      <c r="X78">
        <v>80.400000000000006</v>
      </c>
    </row>
    <row r="79" spans="1:24" x14ac:dyDescent="0.2">
      <c r="A79" t="s">
        <v>32</v>
      </c>
      <c r="B79" t="s">
        <v>3</v>
      </c>
      <c r="C79" t="s">
        <v>8</v>
      </c>
      <c r="E79">
        <v>180</v>
      </c>
      <c r="F79">
        <v>21.8</v>
      </c>
      <c r="G79">
        <v>1.3</v>
      </c>
      <c r="H79">
        <v>188</v>
      </c>
      <c r="I79">
        <v>13.5</v>
      </c>
      <c r="J79">
        <v>6.7</v>
      </c>
      <c r="K79">
        <v>4</v>
      </c>
      <c r="L79" t="s">
        <v>24</v>
      </c>
      <c r="M79" s="4">
        <v>1080000000000000</v>
      </c>
      <c r="N79" s="4">
        <v>2.12E+16</v>
      </c>
      <c r="O79" s="4">
        <v>2.22E+16</v>
      </c>
      <c r="P79">
        <v>15.96</v>
      </c>
      <c r="Q79">
        <v>0.73799999999999999</v>
      </c>
      <c r="R79">
        <v>0.26200000000000001</v>
      </c>
      <c r="S79">
        <v>42.988863680000001</v>
      </c>
      <c r="T79">
        <v>15.235064319999999</v>
      </c>
      <c r="U79">
        <v>15.636900000000001</v>
      </c>
      <c r="V79">
        <v>30.883900000000001</v>
      </c>
      <c r="W79">
        <v>13</v>
      </c>
      <c r="X79">
        <v>44.3</v>
      </c>
    </row>
    <row r="80" spans="1:24" x14ac:dyDescent="0.2">
      <c r="A80" t="s">
        <v>32</v>
      </c>
      <c r="B80" t="s">
        <v>3</v>
      </c>
      <c r="C80" t="s">
        <v>15</v>
      </c>
      <c r="E80">
        <v>483</v>
      </c>
      <c r="F80">
        <v>0.4</v>
      </c>
      <c r="G80">
        <v>0</v>
      </c>
      <c r="H80">
        <v>6</v>
      </c>
      <c r="I80">
        <v>15.3</v>
      </c>
      <c r="J80">
        <v>11.7</v>
      </c>
      <c r="K80">
        <v>4</v>
      </c>
      <c r="L80" t="s">
        <v>24</v>
      </c>
      <c r="M80" s="4">
        <v>70300000000000</v>
      </c>
      <c r="N80" s="4">
        <v>6090000000000000</v>
      </c>
      <c r="O80" s="4">
        <v>6160000000000000</v>
      </c>
      <c r="P80">
        <v>5.08</v>
      </c>
      <c r="Q80">
        <v>0.64600000000000002</v>
      </c>
      <c r="R80">
        <v>0.35399999999999998</v>
      </c>
      <c r="S80">
        <v>7.3638453369999999</v>
      </c>
      <c r="T80">
        <v>4.0292738630000002</v>
      </c>
      <c r="U80">
        <v>10.880100000000001</v>
      </c>
      <c r="V80">
        <v>40.1053</v>
      </c>
      <c r="W80">
        <v>15.7</v>
      </c>
      <c r="X80">
        <v>113.9</v>
      </c>
    </row>
    <row r="81" spans="1:24" x14ac:dyDescent="0.2">
      <c r="A81" t="s">
        <v>32</v>
      </c>
      <c r="B81" t="s">
        <v>3</v>
      </c>
      <c r="C81" t="s">
        <v>15</v>
      </c>
      <c r="E81">
        <v>135</v>
      </c>
      <c r="F81">
        <v>0.4</v>
      </c>
      <c r="G81">
        <v>0</v>
      </c>
      <c r="H81">
        <v>6</v>
      </c>
      <c r="I81">
        <v>15.3</v>
      </c>
      <c r="J81">
        <v>15.6</v>
      </c>
      <c r="K81">
        <v>4</v>
      </c>
      <c r="L81" t="s">
        <v>24</v>
      </c>
      <c r="M81" s="4">
        <v>61300000000000</v>
      </c>
      <c r="N81" s="4">
        <v>6270000000000000</v>
      </c>
      <c r="O81" s="4">
        <v>6330000000000000</v>
      </c>
      <c r="P81">
        <v>2.09</v>
      </c>
      <c r="Q81">
        <v>0.64200000000000002</v>
      </c>
      <c r="R81">
        <v>0.35799999999999998</v>
      </c>
      <c r="S81">
        <v>7.1181887289999999</v>
      </c>
      <c r="T81">
        <v>3.9630996710000002</v>
      </c>
      <c r="U81">
        <v>10.7257</v>
      </c>
      <c r="V81">
        <v>43.550600000000003</v>
      </c>
      <c r="W81">
        <v>15.4</v>
      </c>
      <c r="X81">
        <v>119.2</v>
      </c>
    </row>
    <row r="82" spans="1:24" x14ac:dyDescent="0.2">
      <c r="A82" t="s">
        <v>32</v>
      </c>
      <c r="B82" t="s">
        <v>3</v>
      </c>
      <c r="C82" t="s">
        <v>8</v>
      </c>
      <c r="E82">
        <v>150</v>
      </c>
      <c r="F82">
        <v>21.8</v>
      </c>
      <c r="G82">
        <v>1.3</v>
      </c>
      <c r="H82">
        <v>188</v>
      </c>
      <c r="I82">
        <v>13.5</v>
      </c>
      <c r="J82">
        <v>16.100000000000001</v>
      </c>
      <c r="K82">
        <v>4</v>
      </c>
      <c r="L82" t="s">
        <v>24</v>
      </c>
      <c r="M82" s="4">
        <v>1570000000000000</v>
      </c>
      <c r="N82" s="4">
        <v>1.48E+16</v>
      </c>
      <c r="O82" s="4">
        <v>1.63E+16</v>
      </c>
      <c r="P82">
        <v>20.96</v>
      </c>
      <c r="Q82">
        <v>0.74</v>
      </c>
      <c r="R82">
        <v>0.26</v>
      </c>
      <c r="S82">
        <v>59.560191080000003</v>
      </c>
      <c r="T82">
        <v>20.933288919999999</v>
      </c>
      <c r="U82">
        <v>15.7989</v>
      </c>
      <c r="V82">
        <v>30.4938</v>
      </c>
      <c r="W82">
        <v>12.9</v>
      </c>
      <c r="X82">
        <v>37.1</v>
      </c>
    </row>
    <row r="83" spans="1:24" x14ac:dyDescent="0.2">
      <c r="A83" t="s">
        <v>32</v>
      </c>
      <c r="B83" t="s">
        <v>3</v>
      </c>
      <c r="C83" t="s">
        <v>15</v>
      </c>
      <c r="E83">
        <v>280</v>
      </c>
      <c r="F83">
        <v>0.4</v>
      </c>
      <c r="G83">
        <v>0</v>
      </c>
      <c r="H83">
        <v>6</v>
      </c>
      <c r="I83">
        <v>15.3</v>
      </c>
      <c r="J83">
        <v>19.399999999999999</v>
      </c>
      <c r="K83">
        <v>4</v>
      </c>
      <c r="L83" t="s">
        <v>24</v>
      </c>
      <c r="M83" s="4">
        <v>33600000000000</v>
      </c>
      <c r="N83" s="4">
        <v>4130000000000000</v>
      </c>
      <c r="O83" s="4">
        <v>4160000000000000</v>
      </c>
      <c r="P83">
        <v>5.34</v>
      </c>
      <c r="Q83" t="s">
        <v>24</v>
      </c>
      <c r="R83" t="s">
        <v>24</v>
      </c>
      <c r="S83" t="s">
        <v>24</v>
      </c>
      <c r="T83" t="s">
        <v>24</v>
      </c>
      <c r="U83">
        <v>10.1761</v>
      </c>
      <c r="V83">
        <v>17.715199999999999</v>
      </c>
      <c r="W83">
        <v>16.3</v>
      </c>
      <c r="X83">
        <v>56</v>
      </c>
    </row>
    <row r="84" spans="1:24" x14ac:dyDescent="0.2">
      <c r="A84" t="s">
        <v>32</v>
      </c>
      <c r="B84" t="s">
        <v>3</v>
      </c>
      <c r="C84" t="s">
        <v>15</v>
      </c>
      <c r="E84">
        <v>135</v>
      </c>
      <c r="F84">
        <v>0.4</v>
      </c>
      <c r="G84">
        <v>0</v>
      </c>
      <c r="H84">
        <v>6</v>
      </c>
      <c r="I84">
        <v>15.3</v>
      </c>
      <c r="J84">
        <v>21.7</v>
      </c>
      <c r="K84">
        <v>4</v>
      </c>
      <c r="L84" t="s">
        <v>24</v>
      </c>
      <c r="M84" s="4">
        <v>46000000000000</v>
      </c>
      <c r="N84" s="4">
        <v>3640000000000000</v>
      </c>
      <c r="O84" s="4">
        <v>3690000000000000</v>
      </c>
      <c r="P84">
        <v>6.75</v>
      </c>
      <c r="Q84">
        <v>0.68700000000000006</v>
      </c>
      <c r="R84">
        <v>0.313</v>
      </c>
      <c r="S84">
        <v>4.5732427080000004</v>
      </c>
      <c r="T84">
        <v>2.0818492919999998</v>
      </c>
      <c r="U84">
        <v>10.3994</v>
      </c>
      <c r="V84">
        <v>48.024799999999999</v>
      </c>
      <c r="W84">
        <v>15.1</v>
      </c>
      <c r="X84">
        <v>104.5</v>
      </c>
    </row>
    <row r="85" spans="1:24" x14ac:dyDescent="0.2">
      <c r="A85" t="s">
        <v>32</v>
      </c>
      <c r="B85" t="s">
        <v>3</v>
      </c>
      <c r="C85" t="s">
        <v>8</v>
      </c>
      <c r="E85">
        <v>125</v>
      </c>
      <c r="F85">
        <v>21.8</v>
      </c>
      <c r="G85">
        <v>1.3</v>
      </c>
      <c r="H85">
        <v>188</v>
      </c>
      <c r="I85">
        <v>13.5</v>
      </c>
      <c r="J85">
        <v>21.7</v>
      </c>
      <c r="K85">
        <v>4</v>
      </c>
      <c r="L85" t="s">
        <v>24</v>
      </c>
      <c r="M85" s="4">
        <v>1370000000000000</v>
      </c>
      <c r="N85" s="4">
        <v>2.01E+16</v>
      </c>
      <c r="O85" s="4">
        <v>2.15E+16</v>
      </c>
      <c r="P85">
        <v>14.07</v>
      </c>
      <c r="Q85">
        <v>0.77500000000000002</v>
      </c>
      <c r="R85">
        <v>0.22500000000000001</v>
      </c>
      <c r="S85">
        <v>43.689605100000001</v>
      </c>
      <c r="T85">
        <v>12.684078899999999</v>
      </c>
      <c r="U85">
        <v>14.6495</v>
      </c>
      <c r="V85">
        <v>27.931100000000001</v>
      </c>
      <c r="W85">
        <v>12.9</v>
      </c>
      <c r="X85">
        <v>39.200000000000003</v>
      </c>
    </row>
    <row r="86" spans="1:24" x14ac:dyDescent="0.2">
      <c r="A86" t="s">
        <v>32</v>
      </c>
      <c r="B86" t="s">
        <v>3</v>
      </c>
      <c r="C86" t="s">
        <v>15</v>
      </c>
      <c r="E86">
        <v>150</v>
      </c>
      <c r="F86">
        <v>0.4</v>
      </c>
      <c r="G86">
        <v>0</v>
      </c>
      <c r="H86">
        <v>6</v>
      </c>
      <c r="I86">
        <v>15.3</v>
      </c>
      <c r="J86">
        <v>22.8</v>
      </c>
      <c r="K86">
        <v>4</v>
      </c>
      <c r="L86" t="s">
        <v>24</v>
      </c>
      <c r="M86" s="4">
        <v>33700000000000</v>
      </c>
      <c r="N86" s="4">
        <v>2440000000000000</v>
      </c>
      <c r="O86" s="4">
        <v>2480000000000000</v>
      </c>
      <c r="P86">
        <v>3.82</v>
      </c>
      <c r="Q86">
        <v>0.71499999999999997</v>
      </c>
      <c r="R86">
        <v>0.28499999999999998</v>
      </c>
      <c r="S86">
        <v>1.835515316</v>
      </c>
      <c r="T86">
        <v>0.73109508400000001</v>
      </c>
      <c r="U86">
        <v>9.8756599999999999</v>
      </c>
      <c r="V86">
        <v>78.558300000000003</v>
      </c>
      <c r="W86">
        <v>15.9</v>
      </c>
      <c r="X86">
        <v>133.1</v>
      </c>
    </row>
    <row r="87" spans="1:24" x14ac:dyDescent="0.2">
      <c r="A87" t="s">
        <v>32</v>
      </c>
      <c r="B87" t="s">
        <v>3</v>
      </c>
      <c r="C87" t="s">
        <v>17</v>
      </c>
      <c r="E87">
        <v>160</v>
      </c>
      <c r="F87">
        <v>1.4</v>
      </c>
      <c r="G87">
        <v>0</v>
      </c>
      <c r="H87">
        <v>4</v>
      </c>
      <c r="I87">
        <v>15</v>
      </c>
      <c r="J87">
        <v>10</v>
      </c>
      <c r="K87">
        <v>4</v>
      </c>
      <c r="L87" t="s">
        <v>24</v>
      </c>
      <c r="M87" s="4">
        <v>140000000000000</v>
      </c>
      <c r="N87" s="4">
        <v>8260000000000000</v>
      </c>
      <c r="O87" s="4">
        <v>8400000000000000</v>
      </c>
      <c r="P87">
        <v>3</v>
      </c>
      <c r="Q87">
        <v>0.72699999999999998</v>
      </c>
      <c r="R87">
        <v>0.27300000000000002</v>
      </c>
      <c r="S87">
        <v>11.4822889</v>
      </c>
      <c r="T87">
        <v>4.3206551009999998</v>
      </c>
      <c r="U87">
        <v>10.9971</v>
      </c>
      <c r="V87">
        <v>41.672899999999998</v>
      </c>
      <c r="W87">
        <v>14.2</v>
      </c>
      <c r="X87">
        <v>136</v>
      </c>
    </row>
    <row r="88" spans="1:24" x14ac:dyDescent="0.2">
      <c r="A88" t="s">
        <v>32</v>
      </c>
      <c r="B88" t="s">
        <v>3</v>
      </c>
      <c r="C88" t="s">
        <v>8</v>
      </c>
      <c r="E88">
        <v>375</v>
      </c>
      <c r="F88">
        <v>21.8</v>
      </c>
      <c r="G88">
        <v>1.3</v>
      </c>
      <c r="H88">
        <v>188</v>
      </c>
      <c r="I88">
        <v>13.5</v>
      </c>
      <c r="J88">
        <v>11.1</v>
      </c>
      <c r="K88">
        <v>4</v>
      </c>
      <c r="L88" t="s">
        <v>24</v>
      </c>
      <c r="M88" s="4">
        <v>1450000000000000</v>
      </c>
      <c r="N88" s="4">
        <v>1.41E+16</v>
      </c>
      <c r="O88" s="4">
        <v>1.56E+16</v>
      </c>
      <c r="P88">
        <v>17.579999999999998</v>
      </c>
      <c r="Q88">
        <v>0.79900000000000004</v>
      </c>
      <c r="R88">
        <v>0.20100000000000001</v>
      </c>
      <c r="S88">
        <v>72.487454220000004</v>
      </c>
      <c r="T88">
        <v>18.28318578</v>
      </c>
      <c r="U88">
        <v>16.704599999999999</v>
      </c>
      <c r="V88">
        <v>31.735199999999999</v>
      </c>
      <c r="W88">
        <v>13</v>
      </c>
      <c r="X88">
        <v>39.4</v>
      </c>
    </row>
    <row r="89" spans="1:24" x14ac:dyDescent="0.2">
      <c r="A89" t="s">
        <v>32</v>
      </c>
      <c r="B89" t="s">
        <v>3</v>
      </c>
      <c r="C89" t="s">
        <v>17</v>
      </c>
      <c r="E89">
        <v>140</v>
      </c>
      <c r="F89">
        <v>1.4</v>
      </c>
      <c r="G89">
        <v>0</v>
      </c>
      <c r="H89">
        <v>4</v>
      </c>
      <c r="I89">
        <v>15</v>
      </c>
      <c r="J89">
        <v>15.6</v>
      </c>
      <c r="K89">
        <v>4</v>
      </c>
      <c r="L89" t="s">
        <v>24</v>
      </c>
      <c r="M89" s="4">
        <v>41600000000000</v>
      </c>
      <c r="N89" s="4">
        <v>5140000000000000</v>
      </c>
      <c r="O89" s="4">
        <v>5190000000000000</v>
      </c>
      <c r="P89">
        <v>4.21</v>
      </c>
      <c r="Q89">
        <v>0.69699999999999995</v>
      </c>
      <c r="R89">
        <v>0.30299999999999999</v>
      </c>
      <c r="S89">
        <v>7.7335034690000004</v>
      </c>
      <c r="T89">
        <v>3.3652065310000001</v>
      </c>
      <c r="U89">
        <v>10.458399999999999</v>
      </c>
      <c r="V89">
        <v>61.703200000000002</v>
      </c>
      <c r="W89">
        <v>16.5</v>
      </c>
      <c r="X89">
        <v>134.5</v>
      </c>
    </row>
    <row r="90" spans="1:24" x14ac:dyDescent="0.2">
      <c r="A90" t="s">
        <v>32</v>
      </c>
      <c r="B90" t="s">
        <v>3</v>
      </c>
      <c r="C90" t="s">
        <v>18</v>
      </c>
      <c r="E90">
        <v>150</v>
      </c>
      <c r="F90">
        <v>10.199999999999999</v>
      </c>
      <c r="G90">
        <v>0.65</v>
      </c>
      <c r="H90">
        <v>276</v>
      </c>
      <c r="I90">
        <v>14.4</v>
      </c>
      <c r="J90">
        <v>21.7</v>
      </c>
      <c r="K90">
        <v>4</v>
      </c>
      <c r="L90" t="s">
        <v>24</v>
      </c>
      <c r="M90" s="4">
        <v>770000000000000</v>
      </c>
      <c r="N90" s="4">
        <v>1.83E+16</v>
      </c>
      <c r="O90" s="4">
        <v>1.9E+16</v>
      </c>
      <c r="P90">
        <v>1.92</v>
      </c>
      <c r="Q90">
        <v>0.70099999999999996</v>
      </c>
      <c r="R90">
        <v>0.29899999999999999</v>
      </c>
      <c r="S90">
        <v>29.315716550000001</v>
      </c>
      <c r="T90">
        <v>12.495223449999999</v>
      </c>
      <c r="U90">
        <v>12.3521</v>
      </c>
      <c r="V90">
        <v>31.0229</v>
      </c>
      <c r="W90">
        <v>11.6</v>
      </c>
      <c r="X90">
        <v>75.3</v>
      </c>
    </row>
    <row r="91" spans="1:24" x14ac:dyDescent="0.2">
      <c r="A91" t="s">
        <v>32</v>
      </c>
      <c r="B91" t="s">
        <v>3</v>
      </c>
      <c r="C91" t="s">
        <v>18</v>
      </c>
      <c r="E91">
        <v>95</v>
      </c>
      <c r="F91">
        <v>10.199999999999999</v>
      </c>
      <c r="G91">
        <v>0.65</v>
      </c>
      <c r="H91">
        <v>276</v>
      </c>
      <c r="I91">
        <v>14.4</v>
      </c>
      <c r="J91">
        <v>23.9</v>
      </c>
      <c r="K91">
        <v>4</v>
      </c>
      <c r="L91" t="s">
        <v>24</v>
      </c>
      <c r="M91" s="4">
        <v>1520000000000000</v>
      </c>
      <c r="N91" s="4">
        <v>1.87E+16</v>
      </c>
      <c r="O91" s="4">
        <v>2.02E+16</v>
      </c>
      <c r="P91">
        <v>12.05</v>
      </c>
      <c r="Q91">
        <v>0.74099999999999999</v>
      </c>
      <c r="R91">
        <v>0.25900000000000001</v>
      </c>
      <c r="S91">
        <v>20.544398510000001</v>
      </c>
      <c r="T91">
        <v>7.1757946940000004</v>
      </c>
      <c r="U91">
        <v>12.7462</v>
      </c>
      <c r="V91">
        <v>22.4816</v>
      </c>
      <c r="W91">
        <v>10.6</v>
      </c>
      <c r="X91">
        <v>34.4</v>
      </c>
    </row>
    <row r="92" spans="1:24" x14ac:dyDescent="0.2">
      <c r="A92" t="s">
        <v>32</v>
      </c>
      <c r="B92" t="s">
        <v>3</v>
      </c>
      <c r="C92" t="s">
        <v>16</v>
      </c>
      <c r="E92">
        <v>185</v>
      </c>
      <c r="F92">
        <v>2.1</v>
      </c>
      <c r="G92">
        <v>0</v>
      </c>
      <c r="H92">
        <v>1083</v>
      </c>
      <c r="I92">
        <v>15</v>
      </c>
      <c r="J92">
        <v>8.3000000000000007</v>
      </c>
      <c r="K92">
        <v>4</v>
      </c>
      <c r="L92" t="s">
        <v>24</v>
      </c>
      <c r="M92" s="4">
        <v>580000000000000</v>
      </c>
      <c r="N92" s="4">
        <v>2.08E+16</v>
      </c>
      <c r="O92" s="4">
        <v>2.14E+16</v>
      </c>
      <c r="P92">
        <v>2.2999999999999998</v>
      </c>
      <c r="Q92">
        <v>0.873</v>
      </c>
      <c r="R92">
        <v>0.127</v>
      </c>
      <c r="S92">
        <v>33.023258370000001</v>
      </c>
      <c r="T92">
        <v>4.8209136309999998</v>
      </c>
      <c r="U92">
        <v>13.911199999999999</v>
      </c>
      <c r="V92">
        <v>22.541399999999999</v>
      </c>
      <c r="W92">
        <v>11</v>
      </c>
      <c r="X92">
        <v>107.7</v>
      </c>
    </row>
    <row r="93" spans="1:24" x14ac:dyDescent="0.2">
      <c r="A93" t="s">
        <v>32</v>
      </c>
      <c r="B93" t="s">
        <v>3</v>
      </c>
      <c r="C93" t="s">
        <v>8</v>
      </c>
      <c r="E93">
        <v>120</v>
      </c>
      <c r="F93">
        <v>21.8</v>
      </c>
      <c r="G93">
        <v>1.3</v>
      </c>
      <c r="H93">
        <v>188</v>
      </c>
      <c r="I93">
        <v>13.5</v>
      </c>
      <c r="J93">
        <v>8.9</v>
      </c>
      <c r="K93">
        <v>4</v>
      </c>
      <c r="L93" t="s">
        <v>24</v>
      </c>
      <c r="M93" s="4">
        <v>1690000000000000</v>
      </c>
      <c r="N93" s="4">
        <v>1.51E+16</v>
      </c>
      <c r="O93" s="4">
        <v>1.68E+16</v>
      </c>
      <c r="P93">
        <v>18.260000000000002</v>
      </c>
      <c r="Q93">
        <v>0.92700000000000005</v>
      </c>
      <c r="R93">
        <v>7.2999999999999995E-2</v>
      </c>
      <c r="S93">
        <v>79.725128729999994</v>
      </c>
      <c r="T93">
        <v>6.2529512729999999</v>
      </c>
      <c r="U93">
        <v>17.642700000000001</v>
      </c>
      <c r="V93">
        <v>29.921500000000002</v>
      </c>
      <c r="W93">
        <v>13.3</v>
      </c>
      <c r="X93">
        <v>42.4</v>
      </c>
    </row>
    <row r="94" spans="1:24" x14ac:dyDescent="0.2">
      <c r="A94" t="s">
        <v>32</v>
      </c>
      <c r="B94" t="s">
        <v>3</v>
      </c>
      <c r="C94" t="s">
        <v>16</v>
      </c>
      <c r="E94">
        <v>450</v>
      </c>
      <c r="F94">
        <v>2.1</v>
      </c>
      <c r="G94">
        <v>0</v>
      </c>
      <c r="H94">
        <v>1083</v>
      </c>
      <c r="I94">
        <v>15</v>
      </c>
      <c r="J94">
        <v>18.3</v>
      </c>
      <c r="K94">
        <v>4</v>
      </c>
      <c r="L94" t="s">
        <v>24</v>
      </c>
      <c r="M94" s="4">
        <v>338000000000000</v>
      </c>
      <c r="N94" s="4">
        <v>1.89E+16</v>
      </c>
      <c r="O94" s="4">
        <v>1.93E+16</v>
      </c>
      <c r="P94">
        <v>4.43</v>
      </c>
      <c r="Q94" t="s">
        <v>24</v>
      </c>
      <c r="R94" t="s">
        <v>24</v>
      </c>
      <c r="S94" t="s">
        <v>24</v>
      </c>
      <c r="T94" t="s">
        <v>24</v>
      </c>
      <c r="U94">
        <v>12.5883</v>
      </c>
      <c r="V94">
        <v>20.950399999999998</v>
      </c>
      <c r="W94">
        <v>14.1</v>
      </c>
      <c r="X94">
        <v>155.80000000000001</v>
      </c>
    </row>
    <row r="95" spans="1:24" x14ac:dyDescent="0.2">
      <c r="A95" t="s">
        <v>32</v>
      </c>
      <c r="B95" t="s">
        <v>3</v>
      </c>
      <c r="C95" t="s">
        <v>18</v>
      </c>
      <c r="E95">
        <v>90</v>
      </c>
      <c r="F95">
        <v>10.199999999999999</v>
      </c>
      <c r="G95">
        <v>0.65</v>
      </c>
      <c r="H95">
        <v>276</v>
      </c>
      <c r="I95">
        <v>14.4</v>
      </c>
      <c r="J95" t="s">
        <v>24</v>
      </c>
      <c r="K95">
        <v>4</v>
      </c>
      <c r="L95" t="s">
        <v>24</v>
      </c>
      <c r="M95" s="4">
        <v>404000000000000</v>
      </c>
      <c r="N95" s="4">
        <v>1.39E+16</v>
      </c>
      <c r="O95" s="4">
        <v>1.43E+16</v>
      </c>
      <c r="P95">
        <v>3.85</v>
      </c>
      <c r="Q95" t="s">
        <v>24</v>
      </c>
      <c r="R95" t="s">
        <v>24</v>
      </c>
      <c r="S95" t="s">
        <v>24</v>
      </c>
      <c r="T95" t="s">
        <v>24</v>
      </c>
      <c r="U95">
        <v>12.2011</v>
      </c>
      <c r="V95">
        <v>22.8904</v>
      </c>
      <c r="W95">
        <v>13.1</v>
      </c>
      <c r="X95">
        <v>40.700000000000003</v>
      </c>
    </row>
    <row r="96" spans="1:24" x14ac:dyDescent="0.2">
      <c r="A96" t="s">
        <v>32</v>
      </c>
      <c r="B96" t="s">
        <v>3</v>
      </c>
      <c r="C96" t="s">
        <v>18</v>
      </c>
      <c r="E96">
        <v>267</v>
      </c>
      <c r="F96">
        <v>10.199999999999999</v>
      </c>
      <c r="G96">
        <v>0.65</v>
      </c>
      <c r="H96">
        <v>276</v>
      </c>
      <c r="I96">
        <v>14.4</v>
      </c>
      <c r="J96">
        <v>24.4</v>
      </c>
      <c r="K96">
        <v>4</v>
      </c>
      <c r="L96" t="s">
        <v>24</v>
      </c>
      <c r="M96" s="4">
        <v>857000000000000</v>
      </c>
      <c r="N96" s="4">
        <v>1.51E+16</v>
      </c>
      <c r="O96" s="4">
        <v>1.59E+16</v>
      </c>
      <c r="P96">
        <v>4.59</v>
      </c>
      <c r="Q96" t="s">
        <v>24</v>
      </c>
      <c r="R96" t="s">
        <v>24</v>
      </c>
      <c r="S96" t="s">
        <v>24</v>
      </c>
      <c r="T96" t="s">
        <v>24</v>
      </c>
      <c r="U96">
        <v>12.132300000000001</v>
      </c>
      <c r="V96">
        <v>21.8796</v>
      </c>
      <c r="W96">
        <v>10.9</v>
      </c>
      <c r="X96">
        <v>79.2</v>
      </c>
    </row>
    <row r="97" spans="1:24" x14ac:dyDescent="0.2">
      <c r="A97" t="s">
        <v>32</v>
      </c>
      <c r="B97" t="s">
        <v>3</v>
      </c>
      <c r="C97" t="s">
        <v>8</v>
      </c>
      <c r="E97">
        <v>160</v>
      </c>
      <c r="F97">
        <v>21.8</v>
      </c>
      <c r="G97">
        <v>1.3</v>
      </c>
      <c r="H97">
        <v>188</v>
      </c>
      <c r="I97">
        <v>13.5</v>
      </c>
      <c r="J97">
        <v>26.1</v>
      </c>
      <c r="K97">
        <v>4</v>
      </c>
      <c r="L97" t="s">
        <v>24</v>
      </c>
      <c r="M97" s="4">
        <v>1210000000000000</v>
      </c>
      <c r="N97" s="4">
        <v>1.88E+16</v>
      </c>
      <c r="O97" s="4">
        <v>2E+16</v>
      </c>
      <c r="P97">
        <v>6.06</v>
      </c>
      <c r="Q97" t="s">
        <v>24</v>
      </c>
      <c r="R97" t="s">
        <v>24</v>
      </c>
      <c r="S97" t="s">
        <v>24</v>
      </c>
      <c r="T97" t="s">
        <v>24</v>
      </c>
      <c r="U97">
        <v>12.9236</v>
      </c>
      <c r="V97">
        <v>19.904499999999999</v>
      </c>
      <c r="W97">
        <v>10.9</v>
      </c>
      <c r="X97">
        <v>30.3</v>
      </c>
    </row>
    <row r="98" spans="1:24" x14ac:dyDescent="0.2">
      <c r="A98" t="s">
        <v>32</v>
      </c>
      <c r="B98" t="s">
        <v>4</v>
      </c>
      <c r="C98" t="s">
        <v>19</v>
      </c>
      <c r="E98">
        <v>600</v>
      </c>
      <c r="F98">
        <v>8</v>
      </c>
      <c r="G98">
        <v>0.9</v>
      </c>
      <c r="H98">
        <v>500</v>
      </c>
      <c r="I98">
        <v>14.4</v>
      </c>
      <c r="J98">
        <v>19</v>
      </c>
      <c r="K98">
        <v>4</v>
      </c>
      <c r="L98">
        <v>8.5000000000000006E-2</v>
      </c>
      <c r="M98" s="4">
        <v>9470000000000000</v>
      </c>
      <c r="N98" s="4">
        <v>5.86E+16</v>
      </c>
      <c r="O98" s="4">
        <v>6.81E+16</v>
      </c>
      <c r="P98">
        <v>5.87</v>
      </c>
      <c r="Q98">
        <v>0.90100000000000002</v>
      </c>
      <c r="R98">
        <v>9.9000000000000005E-2</v>
      </c>
      <c r="S98">
        <v>72.394689439999993</v>
      </c>
      <c r="T98">
        <v>7.9112425579999996</v>
      </c>
      <c r="U98">
        <v>14.3833</v>
      </c>
      <c r="V98">
        <v>18.8703</v>
      </c>
      <c r="W98">
        <v>12.1997</v>
      </c>
      <c r="X98">
        <v>65.759299999999996</v>
      </c>
    </row>
    <row r="99" spans="1:24" x14ac:dyDescent="0.2">
      <c r="A99" t="s">
        <v>32</v>
      </c>
      <c r="B99" t="s">
        <v>4</v>
      </c>
      <c r="C99" t="s">
        <v>8</v>
      </c>
      <c r="E99">
        <v>600</v>
      </c>
      <c r="F99">
        <v>16</v>
      </c>
      <c r="G99">
        <v>1.4</v>
      </c>
      <c r="H99">
        <v>800</v>
      </c>
      <c r="I99">
        <v>13.9</v>
      </c>
      <c r="J99">
        <v>13.4</v>
      </c>
      <c r="K99">
        <v>4</v>
      </c>
      <c r="L99">
        <v>5.7000000000000002E-2</v>
      </c>
      <c r="M99" s="4">
        <v>1.46E+16</v>
      </c>
      <c r="N99" s="4">
        <v>7.54E+16</v>
      </c>
      <c r="O99" s="4">
        <v>9.01E+16</v>
      </c>
      <c r="P99">
        <v>15.45</v>
      </c>
      <c r="Q99">
        <v>0.78100000000000003</v>
      </c>
      <c r="R99">
        <v>0.219</v>
      </c>
      <c r="S99">
        <v>92.479600840000003</v>
      </c>
      <c r="T99">
        <v>25.90891916</v>
      </c>
      <c r="U99">
        <v>15.7691</v>
      </c>
      <c r="V99">
        <v>22.467400000000001</v>
      </c>
      <c r="W99">
        <v>13.622</v>
      </c>
      <c r="X99">
        <v>65.673500000000004</v>
      </c>
    </row>
    <row r="100" spans="1:24" x14ac:dyDescent="0.2">
      <c r="A100" t="s">
        <v>32</v>
      </c>
      <c r="B100" t="s">
        <v>4</v>
      </c>
      <c r="C100" t="s">
        <v>19</v>
      </c>
      <c r="E100">
        <v>1080</v>
      </c>
      <c r="F100">
        <v>8</v>
      </c>
      <c r="G100">
        <v>0.9</v>
      </c>
      <c r="H100">
        <v>500</v>
      </c>
      <c r="I100">
        <v>14.4</v>
      </c>
      <c r="J100">
        <v>12.8</v>
      </c>
      <c r="K100">
        <v>4</v>
      </c>
      <c r="L100">
        <v>9.7000000000000003E-2</v>
      </c>
      <c r="M100" t="s">
        <v>24</v>
      </c>
      <c r="N100" t="s">
        <v>24</v>
      </c>
      <c r="O100" s="4">
        <v>3.3E+16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>
        <v>18.938400000000001</v>
      </c>
      <c r="V100">
        <v>25.767099999999999</v>
      </c>
      <c r="W100">
        <v>19.9787</v>
      </c>
      <c r="X100">
        <v>44.786999999999999</v>
      </c>
    </row>
    <row r="101" spans="1:24" x14ac:dyDescent="0.2">
      <c r="A101" t="s">
        <v>32</v>
      </c>
      <c r="B101" t="s">
        <v>1</v>
      </c>
      <c r="C101" t="s">
        <v>8</v>
      </c>
      <c r="D101">
        <v>3</v>
      </c>
      <c r="E101">
        <v>329</v>
      </c>
      <c r="F101">
        <v>17.600000000000001</v>
      </c>
      <c r="G101">
        <v>0.93</v>
      </c>
      <c r="H101">
        <v>383</v>
      </c>
      <c r="I101">
        <v>13.69</v>
      </c>
      <c r="J101" t="s">
        <v>24</v>
      </c>
      <c r="K101">
        <v>7</v>
      </c>
      <c r="L101" t="s">
        <v>24</v>
      </c>
      <c r="M101" s="4">
        <v>2440000000000000</v>
      </c>
      <c r="N101" s="4">
        <v>1.3E+16</v>
      </c>
      <c r="O101" s="4">
        <v>1.54E+16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>
        <v>21.46377</v>
      </c>
      <c r="V101">
        <v>35.113320000000002</v>
      </c>
      <c r="W101">
        <v>14.06082</v>
      </c>
      <c r="X101">
        <v>36.198005000000002</v>
      </c>
    </row>
    <row r="102" spans="1:24" x14ac:dyDescent="0.2">
      <c r="A102" t="s">
        <v>32</v>
      </c>
      <c r="B102" t="s">
        <v>1</v>
      </c>
      <c r="C102" t="s">
        <v>8</v>
      </c>
      <c r="D102">
        <v>3</v>
      </c>
      <c r="E102">
        <v>552</v>
      </c>
      <c r="F102">
        <v>17.600000000000001</v>
      </c>
      <c r="G102">
        <v>0.93</v>
      </c>
      <c r="H102">
        <v>383</v>
      </c>
      <c r="I102">
        <v>13.69</v>
      </c>
      <c r="J102">
        <v>21</v>
      </c>
      <c r="K102">
        <v>7</v>
      </c>
      <c r="L102">
        <v>0.122</v>
      </c>
      <c r="M102" t="s">
        <v>24</v>
      </c>
      <c r="N102" t="s">
        <v>24</v>
      </c>
      <c r="O102" s="4">
        <v>1340000000000000</v>
      </c>
      <c r="P102">
        <v>6.4</v>
      </c>
      <c r="Q102" t="s">
        <v>24</v>
      </c>
      <c r="R102" t="s">
        <v>24</v>
      </c>
      <c r="S102" t="s">
        <v>24</v>
      </c>
      <c r="T102" t="s">
        <v>24</v>
      </c>
      <c r="U102">
        <v>22.398035830000001</v>
      </c>
      <c r="V102">
        <v>50.309157499999998</v>
      </c>
      <c r="W102">
        <v>23.18249333</v>
      </c>
      <c r="X102">
        <v>52.808638330000001</v>
      </c>
    </row>
    <row r="103" spans="1:24" x14ac:dyDescent="0.2">
      <c r="A103" t="s">
        <v>32</v>
      </c>
      <c r="B103" t="s">
        <v>1</v>
      </c>
      <c r="C103" t="s">
        <v>8</v>
      </c>
      <c r="D103">
        <v>3</v>
      </c>
      <c r="E103">
        <v>156</v>
      </c>
      <c r="F103">
        <v>17.600000000000001</v>
      </c>
      <c r="G103">
        <v>0.93</v>
      </c>
      <c r="H103">
        <v>383</v>
      </c>
      <c r="I103">
        <v>13.69</v>
      </c>
      <c r="J103">
        <v>22</v>
      </c>
      <c r="K103">
        <v>7</v>
      </c>
      <c r="L103">
        <v>0.11799999999999999</v>
      </c>
      <c r="M103" s="4">
        <v>1660000000000000</v>
      </c>
      <c r="N103" s="4">
        <v>1.48E+16</v>
      </c>
      <c r="O103" s="4">
        <v>1.64E+16</v>
      </c>
      <c r="P103">
        <v>3.53</v>
      </c>
      <c r="Q103" t="s">
        <v>24</v>
      </c>
      <c r="R103" t="s">
        <v>24</v>
      </c>
      <c r="S103" t="s">
        <v>24</v>
      </c>
      <c r="T103" t="s">
        <v>24</v>
      </c>
      <c r="U103">
        <v>19.914026669999998</v>
      </c>
      <c r="V103">
        <v>27.713483329999999</v>
      </c>
      <c r="W103">
        <v>13.353109999999999</v>
      </c>
      <c r="X103">
        <v>23.89041667</v>
      </c>
    </row>
    <row r="104" spans="1:24" x14ac:dyDescent="0.2">
      <c r="A104" t="s">
        <v>32</v>
      </c>
      <c r="B104" t="s">
        <v>1</v>
      </c>
      <c r="C104" t="s">
        <v>8</v>
      </c>
      <c r="D104">
        <v>3</v>
      </c>
      <c r="E104">
        <v>171</v>
      </c>
      <c r="F104">
        <v>17.600000000000001</v>
      </c>
      <c r="G104">
        <v>0.93</v>
      </c>
      <c r="H104">
        <v>383</v>
      </c>
      <c r="I104">
        <v>13.69</v>
      </c>
      <c r="J104">
        <v>27</v>
      </c>
      <c r="K104">
        <v>7</v>
      </c>
      <c r="L104">
        <v>0.11799999999999999</v>
      </c>
      <c r="M104" s="4">
        <v>1250000000000000</v>
      </c>
      <c r="N104" s="4">
        <v>1.61E+16</v>
      </c>
      <c r="O104" s="4">
        <v>1.74E+16</v>
      </c>
      <c r="P104">
        <v>5.8</v>
      </c>
      <c r="Q104" t="s">
        <v>24</v>
      </c>
      <c r="R104" t="s">
        <v>24</v>
      </c>
      <c r="S104" t="s">
        <v>24</v>
      </c>
      <c r="T104" t="s">
        <v>24</v>
      </c>
      <c r="U104">
        <v>19.821576669999999</v>
      </c>
      <c r="V104">
        <v>28.293279999999999</v>
      </c>
      <c r="W104">
        <v>13.287875</v>
      </c>
      <c r="X104">
        <v>30.16357</v>
      </c>
    </row>
    <row r="105" spans="1:24" x14ac:dyDescent="0.2">
      <c r="A105" t="s">
        <v>32</v>
      </c>
      <c r="B105" t="s">
        <v>1</v>
      </c>
      <c r="C105" t="s">
        <v>8</v>
      </c>
      <c r="D105">
        <v>3</v>
      </c>
      <c r="E105">
        <v>1306</v>
      </c>
      <c r="F105">
        <v>17.600000000000001</v>
      </c>
      <c r="G105">
        <v>0.93</v>
      </c>
      <c r="H105">
        <v>383</v>
      </c>
      <c r="I105">
        <v>13.69</v>
      </c>
      <c r="J105">
        <v>32</v>
      </c>
      <c r="K105">
        <v>7</v>
      </c>
      <c r="L105">
        <v>0.121</v>
      </c>
      <c r="M105" s="4">
        <v>1040000000000000</v>
      </c>
      <c r="N105" s="4">
        <v>2.24E+16</v>
      </c>
      <c r="O105" s="4">
        <v>2.34E+16</v>
      </c>
      <c r="P105">
        <v>7.3</v>
      </c>
      <c r="Q105" t="s">
        <v>24</v>
      </c>
      <c r="R105" t="s">
        <v>24</v>
      </c>
      <c r="S105" t="s">
        <v>24</v>
      </c>
      <c r="T105" t="s">
        <v>24</v>
      </c>
      <c r="U105">
        <v>15.16757423</v>
      </c>
      <c r="V105">
        <v>24.27344269</v>
      </c>
      <c r="W105">
        <v>11.949408180000001</v>
      </c>
      <c r="X105">
        <v>42.600123179999997</v>
      </c>
    </row>
    <row r="106" spans="1:24" x14ac:dyDescent="0.2">
      <c r="A106" t="s">
        <v>32</v>
      </c>
      <c r="B106" t="s">
        <v>1</v>
      </c>
      <c r="C106" t="s">
        <v>8</v>
      </c>
      <c r="D106">
        <v>3</v>
      </c>
      <c r="E106">
        <v>155</v>
      </c>
      <c r="F106">
        <v>17.600000000000001</v>
      </c>
      <c r="G106">
        <v>0.93</v>
      </c>
      <c r="H106">
        <v>383</v>
      </c>
      <c r="I106">
        <v>13.69</v>
      </c>
      <c r="J106">
        <v>33</v>
      </c>
      <c r="K106">
        <v>7</v>
      </c>
      <c r="L106">
        <v>0.123</v>
      </c>
      <c r="M106" s="4">
        <v>825000000000000</v>
      </c>
      <c r="N106" s="4">
        <v>2.6E+16</v>
      </c>
      <c r="O106" s="4">
        <v>2.68E+16</v>
      </c>
      <c r="P106">
        <v>6.33</v>
      </c>
      <c r="Q106" t="s">
        <v>24</v>
      </c>
      <c r="R106" t="s">
        <v>24</v>
      </c>
      <c r="S106" t="s">
        <v>24</v>
      </c>
      <c r="T106" t="s">
        <v>24</v>
      </c>
      <c r="U106">
        <v>13.1797475</v>
      </c>
      <c r="V106">
        <v>22.152135000000001</v>
      </c>
      <c r="W106">
        <v>11.508395</v>
      </c>
      <c r="X106">
        <v>30.349274999999999</v>
      </c>
    </row>
    <row r="107" spans="1:24" x14ac:dyDescent="0.2">
      <c r="A107" t="s">
        <v>32</v>
      </c>
      <c r="B107" t="s">
        <v>1</v>
      </c>
      <c r="C107" t="s">
        <v>8</v>
      </c>
      <c r="D107">
        <v>3</v>
      </c>
      <c r="E107">
        <v>320</v>
      </c>
      <c r="F107">
        <v>17.600000000000001</v>
      </c>
      <c r="G107">
        <v>0.93</v>
      </c>
      <c r="H107">
        <v>383</v>
      </c>
      <c r="I107">
        <v>13.69</v>
      </c>
      <c r="J107">
        <v>32</v>
      </c>
      <c r="K107">
        <v>7</v>
      </c>
      <c r="L107">
        <v>0.123</v>
      </c>
      <c r="M107" s="4">
        <v>667000000000000</v>
      </c>
      <c r="N107" s="4">
        <v>2.37E+16</v>
      </c>
      <c r="O107" s="4">
        <v>2.44E+16</v>
      </c>
      <c r="P107">
        <v>7.01</v>
      </c>
      <c r="Q107" t="s">
        <v>24</v>
      </c>
      <c r="R107" t="s">
        <v>24</v>
      </c>
      <c r="S107" t="s">
        <v>24</v>
      </c>
      <c r="T107" t="s">
        <v>24</v>
      </c>
      <c r="U107">
        <v>13.42836333</v>
      </c>
      <c r="V107">
        <v>23.440426670000001</v>
      </c>
      <c r="W107">
        <v>11.43472667</v>
      </c>
      <c r="X107">
        <v>36.58052</v>
      </c>
    </row>
    <row r="108" spans="1:24" x14ac:dyDescent="0.2">
      <c r="A108" t="s">
        <v>32</v>
      </c>
      <c r="B108" t="s">
        <v>1</v>
      </c>
      <c r="C108" t="s">
        <v>8</v>
      </c>
      <c r="D108">
        <v>3</v>
      </c>
      <c r="E108">
        <v>292</v>
      </c>
      <c r="F108">
        <v>17.600000000000001</v>
      </c>
      <c r="G108">
        <v>0.93</v>
      </c>
      <c r="H108">
        <v>383</v>
      </c>
      <c r="I108">
        <v>13.69</v>
      </c>
      <c r="J108">
        <v>18</v>
      </c>
      <c r="K108">
        <v>7</v>
      </c>
      <c r="L108">
        <v>0.121</v>
      </c>
      <c r="M108" s="4">
        <v>2040000000000000</v>
      </c>
      <c r="N108" s="4">
        <v>4.96E+16</v>
      </c>
      <c r="O108" s="4">
        <v>5.16E+16</v>
      </c>
      <c r="P108">
        <v>10.46</v>
      </c>
      <c r="Q108">
        <v>0.86399999999999999</v>
      </c>
      <c r="R108">
        <v>0.13600000000000001</v>
      </c>
      <c r="S108">
        <v>147.32772589999999</v>
      </c>
      <c r="T108">
        <v>23.09625028</v>
      </c>
      <c r="U108">
        <v>15.50857167</v>
      </c>
      <c r="V108">
        <v>22.415153329999999</v>
      </c>
      <c r="W108">
        <v>10.823831999999999</v>
      </c>
      <c r="X108">
        <v>25.867059999999999</v>
      </c>
    </row>
    <row r="109" spans="1:24" x14ac:dyDescent="0.2">
      <c r="A109" t="s">
        <v>32</v>
      </c>
      <c r="B109" t="s">
        <v>1</v>
      </c>
      <c r="C109" t="s">
        <v>8</v>
      </c>
      <c r="D109">
        <v>3</v>
      </c>
      <c r="E109">
        <v>762</v>
      </c>
      <c r="F109">
        <v>17.600000000000001</v>
      </c>
      <c r="G109">
        <v>0.93</v>
      </c>
      <c r="H109">
        <v>383</v>
      </c>
      <c r="I109">
        <v>13.69</v>
      </c>
      <c r="J109">
        <v>20</v>
      </c>
      <c r="K109">
        <v>7</v>
      </c>
      <c r="L109">
        <v>0.11600000000000001</v>
      </c>
      <c r="M109" s="4">
        <v>1930000000000000</v>
      </c>
      <c r="N109" s="4">
        <v>4.81E+16</v>
      </c>
      <c r="O109" s="4">
        <v>5E+16</v>
      </c>
      <c r="P109">
        <v>6.38</v>
      </c>
      <c r="Q109">
        <v>0.84899999999999998</v>
      </c>
      <c r="R109">
        <v>0.151</v>
      </c>
      <c r="S109">
        <v>74.567015470000001</v>
      </c>
      <c r="T109">
        <v>13.246281939999999</v>
      </c>
      <c r="U109">
        <v>14.03498125</v>
      </c>
      <c r="V109">
        <v>19.463296249999999</v>
      </c>
      <c r="W109">
        <v>10.30891231</v>
      </c>
      <c r="X109">
        <v>26.89839688</v>
      </c>
    </row>
    <row r="110" spans="1:24" x14ac:dyDescent="0.2">
      <c r="A110" t="s">
        <v>32</v>
      </c>
      <c r="B110" t="s">
        <v>1</v>
      </c>
      <c r="C110" t="s">
        <v>8</v>
      </c>
      <c r="D110">
        <v>3</v>
      </c>
      <c r="E110">
        <v>1351</v>
      </c>
      <c r="F110">
        <v>17.600000000000001</v>
      </c>
      <c r="G110">
        <v>0.93</v>
      </c>
      <c r="H110">
        <v>383</v>
      </c>
      <c r="I110">
        <v>13.69</v>
      </c>
      <c r="J110">
        <v>23</v>
      </c>
      <c r="K110">
        <v>7</v>
      </c>
      <c r="L110">
        <v>0.115</v>
      </c>
      <c r="M110" s="4">
        <v>1590000000000000</v>
      </c>
      <c r="N110" s="4">
        <v>3.67E+16</v>
      </c>
      <c r="O110" s="4">
        <v>3.83E+16</v>
      </c>
      <c r="P110">
        <v>8.4600000000000009</v>
      </c>
      <c r="Q110" t="s">
        <v>24</v>
      </c>
      <c r="R110" t="s">
        <v>24</v>
      </c>
      <c r="S110" t="s">
        <v>24</v>
      </c>
      <c r="T110" t="s">
        <v>24</v>
      </c>
      <c r="U110">
        <v>13.784017499999999</v>
      </c>
      <c r="V110">
        <v>20.510282140000001</v>
      </c>
      <c r="W110">
        <v>10.5712616</v>
      </c>
      <c r="X110">
        <v>30.57986</v>
      </c>
    </row>
    <row r="111" spans="1:24" x14ac:dyDescent="0.2">
      <c r="A111" t="s">
        <v>32</v>
      </c>
      <c r="B111" t="s">
        <v>1</v>
      </c>
      <c r="C111" t="s">
        <v>8</v>
      </c>
      <c r="D111">
        <v>3</v>
      </c>
      <c r="E111">
        <v>204</v>
      </c>
      <c r="F111">
        <v>17.600000000000001</v>
      </c>
      <c r="G111">
        <v>0.93</v>
      </c>
      <c r="H111">
        <v>383</v>
      </c>
      <c r="I111">
        <v>13.69</v>
      </c>
      <c r="J111">
        <v>25</v>
      </c>
      <c r="K111">
        <v>7</v>
      </c>
      <c r="L111">
        <v>0.125</v>
      </c>
      <c r="M111" s="4">
        <v>1240000000000000</v>
      </c>
      <c r="N111" s="4">
        <v>3.62E+16</v>
      </c>
      <c r="O111" s="4">
        <v>3.75E+16</v>
      </c>
      <c r="P111">
        <v>7.43</v>
      </c>
      <c r="Q111" t="s">
        <v>24</v>
      </c>
      <c r="R111" t="s">
        <v>24</v>
      </c>
      <c r="S111" t="s">
        <v>24</v>
      </c>
      <c r="T111" t="s">
        <v>24</v>
      </c>
      <c r="U111">
        <v>13.17216</v>
      </c>
      <c r="V111">
        <v>19.353467500000001</v>
      </c>
      <c r="W111">
        <v>10.722353330000001</v>
      </c>
      <c r="X111">
        <v>24.363003330000002</v>
      </c>
    </row>
    <row r="112" spans="1:24" x14ac:dyDescent="0.2">
      <c r="A112" t="s">
        <v>32</v>
      </c>
      <c r="B112" t="s">
        <v>1</v>
      </c>
      <c r="C112" t="s">
        <v>8</v>
      </c>
      <c r="D112">
        <v>3</v>
      </c>
      <c r="E112">
        <v>216</v>
      </c>
      <c r="F112">
        <v>17.600000000000001</v>
      </c>
      <c r="G112">
        <v>0.93</v>
      </c>
      <c r="H112">
        <v>383</v>
      </c>
      <c r="I112">
        <v>13.69</v>
      </c>
      <c r="J112">
        <v>34</v>
      </c>
      <c r="K112">
        <v>7</v>
      </c>
      <c r="L112">
        <v>0.121</v>
      </c>
      <c r="M112" s="4">
        <v>1100000000000000</v>
      </c>
      <c r="N112" s="4">
        <v>2.01E+16</v>
      </c>
      <c r="O112" s="4">
        <v>2.12E+16</v>
      </c>
      <c r="P112">
        <v>6.79</v>
      </c>
      <c r="Q112">
        <v>0.755</v>
      </c>
      <c r="R112">
        <v>0.245</v>
      </c>
      <c r="S112">
        <v>49.359511830000002</v>
      </c>
      <c r="T112">
        <v>15.99771552</v>
      </c>
      <c r="U112">
        <v>14.905281670000001</v>
      </c>
      <c r="V112">
        <v>25.125891670000001</v>
      </c>
      <c r="W112">
        <v>11.83083167</v>
      </c>
      <c r="X112">
        <v>34.17126167</v>
      </c>
    </row>
    <row r="113" spans="1:24" x14ac:dyDescent="0.2">
      <c r="A113" t="s">
        <v>32</v>
      </c>
      <c r="B113" t="s">
        <v>1</v>
      </c>
      <c r="C113" t="s">
        <v>8</v>
      </c>
      <c r="D113">
        <v>3</v>
      </c>
      <c r="E113">
        <v>253</v>
      </c>
      <c r="F113">
        <v>17.600000000000001</v>
      </c>
      <c r="G113">
        <v>0.93</v>
      </c>
      <c r="H113">
        <v>383</v>
      </c>
      <c r="I113">
        <v>13.69</v>
      </c>
      <c r="J113">
        <v>34</v>
      </c>
      <c r="K113">
        <v>7</v>
      </c>
      <c r="L113">
        <v>0.121</v>
      </c>
      <c r="M113" s="4">
        <v>946000000000000</v>
      </c>
      <c r="N113" s="4">
        <v>3.19E+16</v>
      </c>
      <c r="O113" s="4">
        <v>3.29E+16</v>
      </c>
      <c r="P113">
        <v>5.66</v>
      </c>
      <c r="Q113">
        <v>0.38700000000000001</v>
      </c>
      <c r="R113">
        <v>0.61299999999999999</v>
      </c>
      <c r="S113">
        <v>28.26713668</v>
      </c>
      <c r="T113">
        <v>44.784535519999999</v>
      </c>
      <c r="U113">
        <v>14.60407</v>
      </c>
      <c r="V113">
        <v>23.555723329999999</v>
      </c>
      <c r="W113">
        <v>11.460974</v>
      </c>
      <c r="X113">
        <v>26.98677</v>
      </c>
    </row>
    <row r="114" spans="1:24" x14ac:dyDescent="0.2">
      <c r="A114" t="s">
        <v>32</v>
      </c>
      <c r="B114" t="s">
        <v>1</v>
      </c>
      <c r="C114" t="s">
        <v>9</v>
      </c>
      <c r="D114">
        <v>3</v>
      </c>
      <c r="E114">
        <v>233</v>
      </c>
      <c r="F114">
        <v>17.3</v>
      </c>
      <c r="G114">
        <v>1.31</v>
      </c>
      <c r="H114">
        <v>1595</v>
      </c>
      <c r="I114">
        <v>13.67</v>
      </c>
      <c r="J114">
        <v>34</v>
      </c>
      <c r="K114">
        <v>7</v>
      </c>
      <c r="L114">
        <v>0.112</v>
      </c>
      <c r="M114" s="4">
        <v>3280000000000000</v>
      </c>
      <c r="N114" s="4">
        <v>6.69E+16</v>
      </c>
      <c r="O114" s="4">
        <v>7.02E+16</v>
      </c>
      <c r="P114">
        <v>5.76</v>
      </c>
      <c r="Q114" t="s">
        <v>24</v>
      </c>
      <c r="R114" t="s">
        <v>24</v>
      </c>
      <c r="S114" t="s">
        <v>24</v>
      </c>
      <c r="T114" t="s">
        <v>24</v>
      </c>
      <c r="U114">
        <v>16.231960000000001</v>
      </c>
      <c r="V114">
        <v>20.890455710000001</v>
      </c>
      <c r="W114">
        <v>11.662681429999999</v>
      </c>
      <c r="X114">
        <v>20.34731</v>
      </c>
    </row>
    <row r="115" spans="1:24" x14ac:dyDescent="0.2">
      <c r="A115" t="s">
        <v>32</v>
      </c>
      <c r="B115" t="s">
        <v>1</v>
      </c>
      <c r="C115" t="s">
        <v>9</v>
      </c>
      <c r="D115">
        <v>3</v>
      </c>
      <c r="E115">
        <v>223</v>
      </c>
      <c r="F115">
        <v>17.3</v>
      </c>
      <c r="G115">
        <v>1.31</v>
      </c>
      <c r="H115">
        <v>1595</v>
      </c>
      <c r="I115">
        <v>13.67</v>
      </c>
      <c r="J115">
        <v>26</v>
      </c>
      <c r="K115">
        <v>7</v>
      </c>
      <c r="L115">
        <v>0.114</v>
      </c>
      <c r="M115" s="4">
        <v>3530000000000000</v>
      </c>
      <c r="N115" s="4">
        <v>6.78E+16</v>
      </c>
      <c r="O115" s="4">
        <v>7.13E+16</v>
      </c>
      <c r="P115">
        <v>6.79</v>
      </c>
      <c r="Q115" t="s">
        <v>24</v>
      </c>
      <c r="R115" t="s">
        <v>24</v>
      </c>
      <c r="S115" t="s">
        <v>24</v>
      </c>
      <c r="T115" t="s">
        <v>24</v>
      </c>
      <c r="U115">
        <v>15.149990000000001</v>
      </c>
      <c r="V115">
        <v>19.935608330000001</v>
      </c>
      <c r="W115">
        <v>10.588718</v>
      </c>
      <c r="X115">
        <v>16.963704</v>
      </c>
    </row>
    <row r="116" spans="1:24" x14ac:dyDescent="0.2">
      <c r="A116" t="s">
        <v>32</v>
      </c>
      <c r="B116" t="s">
        <v>1</v>
      </c>
      <c r="C116" t="s">
        <v>10</v>
      </c>
      <c r="D116">
        <v>3</v>
      </c>
      <c r="E116">
        <v>160</v>
      </c>
      <c r="F116">
        <v>21.8</v>
      </c>
      <c r="G116">
        <v>1.34</v>
      </c>
      <c r="H116">
        <v>530</v>
      </c>
      <c r="I116">
        <v>13.7</v>
      </c>
      <c r="J116">
        <v>28</v>
      </c>
      <c r="K116">
        <v>7</v>
      </c>
      <c r="L116">
        <v>0.11</v>
      </c>
      <c r="M116" s="4">
        <v>1140000000000000</v>
      </c>
      <c r="N116" s="4">
        <v>3.93E+16</v>
      </c>
      <c r="O116" s="4">
        <v>4.05E+16</v>
      </c>
      <c r="P116">
        <v>3.6</v>
      </c>
      <c r="Q116">
        <v>0.63900000000000001</v>
      </c>
      <c r="R116">
        <v>0.36099999999999999</v>
      </c>
      <c r="S116">
        <v>71.678144560000007</v>
      </c>
      <c r="T116">
        <v>40.550059560000001</v>
      </c>
      <c r="U116">
        <v>12.623725</v>
      </c>
      <c r="V116">
        <v>19.727155</v>
      </c>
      <c r="W116">
        <v>10.323375</v>
      </c>
      <c r="X116">
        <v>34.340850000000003</v>
      </c>
    </row>
    <row r="117" spans="1:24" x14ac:dyDescent="0.2">
      <c r="A117" t="s">
        <v>32</v>
      </c>
      <c r="B117" t="s">
        <v>1</v>
      </c>
      <c r="C117" t="s">
        <v>10</v>
      </c>
      <c r="D117">
        <v>3</v>
      </c>
      <c r="E117">
        <v>228</v>
      </c>
      <c r="F117">
        <v>21.8</v>
      </c>
      <c r="G117">
        <v>1.34</v>
      </c>
      <c r="H117">
        <v>530</v>
      </c>
      <c r="I117">
        <v>13.7</v>
      </c>
      <c r="J117">
        <v>20</v>
      </c>
      <c r="K117">
        <v>7</v>
      </c>
      <c r="L117">
        <v>0.115</v>
      </c>
      <c r="M117" s="4">
        <v>2920000000000000</v>
      </c>
      <c r="N117" s="4">
        <v>5.38E+16</v>
      </c>
      <c r="O117" s="4">
        <v>5.67E+16</v>
      </c>
      <c r="P117">
        <v>6.21</v>
      </c>
      <c r="Q117">
        <v>0.80300000000000005</v>
      </c>
      <c r="R117">
        <v>0.19700000000000001</v>
      </c>
      <c r="S117">
        <v>105.18407790000001</v>
      </c>
      <c r="T117">
        <v>25.880386219999998</v>
      </c>
      <c r="U117">
        <v>14.89155429</v>
      </c>
      <c r="V117">
        <v>19.351282860000001</v>
      </c>
      <c r="W117">
        <v>10.635284</v>
      </c>
      <c r="X117">
        <v>19.557497999999999</v>
      </c>
    </row>
    <row r="118" spans="1:24" x14ac:dyDescent="0.2">
      <c r="A118" t="s">
        <v>32</v>
      </c>
      <c r="B118" t="s">
        <v>1</v>
      </c>
      <c r="C118" t="s">
        <v>9</v>
      </c>
      <c r="D118">
        <v>3</v>
      </c>
      <c r="E118">
        <v>408</v>
      </c>
      <c r="F118">
        <v>17.3</v>
      </c>
      <c r="G118">
        <v>1.31</v>
      </c>
      <c r="H118">
        <v>1595</v>
      </c>
      <c r="I118">
        <v>13.67</v>
      </c>
      <c r="J118">
        <v>23</v>
      </c>
      <c r="K118">
        <v>7</v>
      </c>
      <c r="L118">
        <v>0.123</v>
      </c>
      <c r="M118" s="4">
        <v>4860000000000000</v>
      </c>
      <c r="N118" s="4">
        <v>7.25E+16</v>
      </c>
      <c r="O118" s="4">
        <v>7.74E+16</v>
      </c>
      <c r="P118">
        <v>52.42</v>
      </c>
      <c r="Q118">
        <v>0.78900000000000003</v>
      </c>
      <c r="R118">
        <v>0.21099999999999999</v>
      </c>
      <c r="S118">
        <v>89.732795240000002</v>
      </c>
      <c r="T118">
        <v>23.957085530000001</v>
      </c>
      <c r="U118">
        <v>14.91248167</v>
      </c>
      <c r="V118">
        <v>22.407823329999999</v>
      </c>
      <c r="W118">
        <v>11.185556</v>
      </c>
      <c r="X118">
        <v>24.745736000000001</v>
      </c>
    </row>
    <row r="119" spans="1:24" x14ac:dyDescent="0.2">
      <c r="A119" t="s">
        <v>32</v>
      </c>
      <c r="B119" t="s">
        <v>1</v>
      </c>
      <c r="C119" t="s">
        <v>9</v>
      </c>
      <c r="D119">
        <v>3</v>
      </c>
      <c r="E119">
        <v>116</v>
      </c>
      <c r="F119">
        <v>17.3</v>
      </c>
      <c r="G119">
        <v>1.31</v>
      </c>
      <c r="H119">
        <v>1595</v>
      </c>
      <c r="I119">
        <v>13.67</v>
      </c>
      <c r="J119">
        <v>24</v>
      </c>
      <c r="K119">
        <v>7</v>
      </c>
      <c r="L119">
        <v>0.11600000000000001</v>
      </c>
      <c r="M119" s="4">
        <v>110000000000000</v>
      </c>
      <c r="N119" s="4">
        <v>6.71E+16</v>
      </c>
      <c r="O119" s="4">
        <v>6.72E+16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>
        <v>14.58587</v>
      </c>
      <c r="V119">
        <v>18.868445000000001</v>
      </c>
      <c r="W119">
        <v>11.94713</v>
      </c>
      <c r="X119">
        <v>38.435969999999998</v>
      </c>
    </row>
    <row r="120" spans="1:24" x14ac:dyDescent="0.2">
      <c r="A120" t="s">
        <v>32</v>
      </c>
      <c r="B120" t="s">
        <v>1</v>
      </c>
      <c r="C120" t="s">
        <v>9</v>
      </c>
      <c r="D120">
        <v>3</v>
      </c>
      <c r="E120">
        <v>294</v>
      </c>
      <c r="F120">
        <v>17.3</v>
      </c>
      <c r="G120">
        <v>1.31</v>
      </c>
      <c r="H120">
        <v>1595</v>
      </c>
      <c r="I120">
        <v>13.67</v>
      </c>
      <c r="J120">
        <v>24</v>
      </c>
      <c r="K120">
        <v>7</v>
      </c>
      <c r="L120">
        <v>0.11600000000000001</v>
      </c>
      <c r="M120" s="4">
        <v>2720000000000000</v>
      </c>
      <c r="N120" s="4">
        <v>4.96E+16</v>
      </c>
      <c r="O120" s="4">
        <v>5.23E+16</v>
      </c>
      <c r="P120">
        <v>53.42</v>
      </c>
      <c r="Q120">
        <v>0.77600000000000002</v>
      </c>
      <c r="R120">
        <v>0.224</v>
      </c>
      <c r="S120">
        <v>78.816313170000001</v>
      </c>
      <c r="T120">
        <v>22.75846743</v>
      </c>
      <c r="U120">
        <v>14.818284999999999</v>
      </c>
      <c r="V120">
        <v>19.961860000000001</v>
      </c>
      <c r="W120">
        <v>10.969362</v>
      </c>
      <c r="X120">
        <v>18.261146</v>
      </c>
    </row>
    <row r="121" spans="1:24" x14ac:dyDescent="0.2">
      <c r="A121" t="s">
        <v>32</v>
      </c>
      <c r="B121" t="s">
        <v>1</v>
      </c>
      <c r="C121" t="s">
        <v>9</v>
      </c>
      <c r="D121">
        <v>3</v>
      </c>
      <c r="E121">
        <v>623</v>
      </c>
      <c r="F121">
        <v>17.3</v>
      </c>
      <c r="G121">
        <v>1.31</v>
      </c>
      <c r="H121">
        <v>1595</v>
      </c>
      <c r="I121">
        <v>13.67</v>
      </c>
      <c r="J121">
        <v>24</v>
      </c>
      <c r="K121">
        <v>7</v>
      </c>
      <c r="L121">
        <v>0.123</v>
      </c>
      <c r="M121" s="4">
        <v>1500000000000000</v>
      </c>
      <c r="N121" s="4">
        <v>4.06E+16</v>
      </c>
      <c r="O121" s="4">
        <v>4.21E+16</v>
      </c>
      <c r="P121">
        <v>9.68</v>
      </c>
      <c r="Q121">
        <v>0.76200000000000001</v>
      </c>
      <c r="R121">
        <v>0.23799999999999999</v>
      </c>
      <c r="S121">
        <v>44.28040687</v>
      </c>
      <c r="T121">
        <v>13.81977526</v>
      </c>
      <c r="U121">
        <v>13.93822625</v>
      </c>
      <c r="V121">
        <v>20.45058375</v>
      </c>
      <c r="W121">
        <v>10.66782375</v>
      </c>
      <c r="X121">
        <v>29.017946250000001</v>
      </c>
    </row>
    <row r="122" spans="1:24" x14ac:dyDescent="0.2">
      <c r="A122" t="s">
        <v>32</v>
      </c>
      <c r="B122" t="s">
        <v>1</v>
      </c>
      <c r="C122" t="s">
        <v>9</v>
      </c>
      <c r="D122">
        <v>3</v>
      </c>
      <c r="E122">
        <v>618</v>
      </c>
      <c r="F122">
        <v>17.3</v>
      </c>
      <c r="G122">
        <v>1.31</v>
      </c>
      <c r="H122">
        <v>1595</v>
      </c>
      <c r="I122">
        <v>13.67</v>
      </c>
      <c r="J122">
        <v>23</v>
      </c>
      <c r="K122">
        <v>7</v>
      </c>
      <c r="L122">
        <v>0.11799999999999999</v>
      </c>
      <c r="M122" s="4">
        <v>2120000000000000</v>
      </c>
      <c r="N122" s="4">
        <v>4.86E+16</v>
      </c>
      <c r="O122" s="4">
        <v>5.07E+16</v>
      </c>
      <c r="P122">
        <v>10.82</v>
      </c>
      <c r="Q122">
        <v>0.78900000000000003</v>
      </c>
      <c r="R122">
        <v>0.21099999999999999</v>
      </c>
      <c r="S122">
        <v>54.685860120000001</v>
      </c>
      <c r="T122">
        <v>14.63882735</v>
      </c>
      <c r="U122">
        <v>13.97518533</v>
      </c>
      <c r="V122">
        <v>20.10335933</v>
      </c>
      <c r="W122">
        <v>10.94655077</v>
      </c>
      <c r="X122">
        <v>28.51024692</v>
      </c>
    </row>
    <row r="123" spans="1:24" x14ac:dyDescent="0.2">
      <c r="A123" t="s">
        <v>32</v>
      </c>
      <c r="B123" t="s">
        <v>2</v>
      </c>
      <c r="C123" t="s">
        <v>8</v>
      </c>
      <c r="D123">
        <v>2</v>
      </c>
      <c r="E123">
        <v>150</v>
      </c>
      <c r="F123">
        <v>18.600000000000001</v>
      </c>
      <c r="G123">
        <v>1.6</v>
      </c>
      <c r="H123">
        <v>1148</v>
      </c>
      <c r="I123">
        <v>13.6</v>
      </c>
      <c r="J123">
        <v>5.4</v>
      </c>
      <c r="K123">
        <v>7</v>
      </c>
      <c r="L123">
        <v>0.13800000000000001</v>
      </c>
      <c r="M123" s="4">
        <v>1640000000000000</v>
      </c>
      <c r="N123" s="4">
        <v>3.64E+16</v>
      </c>
      <c r="O123" s="4">
        <v>3.8E+16</v>
      </c>
      <c r="P123">
        <v>16.399999999999999</v>
      </c>
      <c r="Q123" t="s">
        <v>24</v>
      </c>
      <c r="R123" t="s">
        <v>24</v>
      </c>
      <c r="S123" t="s">
        <v>24</v>
      </c>
      <c r="T123" t="s">
        <v>24</v>
      </c>
      <c r="U123">
        <v>16.973600000000001</v>
      </c>
      <c r="V123">
        <v>24.284099999999999</v>
      </c>
      <c r="W123">
        <v>11.861000000000001</v>
      </c>
      <c r="X123">
        <v>33.578800000000001</v>
      </c>
    </row>
    <row r="124" spans="1:24" x14ac:dyDescent="0.2">
      <c r="A124" t="s">
        <v>32</v>
      </c>
      <c r="B124" t="s">
        <v>2</v>
      </c>
      <c r="C124" t="s">
        <v>8</v>
      </c>
      <c r="D124">
        <v>3</v>
      </c>
      <c r="E124">
        <v>160</v>
      </c>
      <c r="F124">
        <v>18.600000000000001</v>
      </c>
      <c r="G124">
        <v>1.6</v>
      </c>
      <c r="H124">
        <v>1148</v>
      </c>
      <c r="I124">
        <v>13.6</v>
      </c>
      <c r="J124">
        <v>5.6</v>
      </c>
      <c r="K124">
        <v>7</v>
      </c>
      <c r="L124">
        <v>0.152</v>
      </c>
      <c r="M124" s="4">
        <v>1350000000000000</v>
      </c>
      <c r="N124" s="4">
        <v>4.2E+16</v>
      </c>
      <c r="O124" s="4">
        <v>4.34E+16</v>
      </c>
      <c r="P124">
        <v>9.56</v>
      </c>
      <c r="Q124" t="s">
        <v>24</v>
      </c>
      <c r="R124" t="s">
        <v>24</v>
      </c>
      <c r="S124" t="s">
        <v>24</v>
      </c>
      <c r="T124" t="s">
        <v>24</v>
      </c>
      <c r="U124">
        <v>15.8443</v>
      </c>
      <c r="V124">
        <v>21.828700000000001</v>
      </c>
      <c r="W124">
        <v>11.407500000000001</v>
      </c>
      <c r="X124">
        <v>29.657800000000002</v>
      </c>
    </row>
    <row r="125" spans="1:24" x14ac:dyDescent="0.2">
      <c r="A125" t="s">
        <v>32</v>
      </c>
      <c r="B125" t="s">
        <v>2</v>
      </c>
      <c r="C125" t="s">
        <v>8</v>
      </c>
      <c r="D125">
        <v>2</v>
      </c>
      <c r="E125">
        <v>105</v>
      </c>
      <c r="F125">
        <v>18.600000000000001</v>
      </c>
      <c r="G125">
        <v>1.6</v>
      </c>
      <c r="H125">
        <v>1148</v>
      </c>
      <c r="I125">
        <v>13.6</v>
      </c>
      <c r="J125">
        <v>6.3</v>
      </c>
      <c r="K125">
        <v>7</v>
      </c>
      <c r="L125">
        <v>0.13800000000000001</v>
      </c>
      <c r="M125" s="4">
        <v>2420000000000000</v>
      </c>
      <c r="N125" s="4">
        <v>3.71E+16</v>
      </c>
      <c r="O125" s="4">
        <v>3.95E+16</v>
      </c>
      <c r="P125">
        <v>18.75</v>
      </c>
      <c r="Q125" t="s">
        <v>24</v>
      </c>
      <c r="R125" t="s">
        <v>24</v>
      </c>
      <c r="S125" t="s">
        <v>24</v>
      </c>
      <c r="T125" t="s">
        <v>24</v>
      </c>
      <c r="U125">
        <v>18.7575</v>
      </c>
      <c r="V125">
        <v>33.389200000000002</v>
      </c>
      <c r="W125">
        <v>11.9621</v>
      </c>
      <c r="X125">
        <v>84.746399999999994</v>
      </c>
    </row>
    <row r="126" spans="1:24" x14ac:dyDescent="0.2">
      <c r="A126" t="s">
        <v>32</v>
      </c>
      <c r="B126" t="s">
        <v>2</v>
      </c>
      <c r="C126" t="s">
        <v>8</v>
      </c>
      <c r="D126">
        <v>3</v>
      </c>
      <c r="E126">
        <v>91</v>
      </c>
      <c r="F126">
        <v>18.600000000000001</v>
      </c>
      <c r="G126">
        <v>1.6</v>
      </c>
      <c r="H126">
        <v>1148</v>
      </c>
      <c r="I126">
        <v>13.6</v>
      </c>
      <c r="J126">
        <v>6</v>
      </c>
      <c r="K126">
        <v>7</v>
      </c>
      <c r="L126">
        <v>0.152</v>
      </c>
      <c r="M126" s="4">
        <v>1950000000000000</v>
      </c>
      <c r="N126" s="4">
        <v>3.84E+16</v>
      </c>
      <c r="O126" s="4">
        <v>4.04E+16</v>
      </c>
      <c r="P126">
        <v>10.94</v>
      </c>
      <c r="Q126" t="s">
        <v>24</v>
      </c>
      <c r="R126" t="s">
        <v>24</v>
      </c>
      <c r="S126" t="s">
        <v>24</v>
      </c>
      <c r="T126" t="s">
        <v>24</v>
      </c>
      <c r="U126">
        <v>17.857600000000001</v>
      </c>
      <c r="V126">
        <v>28.509</v>
      </c>
      <c r="W126">
        <v>11.404999999999999</v>
      </c>
      <c r="X126">
        <v>102.396</v>
      </c>
    </row>
    <row r="127" spans="1:24" x14ac:dyDescent="0.2">
      <c r="A127" t="s">
        <v>32</v>
      </c>
      <c r="B127" t="s">
        <v>2</v>
      </c>
      <c r="C127" t="s">
        <v>8</v>
      </c>
      <c r="D127">
        <v>3</v>
      </c>
      <c r="E127">
        <v>170</v>
      </c>
      <c r="F127">
        <v>18.600000000000001</v>
      </c>
      <c r="G127">
        <v>1.6</v>
      </c>
      <c r="H127">
        <v>1148</v>
      </c>
      <c r="I127">
        <v>13.6</v>
      </c>
      <c r="J127">
        <v>8.6999999999999993</v>
      </c>
      <c r="K127">
        <v>7</v>
      </c>
      <c r="L127">
        <v>0.151</v>
      </c>
      <c r="M127" s="4">
        <v>2110000000000000</v>
      </c>
      <c r="N127" s="4">
        <v>4.86E+16</v>
      </c>
      <c r="O127" s="4">
        <v>5.07E+16</v>
      </c>
      <c r="P127">
        <v>12.08</v>
      </c>
      <c r="Q127" t="s">
        <v>24</v>
      </c>
      <c r="R127" t="s">
        <v>24</v>
      </c>
      <c r="S127" t="s">
        <v>24</v>
      </c>
      <c r="T127" t="s">
        <v>24</v>
      </c>
      <c r="U127">
        <v>14.4041</v>
      </c>
      <c r="V127">
        <v>20.6676</v>
      </c>
      <c r="W127">
        <v>11.377800000000001</v>
      </c>
      <c r="X127">
        <v>32.8489</v>
      </c>
    </row>
    <row r="128" spans="1:24" x14ac:dyDescent="0.2">
      <c r="A128" t="s">
        <v>32</v>
      </c>
      <c r="B128" t="s">
        <v>2</v>
      </c>
      <c r="C128" t="s">
        <v>8</v>
      </c>
      <c r="D128">
        <v>2</v>
      </c>
      <c r="E128">
        <v>135</v>
      </c>
      <c r="F128">
        <v>18.600000000000001</v>
      </c>
      <c r="G128">
        <v>1.6</v>
      </c>
      <c r="H128">
        <v>1148</v>
      </c>
      <c r="I128">
        <v>13.6</v>
      </c>
      <c r="J128">
        <v>8.6999999999999993</v>
      </c>
      <c r="K128">
        <v>7</v>
      </c>
      <c r="L128">
        <v>0.13700000000000001</v>
      </c>
      <c r="M128" s="4">
        <v>2380000000000000</v>
      </c>
      <c r="N128" s="4">
        <v>4.14E+16</v>
      </c>
      <c r="O128" s="4">
        <v>4.38E+16</v>
      </c>
      <c r="P128">
        <v>18.84</v>
      </c>
      <c r="Q128" t="s">
        <v>24</v>
      </c>
      <c r="R128" t="s">
        <v>24</v>
      </c>
      <c r="S128" t="s">
        <v>24</v>
      </c>
      <c r="T128" t="s">
        <v>24</v>
      </c>
      <c r="U128">
        <v>16.8489</v>
      </c>
      <c r="V128">
        <v>25.199300000000001</v>
      </c>
      <c r="W128">
        <v>11.9543</v>
      </c>
      <c r="X128">
        <v>33.205800000000004</v>
      </c>
    </row>
    <row r="129" spans="1:24" x14ac:dyDescent="0.2">
      <c r="A129" t="s">
        <v>32</v>
      </c>
      <c r="B129" t="s">
        <v>2</v>
      </c>
      <c r="C129" t="s">
        <v>8</v>
      </c>
      <c r="D129">
        <v>2</v>
      </c>
      <c r="E129">
        <v>122</v>
      </c>
      <c r="F129">
        <v>18.600000000000001</v>
      </c>
      <c r="G129">
        <v>1.6</v>
      </c>
      <c r="H129">
        <v>1148</v>
      </c>
      <c r="I129">
        <v>13.6</v>
      </c>
      <c r="J129">
        <v>9.6</v>
      </c>
      <c r="K129">
        <v>7</v>
      </c>
      <c r="L129">
        <v>0.124</v>
      </c>
      <c r="M129" s="4">
        <v>2320000000000000</v>
      </c>
      <c r="N129" s="4">
        <v>1.35E+16</v>
      </c>
      <c r="O129" s="4">
        <v>1.58E+16</v>
      </c>
      <c r="P129">
        <v>17.12</v>
      </c>
      <c r="Q129" t="s">
        <v>24</v>
      </c>
      <c r="R129" t="s">
        <v>24</v>
      </c>
      <c r="S129" t="s">
        <v>24</v>
      </c>
      <c r="T129" t="s">
        <v>24</v>
      </c>
      <c r="U129">
        <v>17.193200000000001</v>
      </c>
      <c r="V129">
        <v>25.0185</v>
      </c>
      <c r="W129">
        <v>11.896599999999999</v>
      </c>
      <c r="X129">
        <v>29.584</v>
      </c>
    </row>
    <row r="130" spans="1:24" x14ac:dyDescent="0.2">
      <c r="A130" t="s">
        <v>32</v>
      </c>
      <c r="B130" t="s">
        <v>2</v>
      </c>
      <c r="C130" t="s">
        <v>8</v>
      </c>
      <c r="D130">
        <v>3</v>
      </c>
      <c r="E130">
        <v>330</v>
      </c>
      <c r="F130">
        <v>18.600000000000001</v>
      </c>
      <c r="G130">
        <v>1.6</v>
      </c>
      <c r="H130">
        <v>1148</v>
      </c>
      <c r="I130">
        <v>13.6</v>
      </c>
      <c r="J130">
        <v>9.6999999999999993</v>
      </c>
      <c r="K130">
        <v>7</v>
      </c>
      <c r="L130">
        <v>0.151</v>
      </c>
      <c r="M130" s="4">
        <v>1940000000000000</v>
      </c>
      <c r="N130" s="4">
        <v>4.74E+16</v>
      </c>
      <c r="O130" s="4">
        <v>4.93E+16</v>
      </c>
      <c r="P130">
        <v>8.26</v>
      </c>
      <c r="Q130" t="s">
        <v>24</v>
      </c>
      <c r="R130" t="s">
        <v>24</v>
      </c>
      <c r="S130" t="s">
        <v>24</v>
      </c>
      <c r="T130" t="s">
        <v>24</v>
      </c>
      <c r="U130">
        <v>15.5206</v>
      </c>
      <c r="V130">
        <v>21.0169</v>
      </c>
      <c r="W130">
        <v>11.2775</v>
      </c>
      <c r="X130">
        <v>25.952400000000001</v>
      </c>
    </row>
    <row r="131" spans="1:24" x14ac:dyDescent="0.2">
      <c r="A131" t="s">
        <v>32</v>
      </c>
      <c r="B131" t="s">
        <v>2</v>
      </c>
      <c r="C131" t="s">
        <v>8</v>
      </c>
      <c r="D131">
        <v>3</v>
      </c>
      <c r="E131">
        <v>179</v>
      </c>
      <c r="F131">
        <v>18.600000000000001</v>
      </c>
      <c r="G131">
        <v>1.6</v>
      </c>
      <c r="H131">
        <v>1148</v>
      </c>
      <c r="I131">
        <v>13.6</v>
      </c>
      <c r="J131">
        <v>10.199999999999999</v>
      </c>
      <c r="K131">
        <v>7</v>
      </c>
      <c r="L131">
        <v>0.151</v>
      </c>
      <c r="M131" s="4">
        <v>2080000000000000</v>
      </c>
      <c r="N131" s="4">
        <v>5.85E+16</v>
      </c>
      <c r="O131" s="4">
        <v>6.06E+16</v>
      </c>
      <c r="P131">
        <v>9.94</v>
      </c>
      <c r="Q131" t="s">
        <v>24</v>
      </c>
      <c r="R131" t="s">
        <v>24</v>
      </c>
      <c r="S131" t="s">
        <v>24</v>
      </c>
      <c r="T131" t="s">
        <v>24</v>
      </c>
      <c r="U131">
        <v>14.739100000000001</v>
      </c>
      <c r="V131">
        <v>20.8811</v>
      </c>
      <c r="W131">
        <v>11.6012</v>
      </c>
      <c r="X131">
        <v>35.229799999999997</v>
      </c>
    </row>
    <row r="132" spans="1:24" x14ac:dyDescent="0.2">
      <c r="A132" t="s">
        <v>32</v>
      </c>
      <c r="B132" t="s">
        <v>2</v>
      </c>
      <c r="C132" t="s">
        <v>8</v>
      </c>
      <c r="D132">
        <v>3</v>
      </c>
      <c r="E132">
        <v>148</v>
      </c>
      <c r="F132">
        <v>18.600000000000001</v>
      </c>
      <c r="G132">
        <v>1.6</v>
      </c>
      <c r="H132">
        <v>1148</v>
      </c>
      <c r="I132">
        <v>13.6</v>
      </c>
      <c r="J132">
        <v>-2.8</v>
      </c>
      <c r="K132">
        <v>7</v>
      </c>
      <c r="L132">
        <v>0.14000000000000001</v>
      </c>
      <c r="M132" s="4">
        <v>2240000000000000</v>
      </c>
      <c r="N132" s="4">
        <v>5.85E+16</v>
      </c>
      <c r="O132" s="4">
        <v>6.07E+16</v>
      </c>
      <c r="P132">
        <v>16.86</v>
      </c>
      <c r="Q132" t="s">
        <v>24</v>
      </c>
      <c r="R132" t="s">
        <v>24</v>
      </c>
      <c r="S132" t="s">
        <v>24</v>
      </c>
      <c r="T132" t="s">
        <v>24</v>
      </c>
      <c r="U132">
        <v>17.292400000000001</v>
      </c>
      <c r="V132">
        <v>24.692699999999999</v>
      </c>
      <c r="W132">
        <v>11.516999999999999</v>
      </c>
      <c r="X132">
        <v>33.2089</v>
      </c>
    </row>
    <row r="133" spans="1:24" x14ac:dyDescent="0.2">
      <c r="A133" t="s">
        <v>32</v>
      </c>
      <c r="B133" t="s">
        <v>2</v>
      </c>
      <c r="C133" t="s">
        <v>8</v>
      </c>
      <c r="D133">
        <v>2</v>
      </c>
      <c r="E133">
        <v>122</v>
      </c>
      <c r="F133">
        <v>18.600000000000001</v>
      </c>
      <c r="G133">
        <v>1.6</v>
      </c>
      <c r="H133">
        <v>1148</v>
      </c>
      <c r="I133">
        <v>13.6</v>
      </c>
      <c r="J133">
        <v>-2.6</v>
      </c>
      <c r="K133">
        <v>7</v>
      </c>
      <c r="L133">
        <v>0.126</v>
      </c>
      <c r="M133" s="4">
        <v>2530000000000000</v>
      </c>
      <c r="N133" s="4">
        <v>4.27E+16</v>
      </c>
      <c r="O133" s="4">
        <v>4.53E+16</v>
      </c>
      <c r="P133">
        <v>26.21</v>
      </c>
      <c r="Q133" t="s">
        <v>24</v>
      </c>
      <c r="R133" t="s">
        <v>24</v>
      </c>
      <c r="S133" t="s">
        <v>24</v>
      </c>
      <c r="T133" t="s">
        <v>24</v>
      </c>
      <c r="U133">
        <v>18.186599999999999</v>
      </c>
      <c r="V133">
        <v>27.091899999999999</v>
      </c>
      <c r="W133">
        <v>11.932399999999999</v>
      </c>
      <c r="X133">
        <v>35.216099999999997</v>
      </c>
    </row>
    <row r="134" spans="1:24" x14ac:dyDescent="0.2">
      <c r="A134" t="s">
        <v>32</v>
      </c>
      <c r="B134" t="s">
        <v>2</v>
      </c>
      <c r="C134" t="s">
        <v>8</v>
      </c>
      <c r="D134">
        <v>2</v>
      </c>
      <c r="E134">
        <v>123</v>
      </c>
      <c r="F134">
        <v>18.600000000000001</v>
      </c>
      <c r="G134">
        <v>1.6</v>
      </c>
      <c r="H134">
        <v>1148</v>
      </c>
      <c r="I134">
        <v>13.6</v>
      </c>
      <c r="J134">
        <v>1</v>
      </c>
      <c r="K134">
        <v>7</v>
      </c>
      <c r="L134">
        <v>0.125</v>
      </c>
      <c r="M134" s="4">
        <v>1.48E+16</v>
      </c>
      <c r="N134" s="4">
        <v>2.49E+16</v>
      </c>
      <c r="O134" s="4">
        <v>3.97E+16</v>
      </c>
      <c r="P134">
        <v>23.76</v>
      </c>
      <c r="Q134" t="s">
        <v>24</v>
      </c>
      <c r="R134" t="s">
        <v>24</v>
      </c>
      <c r="S134" t="s">
        <v>24</v>
      </c>
      <c r="T134" t="s">
        <v>24</v>
      </c>
      <c r="U134">
        <v>17.9878</v>
      </c>
      <c r="V134">
        <v>26.320499999999999</v>
      </c>
      <c r="W134">
        <v>15.0657</v>
      </c>
      <c r="X134">
        <v>26.236499999999999</v>
      </c>
    </row>
    <row r="135" spans="1:24" x14ac:dyDescent="0.2">
      <c r="A135" t="s">
        <v>32</v>
      </c>
      <c r="B135" t="s">
        <v>2</v>
      </c>
      <c r="C135" t="s">
        <v>8</v>
      </c>
      <c r="D135">
        <v>3</v>
      </c>
      <c r="E135">
        <v>128</v>
      </c>
      <c r="F135">
        <v>18.600000000000001</v>
      </c>
      <c r="G135">
        <v>1.6</v>
      </c>
      <c r="H135">
        <v>1148</v>
      </c>
      <c r="I135">
        <v>13.6</v>
      </c>
      <c r="J135">
        <v>0.9</v>
      </c>
      <c r="K135">
        <v>7</v>
      </c>
      <c r="L135">
        <v>0.152</v>
      </c>
      <c r="M135" t="s">
        <v>24</v>
      </c>
      <c r="N135" t="s">
        <v>24</v>
      </c>
      <c r="O135" s="4">
        <v>5.43E+16</v>
      </c>
      <c r="P135">
        <v>20.09</v>
      </c>
      <c r="Q135" t="s">
        <v>24</v>
      </c>
      <c r="R135" t="s">
        <v>24</v>
      </c>
      <c r="S135" t="s">
        <v>24</v>
      </c>
      <c r="T135" t="s">
        <v>24</v>
      </c>
      <c r="U135">
        <v>16.632999999999999</v>
      </c>
      <c r="V135">
        <v>23.902699999999999</v>
      </c>
      <c r="W135">
        <v>14.813700000000001</v>
      </c>
      <c r="X135">
        <v>24.445399999999999</v>
      </c>
    </row>
    <row r="136" spans="1:24" x14ac:dyDescent="0.2">
      <c r="A136" t="s">
        <v>32</v>
      </c>
      <c r="B136" t="s">
        <v>2</v>
      </c>
      <c r="C136" t="s">
        <v>12</v>
      </c>
      <c r="D136">
        <v>3</v>
      </c>
      <c r="E136">
        <v>120</v>
      </c>
      <c r="F136">
        <v>0</v>
      </c>
      <c r="G136">
        <v>0</v>
      </c>
      <c r="H136">
        <v>19</v>
      </c>
      <c r="I136">
        <v>15.5</v>
      </c>
      <c r="J136">
        <v>12.5</v>
      </c>
      <c r="K136">
        <v>7</v>
      </c>
      <c r="L136">
        <v>0.15</v>
      </c>
      <c r="M136" s="4">
        <v>201000000000000</v>
      </c>
      <c r="N136" s="4">
        <v>4730000000000000</v>
      </c>
      <c r="O136" s="4">
        <v>4930000000000000</v>
      </c>
      <c r="P136">
        <v>2.94</v>
      </c>
      <c r="Q136">
        <v>0.53800000000000003</v>
      </c>
      <c r="R136">
        <v>0.46200000000000002</v>
      </c>
      <c r="S136">
        <v>8.3679227409999992</v>
      </c>
      <c r="T136">
        <v>7.1869692589999996</v>
      </c>
      <c r="U136">
        <v>11.342499999999999</v>
      </c>
      <c r="V136">
        <v>40.592399999999998</v>
      </c>
      <c r="W136">
        <v>12.788</v>
      </c>
      <c r="X136">
        <v>43.179499999999997</v>
      </c>
    </row>
    <row r="137" spans="1:24" x14ac:dyDescent="0.2">
      <c r="A137" t="s">
        <v>32</v>
      </c>
      <c r="B137" t="s">
        <v>2</v>
      </c>
      <c r="C137" t="s">
        <v>8</v>
      </c>
      <c r="D137">
        <v>2</v>
      </c>
      <c r="E137">
        <v>180</v>
      </c>
      <c r="F137">
        <v>18.600000000000001</v>
      </c>
      <c r="G137">
        <v>1.6</v>
      </c>
      <c r="H137">
        <v>1148</v>
      </c>
      <c r="I137">
        <v>13.6</v>
      </c>
      <c r="J137">
        <v>12.7</v>
      </c>
      <c r="K137">
        <v>7</v>
      </c>
      <c r="L137">
        <v>0.13700000000000001</v>
      </c>
      <c r="M137" s="4">
        <v>2020000000000000</v>
      </c>
      <c r="N137" s="4">
        <v>9810000000000000</v>
      </c>
      <c r="O137" s="4">
        <v>1.18E+16</v>
      </c>
      <c r="P137">
        <v>15.92</v>
      </c>
      <c r="Q137" t="s">
        <v>24</v>
      </c>
      <c r="R137" t="s">
        <v>24</v>
      </c>
      <c r="S137" t="s">
        <v>24</v>
      </c>
      <c r="T137" t="s">
        <v>24</v>
      </c>
      <c r="U137">
        <v>16.863199999999999</v>
      </c>
      <c r="V137">
        <v>24.957999999999998</v>
      </c>
      <c r="W137">
        <v>11.9313</v>
      </c>
      <c r="X137">
        <v>35.585099999999997</v>
      </c>
    </row>
    <row r="138" spans="1:24" x14ac:dyDescent="0.2">
      <c r="A138" t="s">
        <v>32</v>
      </c>
      <c r="B138" t="s">
        <v>2</v>
      </c>
      <c r="C138" t="s">
        <v>8</v>
      </c>
      <c r="D138">
        <v>2</v>
      </c>
      <c r="E138">
        <v>140</v>
      </c>
      <c r="F138">
        <v>18.600000000000001</v>
      </c>
      <c r="G138">
        <v>1.6</v>
      </c>
      <c r="H138">
        <v>1148</v>
      </c>
      <c r="I138">
        <v>13.6</v>
      </c>
      <c r="J138">
        <v>14.4</v>
      </c>
      <c r="K138">
        <v>7</v>
      </c>
      <c r="L138">
        <v>0.109</v>
      </c>
      <c r="M138" s="4">
        <v>1800000000000000</v>
      </c>
      <c r="N138" s="4">
        <v>2.98E+16</v>
      </c>
      <c r="O138" s="4">
        <v>3.16E+16</v>
      </c>
      <c r="P138">
        <v>18.5</v>
      </c>
      <c r="Q138" t="s">
        <v>24</v>
      </c>
      <c r="R138" t="s">
        <v>24</v>
      </c>
      <c r="S138" t="s">
        <v>24</v>
      </c>
      <c r="T138" t="s">
        <v>24</v>
      </c>
      <c r="U138">
        <v>16.0289</v>
      </c>
      <c r="V138">
        <v>23.381799999999998</v>
      </c>
      <c r="W138">
        <v>11.970800000000001</v>
      </c>
      <c r="X138">
        <v>36.198999999999998</v>
      </c>
    </row>
    <row r="139" spans="1:24" x14ac:dyDescent="0.2">
      <c r="A139" t="s">
        <v>32</v>
      </c>
      <c r="B139" t="s">
        <v>2</v>
      </c>
      <c r="C139" t="s">
        <v>12</v>
      </c>
      <c r="D139">
        <v>3</v>
      </c>
      <c r="E139">
        <v>150</v>
      </c>
      <c r="F139">
        <v>0</v>
      </c>
      <c r="G139">
        <v>0</v>
      </c>
      <c r="H139">
        <v>19</v>
      </c>
      <c r="I139">
        <v>15.5</v>
      </c>
      <c r="J139">
        <v>14.5</v>
      </c>
      <c r="K139">
        <v>7</v>
      </c>
      <c r="L139">
        <v>0.13700000000000001</v>
      </c>
      <c r="M139" s="4">
        <v>33900000000000</v>
      </c>
      <c r="N139" s="4">
        <v>4700000000000000</v>
      </c>
      <c r="O139" s="4">
        <v>4740000000000000</v>
      </c>
      <c r="P139">
        <v>5.08</v>
      </c>
      <c r="Q139">
        <v>0.77800000000000002</v>
      </c>
      <c r="R139">
        <v>0.222</v>
      </c>
      <c r="S139">
        <v>21.165293850000001</v>
      </c>
      <c r="T139">
        <v>6.0272821480000003</v>
      </c>
      <c r="U139">
        <v>14.422000000000001</v>
      </c>
      <c r="V139">
        <v>24.2468</v>
      </c>
      <c r="W139">
        <v>12.0237</v>
      </c>
      <c r="X139">
        <v>44.582999999999998</v>
      </c>
    </row>
    <row r="140" spans="1:24" x14ac:dyDescent="0.2">
      <c r="A140" t="s">
        <v>32</v>
      </c>
      <c r="B140" t="s">
        <v>2</v>
      </c>
      <c r="C140" t="s">
        <v>12</v>
      </c>
      <c r="D140">
        <v>3</v>
      </c>
      <c r="E140">
        <v>150</v>
      </c>
      <c r="F140">
        <v>0</v>
      </c>
      <c r="G140">
        <v>0</v>
      </c>
      <c r="H140">
        <v>19</v>
      </c>
      <c r="I140">
        <v>15.5</v>
      </c>
      <c r="J140">
        <v>15.1</v>
      </c>
      <c r="K140">
        <v>7</v>
      </c>
      <c r="L140">
        <v>0.13700000000000001</v>
      </c>
      <c r="M140" s="4">
        <v>14600000000000</v>
      </c>
      <c r="N140" s="4">
        <v>4200000000000000</v>
      </c>
      <c r="O140" s="4">
        <v>4210000000000000</v>
      </c>
      <c r="P140">
        <v>4.28</v>
      </c>
      <c r="Q140" t="s">
        <v>24</v>
      </c>
      <c r="R140" t="s">
        <v>24</v>
      </c>
      <c r="S140" t="s">
        <v>24</v>
      </c>
      <c r="T140" t="s">
        <v>24</v>
      </c>
      <c r="U140">
        <v>10.3813</v>
      </c>
      <c r="V140">
        <v>46.6494</v>
      </c>
      <c r="W140">
        <v>16.934799999999999</v>
      </c>
      <c r="X140">
        <v>86.145600000000002</v>
      </c>
    </row>
    <row r="141" spans="1:24" x14ac:dyDescent="0.2">
      <c r="A141" t="s">
        <v>32</v>
      </c>
      <c r="B141" t="s">
        <v>2</v>
      </c>
      <c r="C141" t="s">
        <v>12</v>
      </c>
      <c r="D141">
        <v>3</v>
      </c>
      <c r="E141">
        <v>130</v>
      </c>
      <c r="F141">
        <v>0</v>
      </c>
      <c r="G141">
        <v>0</v>
      </c>
      <c r="H141">
        <v>19</v>
      </c>
      <c r="I141">
        <v>15.5</v>
      </c>
      <c r="J141">
        <v>-0.6</v>
      </c>
      <c r="K141">
        <v>7</v>
      </c>
      <c r="L141">
        <v>0.154</v>
      </c>
      <c r="M141" s="4">
        <v>21500000000000</v>
      </c>
      <c r="N141" s="4">
        <v>4950000000000000</v>
      </c>
      <c r="O141" s="4">
        <v>4970000000000000</v>
      </c>
      <c r="P141">
        <v>4.51</v>
      </c>
      <c r="Q141" t="s">
        <v>24</v>
      </c>
      <c r="R141" t="s">
        <v>24</v>
      </c>
      <c r="S141" t="s">
        <v>24</v>
      </c>
      <c r="T141" t="s">
        <v>24</v>
      </c>
      <c r="U141">
        <v>10.286799999999999</v>
      </c>
      <c r="V141">
        <v>11.9511</v>
      </c>
      <c r="W141">
        <v>15.466100000000001</v>
      </c>
      <c r="X141">
        <v>31.742999999999999</v>
      </c>
    </row>
    <row r="142" spans="1:24" x14ac:dyDescent="0.2">
      <c r="A142" t="s">
        <v>32</v>
      </c>
      <c r="B142" t="s">
        <v>2</v>
      </c>
      <c r="C142" t="s">
        <v>8</v>
      </c>
      <c r="D142">
        <v>2</v>
      </c>
      <c r="E142">
        <v>190</v>
      </c>
      <c r="F142">
        <v>18.600000000000001</v>
      </c>
      <c r="G142">
        <v>1.6</v>
      </c>
      <c r="H142">
        <v>1148</v>
      </c>
      <c r="I142">
        <v>13.6</v>
      </c>
      <c r="J142">
        <v>-0.5</v>
      </c>
      <c r="K142">
        <v>7</v>
      </c>
      <c r="L142">
        <v>0.14000000000000001</v>
      </c>
      <c r="M142" s="4">
        <v>2320000000000000</v>
      </c>
      <c r="N142" s="4">
        <v>4E+16</v>
      </c>
      <c r="O142" s="4">
        <v>4.24E+16</v>
      </c>
      <c r="P142">
        <v>22.26</v>
      </c>
      <c r="Q142" t="s">
        <v>24</v>
      </c>
      <c r="R142" t="s">
        <v>24</v>
      </c>
      <c r="S142" t="s">
        <v>24</v>
      </c>
      <c r="T142" t="s">
        <v>24</v>
      </c>
      <c r="U142">
        <v>18.3613</v>
      </c>
      <c r="V142">
        <v>24.178799999999999</v>
      </c>
      <c r="W142">
        <v>12.019500000000001</v>
      </c>
      <c r="X142">
        <v>22.290099999999999</v>
      </c>
    </row>
    <row r="143" spans="1:24" x14ac:dyDescent="0.2">
      <c r="A143" t="s">
        <v>32</v>
      </c>
      <c r="B143" t="s">
        <v>2</v>
      </c>
      <c r="C143" t="s">
        <v>8</v>
      </c>
      <c r="D143">
        <v>2</v>
      </c>
      <c r="E143">
        <v>120</v>
      </c>
      <c r="F143">
        <v>18.600000000000001</v>
      </c>
      <c r="G143">
        <v>1.6</v>
      </c>
      <c r="H143">
        <v>1148</v>
      </c>
      <c r="I143">
        <v>13.6</v>
      </c>
      <c r="J143">
        <v>1.4</v>
      </c>
      <c r="K143">
        <v>7</v>
      </c>
      <c r="L143">
        <v>0.125</v>
      </c>
      <c r="M143" s="4">
        <v>2250000000000000</v>
      </c>
      <c r="N143" s="4">
        <v>4.09E+16</v>
      </c>
      <c r="O143" s="4">
        <v>4.31E+16</v>
      </c>
      <c r="P143">
        <v>20.170000000000002</v>
      </c>
      <c r="Q143" t="s">
        <v>24</v>
      </c>
      <c r="R143" t="s">
        <v>24</v>
      </c>
      <c r="S143" t="s">
        <v>24</v>
      </c>
      <c r="T143" t="s">
        <v>24</v>
      </c>
      <c r="U143">
        <v>17.9985</v>
      </c>
      <c r="V143">
        <v>23.9161</v>
      </c>
      <c r="W143">
        <v>11.6782</v>
      </c>
      <c r="X143">
        <v>21.2211</v>
      </c>
    </row>
    <row r="144" spans="1:24" x14ac:dyDescent="0.2">
      <c r="A144" t="s">
        <v>32</v>
      </c>
      <c r="B144" t="s">
        <v>2</v>
      </c>
      <c r="C144" t="s">
        <v>12</v>
      </c>
      <c r="D144">
        <v>3</v>
      </c>
      <c r="E144">
        <v>150</v>
      </c>
      <c r="F144">
        <v>0</v>
      </c>
      <c r="G144">
        <v>0</v>
      </c>
      <c r="H144">
        <v>19</v>
      </c>
      <c r="I144">
        <v>15.5</v>
      </c>
      <c r="J144">
        <v>1.6</v>
      </c>
      <c r="K144">
        <v>7</v>
      </c>
      <c r="L144">
        <v>0.13800000000000001</v>
      </c>
      <c r="M144" s="4">
        <v>24900000000000</v>
      </c>
      <c r="N144" s="4">
        <v>7500000000000000</v>
      </c>
      <c r="O144" s="4">
        <v>7520000000000000</v>
      </c>
      <c r="P144">
        <v>3.58</v>
      </c>
      <c r="Q144">
        <v>0.95699999999999996</v>
      </c>
      <c r="R144">
        <v>4.2999999999999997E-2</v>
      </c>
      <c r="S144">
        <v>38.069382789999999</v>
      </c>
      <c r="T144">
        <v>1.7243092120000001</v>
      </c>
      <c r="U144">
        <v>13.9192</v>
      </c>
      <c r="V144">
        <v>21.787199999999999</v>
      </c>
      <c r="W144">
        <v>11.7753</v>
      </c>
      <c r="X144">
        <v>21.686599999999999</v>
      </c>
    </row>
    <row r="145" spans="1:24" x14ac:dyDescent="0.2">
      <c r="A145" t="s">
        <v>32</v>
      </c>
      <c r="B145" t="s">
        <v>2</v>
      </c>
      <c r="C145" t="s">
        <v>12</v>
      </c>
      <c r="D145">
        <v>3</v>
      </c>
      <c r="E145">
        <v>150</v>
      </c>
      <c r="F145">
        <v>0</v>
      </c>
      <c r="G145">
        <v>0</v>
      </c>
      <c r="H145">
        <v>19</v>
      </c>
      <c r="I145">
        <v>15.5</v>
      </c>
      <c r="J145">
        <v>4.5</v>
      </c>
      <c r="K145">
        <v>7</v>
      </c>
      <c r="L145">
        <v>0.13700000000000001</v>
      </c>
      <c r="M145" s="4">
        <v>23700000000000</v>
      </c>
      <c r="N145" s="4">
        <v>6650000000000000</v>
      </c>
      <c r="O145" s="4">
        <v>6680000000000000</v>
      </c>
      <c r="P145">
        <v>4.33</v>
      </c>
      <c r="Q145">
        <v>0.89900000000000002</v>
      </c>
      <c r="R145">
        <v>0.10100000000000001</v>
      </c>
      <c r="S145">
        <v>5.2704977230000001</v>
      </c>
      <c r="T145">
        <v>0.59340907700000001</v>
      </c>
      <c r="U145">
        <v>10.602399999999999</v>
      </c>
      <c r="V145">
        <v>12.2232</v>
      </c>
      <c r="W145">
        <v>16.151199999999999</v>
      </c>
      <c r="X145">
        <v>32.407299999999999</v>
      </c>
    </row>
    <row r="146" spans="1:24" x14ac:dyDescent="0.2">
      <c r="A146" t="s">
        <v>32</v>
      </c>
      <c r="B146" t="s">
        <v>2</v>
      </c>
      <c r="C146" t="s">
        <v>14</v>
      </c>
      <c r="D146">
        <v>3</v>
      </c>
      <c r="E146">
        <v>110</v>
      </c>
      <c r="F146">
        <v>8</v>
      </c>
      <c r="G146">
        <v>0.8</v>
      </c>
      <c r="H146">
        <v>699</v>
      </c>
      <c r="I146">
        <v>14.5</v>
      </c>
      <c r="J146">
        <v>0.2</v>
      </c>
      <c r="K146">
        <v>7</v>
      </c>
      <c r="L146">
        <v>0.153</v>
      </c>
      <c r="M146" s="4">
        <v>661000000000000</v>
      </c>
      <c r="N146" s="4">
        <v>3.46E+16</v>
      </c>
      <c r="O146" s="4">
        <v>3.53E+16</v>
      </c>
      <c r="P146">
        <v>6.05</v>
      </c>
      <c r="Q146" t="s">
        <v>24</v>
      </c>
      <c r="R146" t="s">
        <v>24</v>
      </c>
      <c r="S146" t="s">
        <v>24</v>
      </c>
      <c r="T146" t="s">
        <v>24</v>
      </c>
      <c r="U146">
        <v>13.6724</v>
      </c>
      <c r="V146">
        <v>16.945799999999998</v>
      </c>
      <c r="W146">
        <v>11.3505</v>
      </c>
      <c r="X146">
        <v>20.877099999999999</v>
      </c>
    </row>
    <row r="147" spans="1:24" x14ac:dyDescent="0.2">
      <c r="A147" t="s">
        <v>32</v>
      </c>
      <c r="B147" t="s">
        <v>2</v>
      </c>
      <c r="C147" t="s">
        <v>8</v>
      </c>
      <c r="D147">
        <v>2</v>
      </c>
      <c r="E147">
        <v>120</v>
      </c>
      <c r="F147">
        <v>18.600000000000001</v>
      </c>
      <c r="G147">
        <v>1.6</v>
      </c>
      <c r="H147">
        <v>1148</v>
      </c>
      <c r="I147">
        <v>13.6</v>
      </c>
      <c r="J147">
        <v>0.5</v>
      </c>
      <c r="K147">
        <v>7</v>
      </c>
      <c r="L147">
        <v>0.13900000000000001</v>
      </c>
      <c r="M147" s="4">
        <v>1990000000000000</v>
      </c>
      <c r="N147" s="4">
        <v>3.83E+16</v>
      </c>
      <c r="O147" s="4">
        <v>4.03E+16</v>
      </c>
      <c r="P147">
        <v>23.17</v>
      </c>
      <c r="Q147" t="s">
        <v>24</v>
      </c>
      <c r="R147" t="s">
        <v>24</v>
      </c>
      <c r="S147" t="s">
        <v>24</v>
      </c>
      <c r="T147" t="s">
        <v>24</v>
      </c>
      <c r="U147">
        <v>16.5076</v>
      </c>
      <c r="V147">
        <v>22.514600000000002</v>
      </c>
      <c r="W147">
        <v>12.0184</v>
      </c>
      <c r="X147">
        <v>22.499600000000001</v>
      </c>
    </row>
    <row r="148" spans="1:24" x14ac:dyDescent="0.2">
      <c r="A148" t="s">
        <v>32</v>
      </c>
      <c r="B148" t="s">
        <v>2</v>
      </c>
      <c r="C148" t="s">
        <v>8</v>
      </c>
      <c r="D148">
        <v>2</v>
      </c>
      <c r="E148">
        <v>220</v>
      </c>
      <c r="F148">
        <v>18.600000000000001</v>
      </c>
      <c r="G148">
        <v>1.6</v>
      </c>
      <c r="H148">
        <v>1148</v>
      </c>
      <c r="I148">
        <v>13.6</v>
      </c>
      <c r="J148">
        <v>6.8</v>
      </c>
      <c r="K148">
        <v>7</v>
      </c>
      <c r="L148">
        <v>0.124</v>
      </c>
      <c r="M148" s="4">
        <v>2130000000000000</v>
      </c>
      <c r="N148" s="4">
        <v>4030000000000000</v>
      </c>
      <c r="O148" s="4">
        <v>6160000000000000</v>
      </c>
      <c r="P148">
        <v>27.71</v>
      </c>
      <c r="Q148" t="s">
        <v>24</v>
      </c>
      <c r="R148" t="s">
        <v>24</v>
      </c>
      <c r="S148" t="s">
        <v>24</v>
      </c>
      <c r="T148" t="s">
        <v>24</v>
      </c>
      <c r="U148">
        <v>17.376999999999999</v>
      </c>
      <c r="V148">
        <v>23.2136</v>
      </c>
      <c r="W148">
        <v>11.8612</v>
      </c>
      <c r="X148">
        <v>21.196200000000001</v>
      </c>
    </row>
    <row r="149" spans="1:24" x14ac:dyDescent="0.2">
      <c r="A149" t="s">
        <v>32</v>
      </c>
      <c r="B149" t="s">
        <v>2</v>
      </c>
      <c r="C149" t="s">
        <v>14</v>
      </c>
      <c r="D149">
        <v>3</v>
      </c>
      <c r="E149">
        <v>130</v>
      </c>
      <c r="F149">
        <v>8</v>
      </c>
      <c r="G149">
        <v>0.8</v>
      </c>
      <c r="H149">
        <v>699</v>
      </c>
      <c r="I149">
        <v>14.5</v>
      </c>
      <c r="J149">
        <v>7</v>
      </c>
      <c r="K149">
        <v>7</v>
      </c>
      <c r="L149">
        <v>0.13700000000000001</v>
      </c>
      <c r="M149" s="4">
        <v>813000000000000</v>
      </c>
      <c r="N149" s="4">
        <v>3.34E+16</v>
      </c>
      <c r="O149" s="4">
        <v>3.42E+16</v>
      </c>
      <c r="P149">
        <v>10.28</v>
      </c>
      <c r="Q149" t="s">
        <v>24</v>
      </c>
      <c r="R149" t="s">
        <v>24</v>
      </c>
      <c r="S149" t="s">
        <v>24</v>
      </c>
      <c r="T149" t="s">
        <v>24</v>
      </c>
      <c r="U149">
        <v>13.5517</v>
      </c>
      <c r="V149">
        <v>16.854299999999999</v>
      </c>
      <c r="W149">
        <v>11.332700000000001</v>
      </c>
      <c r="X149">
        <v>19.537800000000001</v>
      </c>
    </row>
    <row r="150" spans="1:24" x14ac:dyDescent="0.2">
      <c r="A150" t="s">
        <v>32</v>
      </c>
      <c r="B150" t="s">
        <v>2</v>
      </c>
      <c r="C150" t="s">
        <v>14</v>
      </c>
      <c r="D150">
        <v>3</v>
      </c>
      <c r="E150">
        <v>100</v>
      </c>
      <c r="F150">
        <v>8</v>
      </c>
      <c r="G150">
        <v>0.8</v>
      </c>
      <c r="H150">
        <v>699</v>
      </c>
      <c r="I150">
        <v>14.5</v>
      </c>
      <c r="J150">
        <v>9.1</v>
      </c>
      <c r="K150">
        <v>7</v>
      </c>
      <c r="L150">
        <v>0.15</v>
      </c>
      <c r="M150" s="4">
        <v>816000000000000</v>
      </c>
      <c r="N150" s="4">
        <v>3.51E+16</v>
      </c>
      <c r="O150" s="4">
        <v>3.59E+16</v>
      </c>
      <c r="P150">
        <v>5.66</v>
      </c>
      <c r="Q150" t="s">
        <v>24</v>
      </c>
      <c r="R150" t="s">
        <v>24</v>
      </c>
      <c r="S150" t="s">
        <v>24</v>
      </c>
      <c r="T150" t="s">
        <v>24</v>
      </c>
      <c r="U150">
        <v>12.482200000000001</v>
      </c>
      <c r="V150">
        <v>15.154400000000001</v>
      </c>
      <c r="W150">
        <v>11.9259</v>
      </c>
      <c r="X150">
        <v>22.968599999999999</v>
      </c>
    </row>
    <row r="151" spans="1:24" x14ac:dyDescent="0.2">
      <c r="A151" t="s">
        <v>32</v>
      </c>
      <c r="B151" t="s">
        <v>2</v>
      </c>
      <c r="C151" t="s">
        <v>11</v>
      </c>
      <c r="D151">
        <v>3</v>
      </c>
      <c r="E151">
        <v>140</v>
      </c>
      <c r="F151">
        <v>0.6</v>
      </c>
      <c r="G151">
        <v>0</v>
      </c>
      <c r="H151">
        <v>22</v>
      </c>
      <c r="I151">
        <v>15.1</v>
      </c>
      <c r="J151">
        <v>14.4</v>
      </c>
      <c r="K151">
        <v>7</v>
      </c>
      <c r="L151">
        <v>0.14899999999999999</v>
      </c>
      <c r="M151" s="4">
        <v>39900000000000</v>
      </c>
      <c r="N151" s="4">
        <v>5800000000000000</v>
      </c>
      <c r="O151" s="4">
        <v>5840000000000000</v>
      </c>
      <c r="P151">
        <v>2.41</v>
      </c>
      <c r="Q151" t="s">
        <v>24</v>
      </c>
      <c r="R151" t="s">
        <v>24</v>
      </c>
      <c r="S151" t="s">
        <v>24</v>
      </c>
      <c r="T151" t="s">
        <v>24</v>
      </c>
      <c r="U151">
        <v>13.0914</v>
      </c>
      <c r="V151">
        <v>20.3962</v>
      </c>
      <c r="W151">
        <v>12.735799999999999</v>
      </c>
      <c r="X151">
        <v>29.1372</v>
      </c>
    </row>
    <row r="152" spans="1:24" x14ac:dyDescent="0.2">
      <c r="A152" t="s">
        <v>32</v>
      </c>
      <c r="B152" t="s">
        <v>2</v>
      </c>
      <c r="C152" t="s">
        <v>8</v>
      </c>
      <c r="D152">
        <v>2</v>
      </c>
      <c r="E152">
        <v>140</v>
      </c>
      <c r="F152">
        <v>18.600000000000001</v>
      </c>
      <c r="G152">
        <v>1.6</v>
      </c>
      <c r="H152">
        <v>1148</v>
      </c>
      <c r="I152">
        <v>13.6</v>
      </c>
      <c r="J152">
        <v>14.5</v>
      </c>
      <c r="K152">
        <v>7</v>
      </c>
      <c r="L152">
        <v>0.13600000000000001</v>
      </c>
      <c r="M152" s="4">
        <v>1550000000000000</v>
      </c>
      <c r="N152" s="4">
        <v>2.74E+16</v>
      </c>
      <c r="O152" s="4">
        <v>2.89E+16</v>
      </c>
      <c r="P152">
        <v>16.53</v>
      </c>
      <c r="Q152" t="s">
        <v>24</v>
      </c>
      <c r="R152" t="s">
        <v>24</v>
      </c>
      <c r="S152" t="s">
        <v>24</v>
      </c>
      <c r="T152" t="s">
        <v>24</v>
      </c>
      <c r="U152">
        <v>15.285600000000001</v>
      </c>
      <c r="V152">
        <v>22.408300000000001</v>
      </c>
      <c r="W152">
        <v>12.571999999999999</v>
      </c>
      <c r="X152">
        <v>27.8276</v>
      </c>
    </row>
    <row r="153" spans="1:24" x14ac:dyDescent="0.2">
      <c r="A153" t="s">
        <v>32</v>
      </c>
      <c r="B153" t="s">
        <v>2</v>
      </c>
      <c r="C153" t="s">
        <v>8</v>
      </c>
      <c r="D153">
        <v>2</v>
      </c>
      <c r="E153">
        <v>130</v>
      </c>
      <c r="F153">
        <v>18.600000000000001</v>
      </c>
      <c r="G153">
        <v>1.6</v>
      </c>
      <c r="H153">
        <v>1148</v>
      </c>
      <c r="I153">
        <v>13.6</v>
      </c>
      <c r="J153">
        <v>17.8</v>
      </c>
      <c r="K153">
        <v>7</v>
      </c>
      <c r="L153">
        <v>0.109</v>
      </c>
      <c r="M153" s="4">
        <v>932000000000000</v>
      </c>
      <c r="N153" s="4">
        <v>1.66E+16</v>
      </c>
      <c r="O153" s="4">
        <v>1.75E+16</v>
      </c>
      <c r="P153">
        <v>10.72</v>
      </c>
      <c r="Q153" t="s">
        <v>24</v>
      </c>
      <c r="R153" t="s">
        <v>24</v>
      </c>
      <c r="S153" t="s">
        <v>24</v>
      </c>
      <c r="T153" t="s">
        <v>24</v>
      </c>
      <c r="U153">
        <v>13.0238</v>
      </c>
      <c r="V153">
        <v>19.049900000000001</v>
      </c>
      <c r="W153">
        <v>12.1327</v>
      </c>
      <c r="X153">
        <v>28.7668</v>
      </c>
    </row>
    <row r="154" spans="1:24" x14ac:dyDescent="0.2">
      <c r="A154" t="s">
        <v>32</v>
      </c>
      <c r="B154" t="s">
        <v>2</v>
      </c>
      <c r="C154" t="s">
        <v>11</v>
      </c>
      <c r="D154">
        <v>3</v>
      </c>
      <c r="E154">
        <v>180</v>
      </c>
      <c r="F154">
        <v>0.6</v>
      </c>
      <c r="G154">
        <v>0</v>
      </c>
      <c r="H154">
        <v>22</v>
      </c>
      <c r="I154">
        <v>15.1</v>
      </c>
      <c r="J154">
        <v>17.7</v>
      </c>
      <c r="K154">
        <v>7</v>
      </c>
      <c r="L154">
        <v>0.13600000000000001</v>
      </c>
      <c r="M154" s="4">
        <v>213000000000000</v>
      </c>
      <c r="N154" s="4">
        <v>6800000000000000</v>
      </c>
      <c r="O154" s="4">
        <v>7010000000000000</v>
      </c>
      <c r="P154">
        <v>12.78</v>
      </c>
      <c r="Q154">
        <v>0.36499999999999999</v>
      </c>
      <c r="R154">
        <v>0.63500000000000001</v>
      </c>
      <c r="S154">
        <v>2.796697698</v>
      </c>
      <c r="T154">
        <v>4.8655543019999996</v>
      </c>
      <c r="U154">
        <v>11.9582</v>
      </c>
      <c r="V154">
        <v>17.453800000000001</v>
      </c>
      <c r="W154">
        <v>10.7745</v>
      </c>
      <c r="X154">
        <v>15.8232</v>
      </c>
    </row>
    <row r="155" spans="1:24" x14ac:dyDescent="0.2">
      <c r="A155" t="s">
        <v>32</v>
      </c>
      <c r="B155" t="s">
        <v>2</v>
      </c>
      <c r="C155" t="s">
        <v>11</v>
      </c>
      <c r="D155">
        <v>3</v>
      </c>
      <c r="E155">
        <v>132</v>
      </c>
      <c r="F155">
        <v>0.6</v>
      </c>
      <c r="G155">
        <v>0</v>
      </c>
      <c r="H155">
        <v>22</v>
      </c>
      <c r="I155">
        <v>15.1</v>
      </c>
      <c r="J155">
        <v>18.100000000000001</v>
      </c>
      <c r="K155">
        <v>7</v>
      </c>
      <c r="L155">
        <v>0.14899999999999999</v>
      </c>
      <c r="M155" s="4">
        <v>978000000000000</v>
      </c>
      <c r="N155" s="4">
        <v>1180000000000000</v>
      </c>
      <c r="O155" s="4">
        <v>2160000000000000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>
        <v>12.625</v>
      </c>
      <c r="V155">
        <v>17.9236</v>
      </c>
      <c r="W155">
        <v>13.092599999999999</v>
      </c>
      <c r="X155">
        <v>27.2013</v>
      </c>
    </row>
    <row r="156" spans="1:24" x14ac:dyDescent="0.2">
      <c r="A156" t="s">
        <v>32</v>
      </c>
      <c r="B156" t="s">
        <v>2</v>
      </c>
      <c r="C156" t="s">
        <v>11</v>
      </c>
      <c r="D156">
        <v>3</v>
      </c>
      <c r="E156">
        <v>150</v>
      </c>
      <c r="F156">
        <v>0.6</v>
      </c>
      <c r="G156">
        <v>0</v>
      </c>
      <c r="H156">
        <v>22</v>
      </c>
      <c r="I156">
        <v>15.1</v>
      </c>
      <c r="J156">
        <v>-1.3</v>
      </c>
      <c r="K156">
        <v>7</v>
      </c>
      <c r="L156">
        <v>0.14799999999999999</v>
      </c>
      <c r="M156" s="4">
        <v>61100000000000</v>
      </c>
      <c r="N156" s="4">
        <v>5330000000000000</v>
      </c>
      <c r="O156" s="4">
        <v>5390000000000000</v>
      </c>
      <c r="P156">
        <v>3.55</v>
      </c>
      <c r="Q156">
        <v>0.98299999999999998</v>
      </c>
      <c r="R156">
        <v>1.7000000000000001E-2</v>
      </c>
      <c r="S156">
        <v>50.342854250000002</v>
      </c>
      <c r="T156">
        <v>0.86839374700000005</v>
      </c>
      <c r="U156">
        <v>14.7575</v>
      </c>
      <c r="V156">
        <v>24.796700000000001</v>
      </c>
      <c r="W156">
        <v>12.534599999999999</v>
      </c>
      <c r="X156">
        <v>33.916400000000003</v>
      </c>
    </row>
    <row r="157" spans="1:24" x14ac:dyDescent="0.2">
      <c r="A157" t="s">
        <v>32</v>
      </c>
      <c r="B157" t="s">
        <v>2</v>
      </c>
      <c r="C157" t="s">
        <v>8</v>
      </c>
      <c r="D157">
        <v>2</v>
      </c>
      <c r="E157">
        <v>130</v>
      </c>
      <c r="F157">
        <v>18.600000000000001</v>
      </c>
      <c r="G157">
        <v>1.6</v>
      </c>
      <c r="H157">
        <v>1148</v>
      </c>
      <c r="I157">
        <v>13.6</v>
      </c>
      <c r="J157">
        <v>-1.4</v>
      </c>
      <c r="K157">
        <v>7</v>
      </c>
      <c r="L157">
        <v>0.127</v>
      </c>
      <c r="M157" s="4">
        <v>2180000000000000</v>
      </c>
      <c r="N157" s="4">
        <v>3.08E+16</v>
      </c>
      <c r="O157" s="4">
        <v>3.3E+16</v>
      </c>
      <c r="P157">
        <v>24.58</v>
      </c>
      <c r="Q157">
        <v>0.98699999999999999</v>
      </c>
      <c r="R157">
        <v>1.2999999999999999E-2</v>
      </c>
      <c r="S157">
        <v>232.6492666</v>
      </c>
      <c r="T157">
        <v>3.0226933640000002</v>
      </c>
      <c r="U157">
        <v>17.605399999999999</v>
      </c>
      <c r="V157">
        <v>25.310099999999998</v>
      </c>
      <c r="W157">
        <v>12.359299999999999</v>
      </c>
      <c r="X157">
        <v>31.842500000000001</v>
      </c>
    </row>
    <row r="158" spans="1:24" x14ac:dyDescent="0.2">
      <c r="A158" t="s">
        <v>32</v>
      </c>
      <c r="B158" t="s">
        <v>2</v>
      </c>
      <c r="C158" t="s">
        <v>8</v>
      </c>
      <c r="D158">
        <v>2</v>
      </c>
      <c r="E158">
        <v>120</v>
      </c>
      <c r="F158">
        <v>18.600000000000001</v>
      </c>
      <c r="G158">
        <v>1.6</v>
      </c>
      <c r="H158">
        <v>1148</v>
      </c>
      <c r="I158">
        <v>13.6</v>
      </c>
      <c r="J158">
        <v>-1.5</v>
      </c>
      <c r="K158">
        <v>7</v>
      </c>
      <c r="L158">
        <v>0.125</v>
      </c>
      <c r="M158" s="4">
        <v>1960000000000000</v>
      </c>
      <c r="N158" s="4">
        <v>3.18E+16</v>
      </c>
      <c r="O158" s="4">
        <v>3.38E+16</v>
      </c>
      <c r="P158">
        <v>16.25</v>
      </c>
      <c r="Q158">
        <v>0.98799999999999999</v>
      </c>
      <c r="R158">
        <v>1.2E-2</v>
      </c>
      <c r="S158">
        <v>231.5936145</v>
      </c>
      <c r="T158">
        <v>2.8673055139999999</v>
      </c>
      <c r="U158">
        <v>17.500299999999999</v>
      </c>
      <c r="V158">
        <v>24.115400000000001</v>
      </c>
      <c r="W158">
        <v>11.8461</v>
      </c>
      <c r="X158">
        <v>27.759799999999998</v>
      </c>
    </row>
    <row r="159" spans="1:24" x14ac:dyDescent="0.2">
      <c r="A159" t="s">
        <v>32</v>
      </c>
      <c r="B159" t="s">
        <v>2</v>
      </c>
      <c r="C159" t="s">
        <v>11</v>
      </c>
      <c r="D159">
        <v>3</v>
      </c>
      <c r="E159">
        <v>170</v>
      </c>
      <c r="F159">
        <v>0.6</v>
      </c>
      <c r="G159">
        <v>0</v>
      </c>
      <c r="H159">
        <v>22</v>
      </c>
      <c r="I159">
        <v>15.1</v>
      </c>
      <c r="J159">
        <v>-1.1000000000000001</v>
      </c>
      <c r="K159">
        <v>7</v>
      </c>
      <c r="L159">
        <v>0.13900000000000001</v>
      </c>
      <c r="M159" s="4">
        <v>71600000000000</v>
      </c>
      <c r="N159" s="4">
        <v>8870000000000000</v>
      </c>
      <c r="O159" s="4">
        <v>8940000000000000</v>
      </c>
      <c r="P159">
        <v>3.34</v>
      </c>
      <c r="Q159" t="s">
        <v>24</v>
      </c>
      <c r="R159" t="s">
        <v>24</v>
      </c>
      <c r="S159" t="s">
        <v>24</v>
      </c>
      <c r="T159" t="s">
        <v>24</v>
      </c>
      <c r="U159">
        <v>13.0604</v>
      </c>
      <c r="V159">
        <v>22.129300000000001</v>
      </c>
      <c r="W159">
        <v>11.9762</v>
      </c>
      <c r="X159">
        <v>31.947600000000001</v>
      </c>
    </row>
    <row r="160" spans="1:24" x14ac:dyDescent="0.2">
      <c r="A160" t="s">
        <v>32</v>
      </c>
      <c r="B160" t="s">
        <v>2</v>
      </c>
      <c r="C160" t="s">
        <v>8</v>
      </c>
      <c r="D160">
        <v>2</v>
      </c>
      <c r="E160">
        <v>190</v>
      </c>
      <c r="F160">
        <v>18.600000000000001</v>
      </c>
      <c r="G160">
        <v>1.6</v>
      </c>
      <c r="H160">
        <v>1148</v>
      </c>
      <c r="I160">
        <v>13.6</v>
      </c>
      <c r="J160">
        <v>9</v>
      </c>
      <c r="K160">
        <v>7</v>
      </c>
      <c r="L160">
        <v>0.46700000000000003</v>
      </c>
      <c r="M160" s="4">
        <v>1770000000000000</v>
      </c>
      <c r="N160" s="4">
        <v>3.35E+16</v>
      </c>
      <c r="O160" s="4">
        <v>3.53E+16</v>
      </c>
      <c r="P160">
        <v>18.75</v>
      </c>
      <c r="Q160">
        <v>0.999</v>
      </c>
      <c r="R160">
        <v>1E-3</v>
      </c>
      <c r="S160">
        <v>160.74247969999999</v>
      </c>
      <c r="T160">
        <v>0.15088031800000001</v>
      </c>
      <c r="U160">
        <v>16.488</v>
      </c>
      <c r="V160">
        <v>24.2578</v>
      </c>
      <c r="W160">
        <v>12.0358</v>
      </c>
      <c r="X160">
        <v>30.871300000000002</v>
      </c>
    </row>
    <row r="161" spans="1:24" x14ac:dyDescent="0.2">
      <c r="A161" t="s">
        <v>32</v>
      </c>
      <c r="B161" t="s">
        <v>2</v>
      </c>
      <c r="C161" t="s">
        <v>13</v>
      </c>
      <c r="D161">
        <v>3</v>
      </c>
      <c r="E161">
        <v>170</v>
      </c>
      <c r="F161">
        <v>9.1</v>
      </c>
      <c r="G161">
        <v>0.8</v>
      </c>
      <c r="H161">
        <v>658</v>
      </c>
      <c r="I161">
        <v>14.3</v>
      </c>
      <c r="J161">
        <v>9.1</v>
      </c>
      <c r="K161">
        <v>7</v>
      </c>
      <c r="L161">
        <v>0.46700000000000003</v>
      </c>
      <c r="M161" s="4">
        <v>735000000000000</v>
      </c>
      <c r="N161" s="4">
        <v>2.94E+16</v>
      </c>
      <c r="O161" s="4">
        <v>3.02E+16</v>
      </c>
      <c r="P161">
        <v>5.03</v>
      </c>
      <c r="Q161">
        <v>0.98899999999999999</v>
      </c>
      <c r="R161">
        <v>1.0999999999999999E-2</v>
      </c>
      <c r="S161">
        <v>84.486457439999995</v>
      </c>
      <c r="T161">
        <v>0.90343056300000002</v>
      </c>
      <c r="U161">
        <v>13.4274</v>
      </c>
      <c r="V161">
        <v>18.350200000000001</v>
      </c>
      <c r="W161">
        <v>11.763400000000001</v>
      </c>
      <c r="X161">
        <v>35.619799999999998</v>
      </c>
    </row>
    <row r="162" spans="1:24" x14ac:dyDescent="0.2">
      <c r="A162" t="s">
        <v>32</v>
      </c>
      <c r="B162" t="s">
        <v>2</v>
      </c>
      <c r="C162" t="s">
        <v>8</v>
      </c>
      <c r="D162">
        <v>2</v>
      </c>
      <c r="E162">
        <v>160</v>
      </c>
      <c r="F162">
        <v>18.600000000000001</v>
      </c>
      <c r="G162">
        <v>1.6</v>
      </c>
      <c r="H162">
        <v>1148</v>
      </c>
      <c r="I162">
        <v>13.6</v>
      </c>
      <c r="J162">
        <v>11.3</v>
      </c>
      <c r="K162">
        <v>7</v>
      </c>
      <c r="L162">
        <v>0.65700000000000003</v>
      </c>
      <c r="M162" s="4">
        <v>1830000000000000</v>
      </c>
      <c r="N162" s="4">
        <v>3.23E+16</v>
      </c>
      <c r="O162" s="4">
        <v>3.41E+16</v>
      </c>
      <c r="P162">
        <v>17.88</v>
      </c>
      <c r="Q162" t="s">
        <v>24</v>
      </c>
      <c r="R162" t="s">
        <v>24</v>
      </c>
      <c r="S162" t="s">
        <v>24</v>
      </c>
      <c r="T162" t="s">
        <v>24</v>
      </c>
      <c r="U162">
        <v>16.552800000000001</v>
      </c>
      <c r="V162">
        <v>23.402000000000001</v>
      </c>
      <c r="W162">
        <v>11.896100000000001</v>
      </c>
      <c r="X162">
        <v>29.354399999999998</v>
      </c>
    </row>
    <row r="163" spans="1:24" x14ac:dyDescent="0.2">
      <c r="A163" t="s">
        <v>32</v>
      </c>
      <c r="B163" t="s">
        <v>2</v>
      </c>
      <c r="C163" t="s">
        <v>13</v>
      </c>
      <c r="D163">
        <v>3</v>
      </c>
      <c r="E163">
        <v>280</v>
      </c>
      <c r="F163">
        <v>9.1</v>
      </c>
      <c r="G163">
        <v>0.8</v>
      </c>
      <c r="H163">
        <v>658</v>
      </c>
      <c r="I163">
        <v>14.3</v>
      </c>
      <c r="J163">
        <v>11.6</v>
      </c>
      <c r="K163">
        <v>7</v>
      </c>
      <c r="L163">
        <v>0.65700000000000003</v>
      </c>
      <c r="M163" s="4">
        <v>726000000000000</v>
      </c>
      <c r="N163" s="4">
        <v>2.98E+16</v>
      </c>
      <c r="O163" s="4">
        <v>3.05E+16</v>
      </c>
      <c r="P163">
        <v>5.4</v>
      </c>
      <c r="Q163" t="s">
        <v>24</v>
      </c>
      <c r="R163" t="s">
        <v>24</v>
      </c>
      <c r="S163" t="s">
        <v>24</v>
      </c>
      <c r="T163" t="s">
        <v>24</v>
      </c>
      <c r="U163">
        <v>13.0108</v>
      </c>
      <c r="V163">
        <v>16.790600000000001</v>
      </c>
      <c r="W163">
        <v>11.315200000000001</v>
      </c>
      <c r="X163">
        <v>32.335500000000003</v>
      </c>
    </row>
    <row r="164" spans="1:24" x14ac:dyDescent="0.2">
      <c r="A164" t="s">
        <v>32</v>
      </c>
      <c r="B164" t="s">
        <v>2</v>
      </c>
      <c r="C164" t="s">
        <v>13</v>
      </c>
      <c r="D164">
        <v>3</v>
      </c>
      <c r="E164">
        <v>140</v>
      </c>
      <c r="F164">
        <v>9.1</v>
      </c>
      <c r="G164">
        <v>0.8</v>
      </c>
      <c r="H164">
        <v>658</v>
      </c>
      <c r="I164">
        <v>14.3</v>
      </c>
      <c r="J164">
        <v>13</v>
      </c>
      <c r="K164">
        <v>7</v>
      </c>
      <c r="L164">
        <v>0.13800000000000001</v>
      </c>
      <c r="M164" s="4">
        <v>737000000000000</v>
      </c>
      <c r="N164" s="4">
        <v>2.86E+16</v>
      </c>
      <c r="O164" s="4">
        <v>2.94E+16</v>
      </c>
      <c r="P164">
        <v>4.05</v>
      </c>
      <c r="Q164" t="s">
        <v>24</v>
      </c>
      <c r="R164" t="s">
        <v>24</v>
      </c>
      <c r="S164" t="s">
        <v>24</v>
      </c>
      <c r="T164" t="s">
        <v>24</v>
      </c>
      <c r="U164">
        <v>12.8986</v>
      </c>
      <c r="V164">
        <v>16.602900000000002</v>
      </c>
      <c r="W164">
        <v>11.9947</v>
      </c>
      <c r="X164">
        <v>39.236899999999999</v>
      </c>
    </row>
    <row r="165" spans="1:24" x14ac:dyDescent="0.2">
      <c r="A165" t="s">
        <v>32</v>
      </c>
      <c r="B165" t="s">
        <v>2</v>
      </c>
      <c r="C165" t="s">
        <v>8</v>
      </c>
      <c r="D165">
        <v>2</v>
      </c>
      <c r="E165">
        <v>140</v>
      </c>
      <c r="F165">
        <v>18.600000000000001</v>
      </c>
      <c r="G165">
        <v>1.6</v>
      </c>
      <c r="H165">
        <v>1148</v>
      </c>
      <c r="I165">
        <v>13.6</v>
      </c>
      <c r="J165">
        <v>13.3</v>
      </c>
      <c r="K165">
        <v>7</v>
      </c>
      <c r="L165">
        <v>0.11</v>
      </c>
      <c r="M165" s="4">
        <v>1830000000000000</v>
      </c>
      <c r="N165" s="4">
        <v>3.12E+16</v>
      </c>
      <c r="O165" s="4">
        <v>3.3E+16</v>
      </c>
      <c r="P165">
        <v>16.71</v>
      </c>
      <c r="Q165" t="s">
        <v>24</v>
      </c>
      <c r="R165" t="s">
        <v>24</v>
      </c>
      <c r="S165" t="s">
        <v>24</v>
      </c>
      <c r="T165" t="s">
        <v>24</v>
      </c>
      <c r="U165">
        <v>16.41</v>
      </c>
      <c r="V165">
        <v>23.691199999999998</v>
      </c>
      <c r="W165">
        <v>12.072699999999999</v>
      </c>
      <c r="X165">
        <v>29.765599999999999</v>
      </c>
    </row>
    <row r="166" spans="1:24" x14ac:dyDescent="0.2">
      <c r="A166" t="s">
        <v>32</v>
      </c>
      <c r="B166" t="s">
        <v>2</v>
      </c>
      <c r="C166" t="s">
        <v>8</v>
      </c>
      <c r="D166">
        <v>2</v>
      </c>
      <c r="E166">
        <v>155</v>
      </c>
      <c r="F166">
        <v>18.600000000000001</v>
      </c>
      <c r="G166">
        <v>1.6</v>
      </c>
      <c r="H166">
        <v>1148</v>
      </c>
      <c r="I166">
        <v>13.6</v>
      </c>
      <c r="J166">
        <v>19.3</v>
      </c>
      <c r="K166">
        <v>7</v>
      </c>
      <c r="L166">
        <v>0.13600000000000001</v>
      </c>
      <c r="M166" s="4">
        <v>1800000000000000</v>
      </c>
      <c r="N166" s="4">
        <v>2.76E+16</v>
      </c>
      <c r="O166" s="4">
        <v>2.94E+16</v>
      </c>
      <c r="P166">
        <v>19.690000000000001</v>
      </c>
      <c r="Q166" t="s">
        <v>24</v>
      </c>
      <c r="R166" t="s">
        <v>24</v>
      </c>
      <c r="S166" t="s">
        <v>24</v>
      </c>
      <c r="T166" t="s">
        <v>24</v>
      </c>
      <c r="U166">
        <v>15.556699999999999</v>
      </c>
      <c r="V166">
        <v>23.4023</v>
      </c>
      <c r="W166">
        <v>12.1797</v>
      </c>
      <c r="X166">
        <v>35.533000000000001</v>
      </c>
    </row>
    <row r="167" spans="1:24" x14ac:dyDescent="0.2">
      <c r="A167" t="s">
        <v>32</v>
      </c>
      <c r="B167" t="s">
        <v>2</v>
      </c>
      <c r="C167" t="s">
        <v>8</v>
      </c>
      <c r="D167">
        <v>3</v>
      </c>
      <c r="E167">
        <v>150</v>
      </c>
      <c r="F167">
        <v>18.600000000000001</v>
      </c>
      <c r="G167">
        <v>1.6</v>
      </c>
      <c r="H167">
        <v>1148</v>
      </c>
      <c r="I167">
        <v>13.6</v>
      </c>
      <c r="J167">
        <v>19.399999999999999</v>
      </c>
      <c r="K167">
        <v>7</v>
      </c>
      <c r="L167">
        <v>0.15</v>
      </c>
      <c r="M167" s="4">
        <v>1590000000000000</v>
      </c>
      <c r="N167" s="4">
        <v>3.69E+16</v>
      </c>
      <c r="O167" s="4">
        <v>3.85E+16</v>
      </c>
      <c r="P167">
        <v>14.34</v>
      </c>
      <c r="Q167" t="s">
        <v>24</v>
      </c>
      <c r="R167" t="s">
        <v>24</v>
      </c>
      <c r="S167" t="s">
        <v>24</v>
      </c>
      <c r="T167" t="s">
        <v>24</v>
      </c>
      <c r="U167">
        <v>14.587400000000001</v>
      </c>
      <c r="V167">
        <v>20.270499999999998</v>
      </c>
      <c r="W167">
        <v>11.5862</v>
      </c>
      <c r="X167">
        <v>32.088500000000003</v>
      </c>
    </row>
    <row r="168" spans="1:24" x14ac:dyDescent="0.2">
      <c r="A168" t="s">
        <v>32</v>
      </c>
      <c r="B168" t="s">
        <v>2</v>
      </c>
      <c r="C168" t="s">
        <v>8</v>
      </c>
      <c r="D168">
        <v>3</v>
      </c>
      <c r="E168">
        <v>120</v>
      </c>
      <c r="F168">
        <v>18.600000000000001</v>
      </c>
      <c r="G168">
        <v>1.6</v>
      </c>
      <c r="H168">
        <v>1148</v>
      </c>
      <c r="I168">
        <v>13.6</v>
      </c>
      <c r="J168">
        <v>19.5</v>
      </c>
      <c r="K168">
        <v>7</v>
      </c>
      <c r="L168">
        <v>0.15</v>
      </c>
      <c r="M168" s="4">
        <v>1600000000000000</v>
      </c>
      <c r="N168" s="4">
        <v>3.85E+16</v>
      </c>
      <c r="O168" s="4">
        <v>4.01E+16</v>
      </c>
      <c r="P168">
        <v>6.53</v>
      </c>
      <c r="Q168" t="s">
        <v>24</v>
      </c>
      <c r="R168" t="s">
        <v>24</v>
      </c>
      <c r="S168" t="s">
        <v>24</v>
      </c>
      <c r="T168" t="s">
        <v>24</v>
      </c>
      <c r="U168">
        <v>14.1251</v>
      </c>
      <c r="V168">
        <v>27.1675</v>
      </c>
      <c r="W168">
        <v>11.9499</v>
      </c>
      <c r="X168">
        <v>60.720999999999997</v>
      </c>
    </row>
    <row r="169" spans="1:24" x14ac:dyDescent="0.2">
      <c r="A169" t="s">
        <v>32</v>
      </c>
      <c r="B169" t="s">
        <v>2</v>
      </c>
      <c r="C169" t="s">
        <v>8</v>
      </c>
      <c r="D169">
        <v>3</v>
      </c>
      <c r="E169">
        <v>190</v>
      </c>
      <c r="F169">
        <v>18.600000000000001</v>
      </c>
      <c r="G169">
        <v>1.6</v>
      </c>
      <c r="H169">
        <v>1148</v>
      </c>
      <c r="I169">
        <v>13.6</v>
      </c>
      <c r="J169">
        <v>19.7</v>
      </c>
      <c r="K169">
        <v>7</v>
      </c>
      <c r="L169">
        <v>0.15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>
        <v>13.7653</v>
      </c>
      <c r="V169">
        <v>22.871200000000002</v>
      </c>
      <c r="W169">
        <v>11.9808</v>
      </c>
      <c r="X169">
        <v>39.694899999999997</v>
      </c>
    </row>
    <row r="170" spans="1:24" x14ac:dyDescent="0.2">
      <c r="A170" t="s">
        <v>32</v>
      </c>
      <c r="B170" t="s">
        <v>2</v>
      </c>
      <c r="C170" t="s">
        <v>8</v>
      </c>
      <c r="D170">
        <v>2</v>
      </c>
      <c r="E170">
        <v>150</v>
      </c>
      <c r="F170">
        <v>18.600000000000001</v>
      </c>
      <c r="G170">
        <v>1.6</v>
      </c>
      <c r="H170">
        <v>1148</v>
      </c>
      <c r="I170">
        <v>13.6</v>
      </c>
      <c r="J170">
        <v>19.899999999999999</v>
      </c>
      <c r="K170">
        <v>7</v>
      </c>
      <c r="L170">
        <v>0.123</v>
      </c>
      <c r="M170" s="4">
        <v>1670000000000000</v>
      </c>
      <c r="N170" s="4">
        <v>2.75E+16</v>
      </c>
      <c r="O170" s="4">
        <v>2.91E+16</v>
      </c>
      <c r="P170">
        <v>14.33</v>
      </c>
      <c r="Q170" t="s">
        <v>24</v>
      </c>
      <c r="R170" t="s">
        <v>24</v>
      </c>
      <c r="S170" t="s">
        <v>24</v>
      </c>
      <c r="T170" t="s">
        <v>24</v>
      </c>
      <c r="U170">
        <v>15.229200000000001</v>
      </c>
      <c r="V170">
        <v>22.901599999999998</v>
      </c>
      <c r="W170">
        <v>12.0341</v>
      </c>
      <c r="X170">
        <v>35.162799999999997</v>
      </c>
    </row>
    <row r="171" spans="1:24" x14ac:dyDescent="0.2">
      <c r="A171" t="s">
        <v>32</v>
      </c>
      <c r="B171" t="s">
        <v>3</v>
      </c>
      <c r="C171" t="s">
        <v>8</v>
      </c>
      <c r="D171">
        <v>2</v>
      </c>
      <c r="E171">
        <v>130</v>
      </c>
      <c r="F171">
        <v>21.8</v>
      </c>
      <c r="G171">
        <v>1.3</v>
      </c>
      <c r="H171">
        <v>188</v>
      </c>
      <c r="I171">
        <v>13.5</v>
      </c>
      <c r="J171">
        <v>26.1</v>
      </c>
      <c r="K171">
        <v>7</v>
      </c>
      <c r="L171" t="s">
        <v>24</v>
      </c>
      <c r="M171" s="4">
        <v>1.37E+16</v>
      </c>
      <c r="N171" s="4">
        <v>-4950000000000000</v>
      </c>
      <c r="O171" s="4">
        <v>8700000000000000</v>
      </c>
      <c r="P171">
        <v>3.18</v>
      </c>
      <c r="Q171">
        <v>0.89200000000000002</v>
      </c>
      <c r="R171">
        <v>0.108</v>
      </c>
      <c r="S171" t="s">
        <v>24</v>
      </c>
      <c r="T171" t="s">
        <v>24</v>
      </c>
      <c r="U171">
        <v>11.760300000000001</v>
      </c>
      <c r="V171">
        <v>22.176300000000001</v>
      </c>
      <c r="W171" t="s">
        <v>24</v>
      </c>
      <c r="X171" t="s">
        <v>24</v>
      </c>
    </row>
    <row r="172" spans="1:24" x14ac:dyDescent="0.2">
      <c r="A172" t="s">
        <v>32</v>
      </c>
      <c r="B172" t="s">
        <v>3</v>
      </c>
      <c r="C172" t="s">
        <v>18</v>
      </c>
      <c r="D172">
        <v>3</v>
      </c>
      <c r="E172">
        <v>180</v>
      </c>
      <c r="F172">
        <v>10.199999999999999</v>
      </c>
      <c r="G172">
        <v>0.65</v>
      </c>
      <c r="H172">
        <v>276</v>
      </c>
      <c r="I172">
        <v>14.4</v>
      </c>
      <c r="J172">
        <v>26.1</v>
      </c>
      <c r="K172">
        <v>7</v>
      </c>
      <c r="L172" t="s">
        <v>24</v>
      </c>
      <c r="M172" s="4">
        <v>1.17E+16</v>
      </c>
      <c r="N172" s="4">
        <v>-3540000000000000</v>
      </c>
      <c r="O172" s="4">
        <v>8190000000000000</v>
      </c>
      <c r="P172">
        <v>4.8099999999999996</v>
      </c>
      <c r="Q172">
        <v>0.879</v>
      </c>
      <c r="R172">
        <v>0.121</v>
      </c>
      <c r="S172" t="s">
        <v>24</v>
      </c>
      <c r="T172" t="s">
        <v>24</v>
      </c>
      <c r="U172">
        <v>11.004</v>
      </c>
      <c r="V172">
        <v>20.434799999999999</v>
      </c>
      <c r="W172" t="s">
        <v>24</v>
      </c>
      <c r="X172" t="s">
        <v>24</v>
      </c>
    </row>
    <row r="173" spans="1:24" x14ac:dyDescent="0.2">
      <c r="A173" t="s">
        <v>32</v>
      </c>
      <c r="B173" t="s">
        <v>3</v>
      </c>
      <c r="C173" t="s">
        <v>8</v>
      </c>
      <c r="D173">
        <v>3</v>
      </c>
      <c r="E173">
        <v>110</v>
      </c>
      <c r="F173">
        <v>21.8</v>
      </c>
      <c r="G173">
        <v>1.3</v>
      </c>
      <c r="H173">
        <v>188</v>
      </c>
      <c r="I173">
        <v>13.5</v>
      </c>
      <c r="J173">
        <v>28.3</v>
      </c>
      <c r="K173">
        <v>7</v>
      </c>
      <c r="L173" t="s">
        <v>24</v>
      </c>
      <c r="M173" s="4">
        <v>762000000000000</v>
      </c>
      <c r="N173" s="4">
        <v>8920000000000000</v>
      </c>
      <c r="O173" s="4">
        <v>9680000000000000</v>
      </c>
      <c r="P173">
        <v>5.47</v>
      </c>
      <c r="Q173" t="s">
        <v>24</v>
      </c>
      <c r="R173" t="s">
        <v>24</v>
      </c>
      <c r="S173" t="s">
        <v>24</v>
      </c>
      <c r="T173" t="s">
        <v>24</v>
      </c>
      <c r="U173">
        <v>11.6897</v>
      </c>
      <c r="V173">
        <v>25.192799999999998</v>
      </c>
      <c r="W173" t="s">
        <v>24</v>
      </c>
      <c r="X173" t="s">
        <v>24</v>
      </c>
    </row>
    <row r="174" spans="1:24" x14ac:dyDescent="0.2">
      <c r="A174" t="s">
        <v>32</v>
      </c>
      <c r="B174" t="s">
        <v>3</v>
      </c>
      <c r="C174" t="s">
        <v>8</v>
      </c>
      <c r="D174">
        <v>3</v>
      </c>
      <c r="E174">
        <v>161</v>
      </c>
      <c r="F174">
        <v>21.8</v>
      </c>
      <c r="G174">
        <v>1.3</v>
      </c>
      <c r="H174">
        <v>188</v>
      </c>
      <c r="I174">
        <v>13.5</v>
      </c>
      <c r="J174">
        <v>30.6</v>
      </c>
      <c r="K174">
        <v>7</v>
      </c>
      <c r="L174" t="s">
        <v>24</v>
      </c>
      <c r="M174" s="4">
        <v>1350000000000000</v>
      </c>
      <c r="N174" s="4">
        <v>1.51E+16</v>
      </c>
      <c r="O174" s="4">
        <v>1.65E+16</v>
      </c>
      <c r="P174">
        <v>11.03</v>
      </c>
      <c r="Q174">
        <v>0.89700000000000002</v>
      </c>
      <c r="R174">
        <v>0.10299999999999999</v>
      </c>
      <c r="S174" t="s">
        <v>24</v>
      </c>
      <c r="T174" t="s">
        <v>24</v>
      </c>
      <c r="U174">
        <v>13.1541</v>
      </c>
      <c r="V174">
        <v>23.726600000000001</v>
      </c>
      <c r="W174" t="s">
        <v>24</v>
      </c>
      <c r="X174" t="s">
        <v>24</v>
      </c>
    </row>
    <row r="175" spans="1:24" x14ac:dyDescent="0.2">
      <c r="A175" t="s">
        <v>32</v>
      </c>
      <c r="B175" t="s">
        <v>3</v>
      </c>
      <c r="C175" t="s">
        <v>8</v>
      </c>
      <c r="D175">
        <v>3</v>
      </c>
      <c r="E175">
        <v>98</v>
      </c>
      <c r="F175">
        <v>21.8</v>
      </c>
      <c r="G175">
        <v>1.3</v>
      </c>
      <c r="H175">
        <v>188</v>
      </c>
      <c r="I175">
        <v>13.5</v>
      </c>
      <c r="J175">
        <v>30.6</v>
      </c>
      <c r="K175">
        <v>7</v>
      </c>
      <c r="L175" t="s">
        <v>24</v>
      </c>
      <c r="M175" s="4">
        <v>920000000000000</v>
      </c>
      <c r="N175" s="4">
        <v>9250000000000000</v>
      </c>
      <c r="O175" s="4">
        <v>1.02E+16</v>
      </c>
      <c r="P175">
        <v>5.83</v>
      </c>
      <c r="Q175">
        <v>0.879</v>
      </c>
      <c r="R175">
        <v>0.121</v>
      </c>
      <c r="S175" t="s">
        <v>24</v>
      </c>
      <c r="T175" t="s">
        <v>24</v>
      </c>
      <c r="U175">
        <v>11.628299999999999</v>
      </c>
      <c r="V175">
        <v>26.704799999999999</v>
      </c>
      <c r="W175" t="s">
        <v>24</v>
      </c>
      <c r="X175" t="s">
        <v>24</v>
      </c>
    </row>
    <row r="176" spans="1:24" x14ac:dyDescent="0.2">
      <c r="A176" t="s">
        <v>32</v>
      </c>
      <c r="B176" t="s">
        <v>3</v>
      </c>
      <c r="C176" t="s">
        <v>8</v>
      </c>
      <c r="D176">
        <v>2</v>
      </c>
      <c r="E176">
        <v>190</v>
      </c>
      <c r="F176">
        <v>21.8</v>
      </c>
      <c r="G176">
        <v>1.3</v>
      </c>
      <c r="H176">
        <v>188</v>
      </c>
      <c r="I176">
        <v>13.5</v>
      </c>
      <c r="J176">
        <v>10</v>
      </c>
      <c r="K176">
        <v>7</v>
      </c>
      <c r="L176" t="s">
        <v>24</v>
      </c>
      <c r="M176" s="4">
        <v>1050000000000000</v>
      </c>
      <c r="N176" s="4">
        <v>1.56E+16</v>
      </c>
      <c r="O176" s="4">
        <v>1.66E+16</v>
      </c>
      <c r="P176">
        <v>15.07</v>
      </c>
      <c r="Q176">
        <v>0.875</v>
      </c>
      <c r="R176">
        <v>0.125</v>
      </c>
      <c r="S176">
        <v>49.710675000000002</v>
      </c>
      <c r="T176">
        <v>7.1015249999999996</v>
      </c>
      <c r="U176">
        <v>16.968399999999999</v>
      </c>
      <c r="V176">
        <v>29.408300000000001</v>
      </c>
      <c r="W176">
        <v>13.821300000000001</v>
      </c>
      <c r="X176">
        <v>39.4405</v>
      </c>
    </row>
    <row r="177" spans="1:24" x14ac:dyDescent="0.2">
      <c r="A177" t="s">
        <v>32</v>
      </c>
      <c r="B177" t="s">
        <v>3</v>
      </c>
      <c r="C177" t="s">
        <v>8</v>
      </c>
      <c r="D177">
        <v>3</v>
      </c>
      <c r="E177">
        <v>152</v>
      </c>
      <c r="F177">
        <v>21.8</v>
      </c>
      <c r="G177">
        <v>1.3</v>
      </c>
      <c r="H177">
        <v>188</v>
      </c>
      <c r="I177">
        <v>13.5</v>
      </c>
      <c r="J177">
        <v>10</v>
      </c>
      <c r="K177">
        <v>7</v>
      </c>
      <c r="L177" t="s">
        <v>24</v>
      </c>
      <c r="M177" s="4">
        <v>750000000000000</v>
      </c>
      <c r="N177" t="s">
        <v>24</v>
      </c>
      <c r="O177" t="s">
        <v>24</v>
      </c>
      <c r="P177">
        <v>8.19</v>
      </c>
      <c r="Q177">
        <v>0.84499999999999997</v>
      </c>
      <c r="R177">
        <v>0.155</v>
      </c>
      <c r="S177">
        <v>40.429920289999998</v>
      </c>
      <c r="T177">
        <v>7.39289971</v>
      </c>
      <c r="U177">
        <v>15.882400000000001</v>
      </c>
      <c r="V177">
        <v>24.2561</v>
      </c>
      <c r="W177">
        <v>12.125400000000001</v>
      </c>
      <c r="X177">
        <v>34.3187</v>
      </c>
    </row>
    <row r="178" spans="1:24" x14ac:dyDescent="0.2">
      <c r="A178" t="s">
        <v>32</v>
      </c>
      <c r="B178" t="s">
        <v>3</v>
      </c>
      <c r="C178" t="s">
        <v>8</v>
      </c>
      <c r="D178">
        <v>3</v>
      </c>
      <c r="E178">
        <v>380</v>
      </c>
      <c r="F178">
        <v>21.8</v>
      </c>
      <c r="G178">
        <v>1.3</v>
      </c>
      <c r="H178">
        <v>188</v>
      </c>
      <c r="I178">
        <v>13.5</v>
      </c>
      <c r="J178">
        <v>17.2</v>
      </c>
      <c r="K178">
        <v>7</v>
      </c>
      <c r="L178" t="s">
        <v>24</v>
      </c>
      <c r="M178" s="4">
        <v>1000000000000000</v>
      </c>
      <c r="N178" s="4">
        <v>2.32E+16</v>
      </c>
      <c r="O178" s="4">
        <v>2.42E+16</v>
      </c>
      <c r="P178">
        <v>9.77</v>
      </c>
      <c r="Q178">
        <v>0.82099999999999995</v>
      </c>
      <c r="R178">
        <v>0.17899999999999999</v>
      </c>
      <c r="S178">
        <v>48.330647460000002</v>
      </c>
      <c r="T178">
        <v>10.54486854</v>
      </c>
      <c r="U178">
        <v>13.815</v>
      </c>
      <c r="V178">
        <v>21.377600000000001</v>
      </c>
      <c r="W178">
        <v>11.8216</v>
      </c>
      <c r="X178">
        <v>35.987299999999998</v>
      </c>
    </row>
    <row r="179" spans="1:24" x14ac:dyDescent="0.2">
      <c r="A179" t="s">
        <v>32</v>
      </c>
      <c r="B179" t="s">
        <v>3</v>
      </c>
      <c r="C179" t="s">
        <v>8</v>
      </c>
      <c r="D179">
        <v>3</v>
      </c>
      <c r="E179">
        <v>145</v>
      </c>
      <c r="F179">
        <v>21.8</v>
      </c>
      <c r="G179">
        <v>1.3</v>
      </c>
      <c r="H179">
        <v>188</v>
      </c>
      <c r="I179">
        <v>13.5</v>
      </c>
      <c r="J179">
        <v>17.8</v>
      </c>
      <c r="K179">
        <v>7</v>
      </c>
      <c r="L179" t="s">
        <v>24</v>
      </c>
      <c r="M179" s="4">
        <v>1.29E+16</v>
      </c>
      <c r="N179" s="4">
        <v>9040000000000000</v>
      </c>
      <c r="O179" s="4">
        <v>2.19E+16</v>
      </c>
      <c r="P179">
        <v>9.32</v>
      </c>
      <c r="Q179">
        <v>0.81399999999999995</v>
      </c>
      <c r="R179">
        <v>0.186</v>
      </c>
      <c r="S179" t="s">
        <v>24</v>
      </c>
      <c r="T179" t="s">
        <v>24</v>
      </c>
      <c r="U179">
        <v>13.3819</v>
      </c>
      <c r="V179">
        <v>21.128799999999998</v>
      </c>
      <c r="W179" t="s">
        <v>24</v>
      </c>
      <c r="X179" t="s">
        <v>24</v>
      </c>
    </row>
    <row r="180" spans="1:24" x14ac:dyDescent="0.2">
      <c r="A180" t="s">
        <v>32</v>
      </c>
      <c r="B180" t="s">
        <v>3</v>
      </c>
      <c r="C180" t="s">
        <v>8</v>
      </c>
      <c r="D180">
        <v>2</v>
      </c>
      <c r="E180">
        <v>160</v>
      </c>
      <c r="F180">
        <v>21.8</v>
      </c>
      <c r="G180">
        <v>1.3</v>
      </c>
      <c r="H180">
        <v>188</v>
      </c>
      <c r="I180">
        <v>13.5</v>
      </c>
      <c r="J180">
        <v>17.8</v>
      </c>
      <c r="K180">
        <v>7</v>
      </c>
      <c r="L180" t="s">
        <v>24</v>
      </c>
      <c r="M180" s="4">
        <v>1310000000000000</v>
      </c>
      <c r="N180" s="4">
        <v>1.68E+16</v>
      </c>
      <c r="O180" s="4">
        <v>1.81E+16</v>
      </c>
      <c r="P180">
        <v>20.18</v>
      </c>
      <c r="Q180">
        <v>0.754</v>
      </c>
      <c r="R180">
        <v>0.246</v>
      </c>
      <c r="S180">
        <v>44.272952959999998</v>
      </c>
      <c r="T180">
        <v>14.48180704</v>
      </c>
      <c r="U180">
        <v>14.3941</v>
      </c>
      <c r="V180">
        <v>30.176200000000001</v>
      </c>
      <c r="W180">
        <v>14.498100000000001</v>
      </c>
      <c r="X180">
        <v>39.746000000000002</v>
      </c>
    </row>
    <row r="181" spans="1:24" x14ac:dyDescent="0.2">
      <c r="A181" t="s">
        <v>32</v>
      </c>
      <c r="B181" t="s">
        <v>3</v>
      </c>
      <c r="C181" t="s">
        <v>8</v>
      </c>
      <c r="D181">
        <v>3</v>
      </c>
      <c r="E181">
        <v>140</v>
      </c>
      <c r="F181">
        <v>21.8</v>
      </c>
      <c r="G181">
        <v>1.3</v>
      </c>
      <c r="H181">
        <v>188</v>
      </c>
      <c r="I181">
        <v>13.5</v>
      </c>
      <c r="J181">
        <v>16.7</v>
      </c>
      <c r="K181">
        <v>7</v>
      </c>
      <c r="L181" t="s">
        <v>24</v>
      </c>
      <c r="M181" s="4">
        <v>796000000000000</v>
      </c>
      <c r="N181" s="4">
        <v>1.59E+16</v>
      </c>
      <c r="O181" s="4">
        <v>1.67E+16</v>
      </c>
      <c r="P181">
        <v>8.0299999999999994</v>
      </c>
      <c r="Q181">
        <v>0.73</v>
      </c>
      <c r="R181">
        <v>0.27</v>
      </c>
      <c r="S181">
        <v>29.323478040000001</v>
      </c>
      <c r="T181">
        <v>10.869909959999999</v>
      </c>
      <c r="U181">
        <v>12.459099999999999</v>
      </c>
      <c r="V181">
        <v>24.659700000000001</v>
      </c>
      <c r="W181">
        <v>13.511200000000001</v>
      </c>
      <c r="X181">
        <v>43.976799999999997</v>
      </c>
    </row>
    <row r="182" spans="1:24" x14ac:dyDescent="0.2">
      <c r="A182" t="s">
        <v>32</v>
      </c>
      <c r="B182" t="s">
        <v>3</v>
      </c>
      <c r="C182" t="s">
        <v>8</v>
      </c>
      <c r="D182">
        <v>3</v>
      </c>
      <c r="E182">
        <v>475</v>
      </c>
      <c r="F182">
        <v>21.8</v>
      </c>
      <c r="G182">
        <v>1.3</v>
      </c>
      <c r="H182">
        <v>188</v>
      </c>
      <c r="I182">
        <v>13.5</v>
      </c>
      <c r="J182">
        <v>17.2</v>
      </c>
      <c r="K182">
        <v>7</v>
      </c>
      <c r="L182" t="s">
        <v>24</v>
      </c>
      <c r="M182" s="4">
        <v>793000000000000</v>
      </c>
      <c r="N182" s="4">
        <v>1.97E+16</v>
      </c>
      <c r="O182" s="4">
        <v>2.05E+16</v>
      </c>
      <c r="P182">
        <v>18.149999999999999</v>
      </c>
      <c r="Q182">
        <v>0.69599999999999995</v>
      </c>
      <c r="R182">
        <v>0.30399999999999999</v>
      </c>
      <c r="S182">
        <v>28.321850179999998</v>
      </c>
      <c r="T182">
        <v>12.36438982</v>
      </c>
      <c r="U182">
        <v>12.160500000000001</v>
      </c>
      <c r="V182">
        <v>25.395700000000001</v>
      </c>
      <c r="W182">
        <v>12.996700000000001</v>
      </c>
      <c r="X182">
        <v>51.893500000000003</v>
      </c>
    </row>
    <row r="183" spans="1:24" x14ac:dyDescent="0.2">
      <c r="A183" t="s">
        <v>32</v>
      </c>
      <c r="B183" t="s">
        <v>3</v>
      </c>
      <c r="C183" t="s">
        <v>8</v>
      </c>
      <c r="D183">
        <v>3</v>
      </c>
      <c r="E183">
        <v>135</v>
      </c>
      <c r="F183">
        <v>21.8</v>
      </c>
      <c r="G183">
        <v>1.3</v>
      </c>
      <c r="H183">
        <v>188</v>
      </c>
      <c r="I183">
        <v>13.5</v>
      </c>
      <c r="J183">
        <v>17.2</v>
      </c>
      <c r="K183">
        <v>7</v>
      </c>
      <c r="L183" t="s">
        <v>24</v>
      </c>
      <c r="M183" s="4">
        <v>812000000000000</v>
      </c>
      <c r="N183" s="4">
        <v>1.91E+16</v>
      </c>
      <c r="O183" s="4">
        <v>1.99E+16</v>
      </c>
      <c r="P183">
        <v>7.66</v>
      </c>
      <c r="Q183">
        <v>0.70699999999999996</v>
      </c>
      <c r="R183">
        <v>0.29299999999999998</v>
      </c>
      <c r="S183">
        <v>29.42657664</v>
      </c>
      <c r="T183">
        <v>12.180231360000001</v>
      </c>
      <c r="U183">
        <v>12.254899999999999</v>
      </c>
      <c r="V183">
        <v>25.895600000000002</v>
      </c>
      <c r="W183">
        <v>13.380100000000001</v>
      </c>
      <c r="X183">
        <v>37.435899999999997</v>
      </c>
    </row>
    <row r="184" spans="1:24" x14ac:dyDescent="0.2">
      <c r="A184" t="s">
        <v>32</v>
      </c>
      <c r="B184" t="s">
        <v>3</v>
      </c>
      <c r="C184" t="s">
        <v>8</v>
      </c>
      <c r="D184">
        <v>2</v>
      </c>
      <c r="E184">
        <v>130</v>
      </c>
      <c r="F184">
        <v>21.8</v>
      </c>
      <c r="G184">
        <v>1.3</v>
      </c>
      <c r="H184">
        <v>188</v>
      </c>
      <c r="I184">
        <v>13.5</v>
      </c>
      <c r="J184">
        <v>6.1</v>
      </c>
      <c r="K184">
        <v>7</v>
      </c>
      <c r="L184" t="s">
        <v>24</v>
      </c>
      <c r="M184" s="4">
        <v>856000000000000</v>
      </c>
      <c r="N184" s="4">
        <v>1.9E+16</v>
      </c>
      <c r="O184" s="4">
        <v>1.98E+16</v>
      </c>
      <c r="P184">
        <v>14.07</v>
      </c>
      <c r="Q184">
        <v>0.73899999999999999</v>
      </c>
      <c r="R184">
        <v>0.26100000000000001</v>
      </c>
      <c r="S184">
        <v>32.541595940000001</v>
      </c>
      <c r="T184">
        <v>11.467972059999999</v>
      </c>
      <c r="U184">
        <v>14.407999999999999</v>
      </c>
      <c r="V184">
        <v>31.4255</v>
      </c>
      <c r="W184">
        <v>14.187900000000001</v>
      </c>
      <c r="X184">
        <v>50.054099999999998</v>
      </c>
    </row>
    <row r="185" spans="1:24" x14ac:dyDescent="0.2">
      <c r="A185" t="s">
        <v>32</v>
      </c>
      <c r="B185" t="s">
        <v>3</v>
      </c>
      <c r="C185" t="s">
        <v>15</v>
      </c>
      <c r="D185">
        <v>3</v>
      </c>
      <c r="E185">
        <v>155</v>
      </c>
      <c r="F185">
        <v>0.4</v>
      </c>
      <c r="G185">
        <v>0</v>
      </c>
      <c r="H185">
        <v>6</v>
      </c>
      <c r="I185">
        <v>15.3</v>
      </c>
      <c r="J185">
        <v>6.7</v>
      </c>
      <c r="K185">
        <v>7</v>
      </c>
      <c r="L185" t="s">
        <v>24</v>
      </c>
      <c r="M185" s="4">
        <v>242000000000000</v>
      </c>
      <c r="N185" s="4">
        <v>7370000000000000</v>
      </c>
      <c r="O185" s="4">
        <v>7610000000000000</v>
      </c>
      <c r="P185">
        <v>4.22</v>
      </c>
      <c r="Q185">
        <v>0.70599999999999996</v>
      </c>
      <c r="R185">
        <v>0.29399999999999998</v>
      </c>
      <c r="S185">
        <v>10.23127624</v>
      </c>
      <c r="T185">
        <v>4.263031765</v>
      </c>
      <c r="U185">
        <v>11.568300000000001</v>
      </c>
      <c r="V185">
        <v>40.002099999999999</v>
      </c>
      <c r="W185">
        <v>13.053000000000001</v>
      </c>
      <c r="X185">
        <v>77.894999999999996</v>
      </c>
    </row>
    <row r="186" spans="1:24" x14ac:dyDescent="0.2">
      <c r="A186" t="s">
        <v>32</v>
      </c>
      <c r="B186" t="s">
        <v>3</v>
      </c>
      <c r="C186" t="s">
        <v>15</v>
      </c>
      <c r="D186">
        <v>3</v>
      </c>
      <c r="E186">
        <v>675</v>
      </c>
      <c r="F186">
        <v>0.4</v>
      </c>
      <c r="G186">
        <v>0</v>
      </c>
      <c r="H186">
        <v>6</v>
      </c>
      <c r="I186">
        <v>15.3</v>
      </c>
      <c r="J186">
        <v>11.7</v>
      </c>
      <c r="K186">
        <v>7</v>
      </c>
      <c r="L186" t="s">
        <v>24</v>
      </c>
      <c r="M186" s="4">
        <v>324000000000000</v>
      </c>
      <c r="N186" s="4">
        <v>8800000000000000</v>
      </c>
      <c r="O186" s="4">
        <v>9130000000000000</v>
      </c>
      <c r="P186">
        <v>5.34</v>
      </c>
      <c r="Q186">
        <v>0.72599999999999998</v>
      </c>
      <c r="R186">
        <v>0.27400000000000002</v>
      </c>
      <c r="S186">
        <v>51.237216490000002</v>
      </c>
      <c r="T186">
        <v>19.34831951</v>
      </c>
      <c r="U186">
        <v>14.339600000000001</v>
      </c>
      <c r="V186">
        <v>38.513399999999997</v>
      </c>
      <c r="W186">
        <v>17.9511</v>
      </c>
      <c r="X186">
        <v>108.39100000000001</v>
      </c>
    </row>
    <row r="187" spans="1:24" x14ac:dyDescent="0.2">
      <c r="A187" t="s">
        <v>32</v>
      </c>
      <c r="B187" t="s">
        <v>3</v>
      </c>
      <c r="C187" t="s">
        <v>15</v>
      </c>
      <c r="D187">
        <v>3</v>
      </c>
      <c r="E187">
        <v>187</v>
      </c>
      <c r="F187">
        <v>0.4</v>
      </c>
      <c r="G187">
        <v>0</v>
      </c>
      <c r="H187">
        <v>6</v>
      </c>
      <c r="I187">
        <v>15.3</v>
      </c>
      <c r="J187">
        <v>11.7</v>
      </c>
      <c r="K187">
        <v>7</v>
      </c>
      <c r="L187" t="s">
        <v>24</v>
      </c>
      <c r="M187" s="4">
        <v>45900000000000</v>
      </c>
      <c r="N187" s="4">
        <v>6360000000000000</v>
      </c>
      <c r="O187" s="4">
        <v>6400000000000000</v>
      </c>
      <c r="P187">
        <v>9.3000000000000007</v>
      </c>
      <c r="Q187">
        <v>0.64500000000000002</v>
      </c>
      <c r="R187">
        <v>0.35499999999999998</v>
      </c>
      <c r="S187" t="s">
        <v>24</v>
      </c>
      <c r="T187" t="s">
        <v>24</v>
      </c>
      <c r="U187" t="s">
        <v>24</v>
      </c>
      <c r="V187" t="s">
        <v>24</v>
      </c>
      <c r="W187">
        <v>24.910799999999998</v>
      </c>
      <c r="X187">
        <v>84.056600000000003</v>
      </c>
    </row>
    <row r="188" spans="1:24" x14ac:dyDescent="0.2">
      <c r="A188" t="s">
        <v>32</v>
      </c>
      <c r="B188" t="s">
        <v>3</v>
      </c>
      <c r="C188" t="s">
        <v>8</v>
      </c>
      <c r="D188">
        <v>2</v>
      </c>
      <c r="E188">
        <v>145</v>
      </c>
      <c r="F188">
        <v>21.8</v>
      </c>
      <c r="G188">
        <v>1.3</v>
      </c>
      <c r="H188">
        <v>188</v>
      </c>
      <c r="I188">
        <v>13.5</v>
      </c>
      <c r="J188">
        <v>16.7</v>
      </c>
      <c r="K188">
        <v>7</v>
      </c>
      <c r="L188" t="s">
        <v>24</v>
      </c>
      <c r="M188" s="4">
        <v>1200000000000000</v>
      </c>
      <c r="N188" s="4">
        <v>2.19E+16</v>
      </c>
      <c r="O188" s="4">
        <v>2.31E+16</v>
      </c>
      <c r="P188">
        <v>16.38</v>
      </c>
      <c r="Q188">
        <v>0.73499999999999999</v>
      </c>
      <c r="R188">
        <v>0.26500000000000001</v>
      </c>
      <c r="S188">
        <v>48.542164900000003</v>
      </c>
      <c r="T188">
        <v>17.529115099999999</v>
      </c>
      <c r="U188">
        <v>14.9777</v>
      </c>
      <c r="V188">
        <v>30.627500000000001</v>
      </c>
      <c r="W188">
        <v>14.0548</v>
      </c>
      <c r="X188">
        <v>42.758499999999998</v>
      </c>
    </row>
    <row r="189" spans="1:24" x14ac:dyDescent="0.2">
      <c r="A189" t="s">
        <v>32</v>
      </c>
      <c r="B189" t="s">
        <v>3</v>
      </c>
      <c r="C189" t="s">
        <v>15</v>
      </c>
      <c r="D189">
        <v>3</v>
      </c>
      <c r="E189">
        <v>130</v>
      </c>
      <c r="F189">
        <v>0.4</v>
      </c>
      <c r="G189">
        <v>0</v>
      </c>
      <c r="H189">
        <v>6</v>
      </c>
      <c r="I189">
        <v>15.3</v>
      </c>
      <c r="J189">
        <v>16.7</v>
      </c>
      <c r="K189">
        <v>7</v>
      </c>
      <c r="L189" t="s">
        <v>24</v>
      </c>
      <c r="M189" s="4">
        <v>47200000000000</v>
      </c>
      <c r="N189" s="4">
        <v>4400000000000000</v>
      </c>
      <c r="O189" s="4">
        <v>4450000000000000</v>
      </c>
      <c r="P189">
        <v>5.83</v>
      </c>
      <c r="Q189">
        <v>0.64800000000000002</v>
      </c>
      <c r="R189">
        <v>0.35199999999999998</v>
      </c>
      <c r="S189">
        <v>2.2004522240000002</v>
      </c>
      <c r="T189">
        <v>1.1937093759999999</v>
      </c>
      <c r="U189">
        <v>10.232699999999999</v>
      </c>
      <c r="V189">
        <v>17.321200000000001</v>
      </c>
      <c r="W189">
        <v>15.0785</v>
      </c>
      <c r="X189">
        <v>51.878999999999998</v>
      </c>
    </row>
    <row r="190" spans="1:24" x14ac:dyDescent="0.2">
      <c r="A190" t="s">
        <v>32</v>
      </c>
      <c r="B190" t="s">
        <v>3</v>
      </c>
      <c r="C190" t="s">
        <v>15</v>
      </c>
      <c r="D190">
        <v>3</v>
      </c>
      <c r="E190">
        <v>560</v>
      </c>
      <c r="F190">
        <v>0.4</v>
      </c>
      <c r="G190">
        <v>0</v>
      </c>
      <c r="H190">
        <v>6</v>
      </c>
      <c r="I190">
        <v>15.3</v>
      </c>
      <c r="J190">
        <v>17.2</v>
      </c>
      <c r="K190">
        <v>7</v>
      </c>
      <c r="L190" t="s">
        <v>24</v>
      </c>
      <c r="M190" s="4">
        <v>30700000000000</v>
      </c>
      <c r="N190" s="4">
        <v>4740000000000000</v>
      </c>
      <c r="O190" s="4">
        <v>4770000000000000</v>
      </c>
      <c r="P190">
        <v>2.98</v>
      </c>
      <c r="Q190">
        <v>0.65400000000000003</v>
      </c>
      <c r="R190">
        <v>0.34599999999999997</v>
      </c>
      <c r="S190">
        <v>4.5943118810000003</v>
      </c>
      <c r="T190">
        <v>2.4340725189999999</v>
      </c>
      <c r="U190">
        <v>10.199400000000001</v>
      </c>
      <c r="V190">
        <v>72.540400000000005</v>
      </c>
      <c r="W190">
        <v>19.541899999999998</v>
      </c>
      <c r="X190">
        <v>101.205</v>
      </c>
    </row>
    <row r="191" spans="1:24" x14ac:dyDescent="0.2">
      <c r="A191" t="s">
        <v>32</v>
      </c>
      <c r="B191" t="s">
        <v>3</v>
      </c>
      <c r="C191" t="s">
        <v>15</v>
      </c>
      <c r="D191">
        <v>3</v>
      </c>
      <c r="E191">
        <v>130</v>
      </c>
      <c r="F191">
        <v>0.4</v>
      </c>
      <c r="G191">
        <v>0</v>
      </c>
      <c r="H191">
        <v>6</v>
      </c>
      <c r="I191">
        <v>15.3</v>
      </c>
      <c r="J191">
        <v>18.899999999999999</v>
      </c>
      <c r="K191">
        <v>7</v>
      </c>
      <c r="L191" t="s">
        <v>24</v>
      </c>
      <c r="M191" s="4">
        <v>22500000000000</v>
      </c>
      <c r="N191" s="4">
        <v>3510000000000000</v>
      </c>
      <c r="O191" s="4">
        <v>3530000000000000</v>
      </c>
      <c r="P191">
        <v>1.25</v>
      </c>
      <c r="Q191">
        <v>0.67500000000000004</v>
      </c>
      <c r="R191">
        <v>0.32500000000000001</v>
      </c>
      <c r="S191">
        <v>4.1595847170000004</v>
      </c>
      <c r="T191">
        <v>2.0049796830000002</v>
      </c>
      <c r="U191">
        <v>10.031499999999999</v>
      </c>
      <c r="V191">
        <v>77.203999999999994</v>
      </c>
      <c r="W191">
        <v>18.2409</v>
      </c>
      <c r="X191">
        <v>57.893900000000002</v>
      </c>
    </row>
    <row r="192" spans="1:24" x14ac:dyDescent="0.2">
      <c r="A192" t="s">
        <v>32</v>
      </c>
      <c r="B192" t="s">
        <v>3</v>
      </c>
      <c r="C192" t="s">
        <v>8</v>
      </c>
      <c r="D192">
        <v>2</v>
      </c>
      <c r="E192">
        <v>140</v>
      </c>
      <c r="F192">
        <v>21.8</v>
      </c>
      <c r="G192">
        <v>1.3</v>
      </c>
      <c r="H192">
        <v>188</v>
      </c>
      <c r="I192">
        <v>13.5</v>
      </c>
      <c r="J192">
        <v>21.1</v>
      </c>
      <c r="K192">
        <v>7</v>
      </c>
      <c r="L192" t="s">
        <v>24</v>
      </c>
      <c r="M192" s="4">
        <v>1120000000000000</v>
      </c>
      <c r="N192" s="4">
        <v>1.48E+16</v>
      </c>
      <c r="O192" s="4">
        <v>1.59E+16</v>
      </c>
      <c r="P192">
        <v>13.85</v>
      </c>
      <c r="Q192">
        <v>0.73299999999999998</v>
      </c>
      <c r="R192">
        <v>0.26700000000000002</v>
      </c>
      <c r="S192">
        <v>31.0913152</v>
      </c>
      <c r="T192">
        <v>11.305932800000001</v>
      </c>
      <c r="U192">
        <v>13.8847</v>
      </c>
      <c r="V192">
        <v>28.986000000000001</v>
      </c>
      <c r="W192">
        <v>14.5489</v>
      </c>
      <c r="X192">
        <v>40.7791</v>
      </c>
    </row>
    <row r="193" spans="1:24" x14ac:dyDescent="0.2">
      <c r="A193" t="s">
        <v>32</v>
      </c>
      <c r="B193" t="s">
        <v>3</v>
      </c>
      <c r="C193" t="s">
        <v>15</v>
      </c>
      <c r="D193">
        <v>3</v>
      </c>
      <c r="E193">
        <v>150</v>
      </c>
      <c r="F193">
        <v>0.4</v>
      </c>
      <c r="G193">
        <v>0</v>
      </c>
      <c r="H193">
        <v>6</v>
      </c>
      <c r="I193">
        <v>15.3</v>
      </c>
      <c r="J193">
        <v>21.1</v>
      </c>
      <c r="K193">
        <v>7</v>
      </c>
      <c r="L193" t="s">
        <v>24</v>
      </c>
      <c r="M193" s="4">
        <v>21300000000000</v>
      </c>
      <c r="N193" s="4">
        <v>1490000000000000</v>
      </c>
      <c r="O193" s="4">
        <v>1510000000000000</v>
      </c>
      <c r="P193">
        <v>1.26</v>
      </c>
      <c r="Q193">
        <v>0.70599999999999996</v>
      </c>
      <c r="R193">
        <v>0.29399999999999998</v>
      </c>
      <c r="S193">
        <v>2.9887007040000002</v>
      </c>
      <c r="T193">
        <v>1.2417840959999999</v>
      </c>
      <c r="U193">
        <v>11.587199999999999</v>
      </c>
      <c r="V193">
        <v>49.939700000000002</v>
      </c>
      <c r="W193">
        <v>10.9657</v>
      </c>
      <c r="X193">
        <v>41.840499999999999</v>
      </c>
    </row>
    <row r="194" spans="1:24" x14ac:dyDescent="0.2">
      <c r="A194" t="s">
        <v>32</v>
      </c>
      <c r="B194" t="s">
        <v>3</v>
      </c>
      <c r="C194" t="s">
        <v>15</v>
      </c>
      <c r="D194">
        <v>3</v>
      </c>
      <c r="E194">
        <v>202</v>
      </c>
      <c r="F194">
        <v>0.4</v>
      </c>
      <c r="G194">
        <v>0</v>
      </c>
      <c r="H194">
        <v>6</v>
      </c>
      <c r="I194">
        <v>15.3</v>
      </c>
      <c r="J194">
        <v>23.9</v>
      </c>
      <c r="K194">
        <v>7</v>
      </c>
      <c r="L194" t="s">
        <v>24</v>
      </c>
      <c r="M194" s="4">
        <v>16400000000000</v>
      </c>
      <c r="N194" s="4">
        <v>1920000000000000</v>
      </c>
      <c r="O194" s="4">
        <v>1940000000000000</v>
      </c>
      <c r="P194">
        <v>5.64</v>
      </c>
      <c r="Q194">
        <v>0.67800000000000005</v>
      </c>
      <c r="R194">
        <v>0.32200000000000001</v>
      </c>
      <c r="S194">
        <v>1.633300354</v>
      </c>
      <c r="T194">
        <v>0.77713484600000005</v>
      </c>
      <c r="U194">
        <v>9.8437800000000006</v>
      </c>
      <c r="V194">
        <v>100.646</v>
      </c>
      <c r="W194">
        <v>12.7849</v>
      </c>
      <c r="X194">
        <v>55.203299999999999</v>
      </c>
    </row>
    <row r="195" spans="1:24" x14ac:dyDescent="0.2">
      <c r="A195" t="s">
        <v>32</v>
      </c>
      <c r="B195" t="s">
        <v>3</v>
      </c>
      <c r="C195" t="s">
        <v>15</v>
      </c>
      <c r="D195">
        <v>3</v>
      </c>
      <c r="E195">
        <v>115</v>
      </c>
      <c r="F195">
        <v>0.4</v>
      </c>
      <c r="G195">
        <v>0</v>
      </c>
      <c r="H195">
        <v>6</v>
      </c>
      <c r="I195">
        <v>15.3</v>
      </c>
      <c r="J195">
        <v>23.3</v>
      </c>
      <c r="K195">
        <v>7</v>
      </c>
      <c r="L195" t="s">
        <v>24</v>
      </c>
      <c r="M195" s="4">
        <v>14100000000000</v>
      </c>
      <c r="N195" s="4">
        <v>1150000000000000</v>
      </c>
      <c r="O195" s="4">
        <v>1160000000000000</v>
      </c>
      <c r="P195">
        <v>7.74</v>
      </c>
      <c r="Q195">
        <v>0.72399999999999998</v>
      </c>
      <c r="R195">
        <v>0.27600000000000002</v>
      </c>
      <c r="S195">
        <v>0.83554197200000002</v>
      </c>
      <c r="T195">
        <v>0.317869228</v>
      </c>
      <c r="U195">
        <v>10.0373</v>
      </c>
      <c r="V195">
        <v>125.87</v>
      </c>
      <c r="W195">
        <v>17.482500000000002</v>
      </c>
      <c r="X195">
        <v>192.37700000000001</v>
      </c>
    </row>
    <row r="196" spans="1:24" x14ac:dyDescent="0.2">
      <c r="A196" t="s">
        <v>32</v>
      </c>
      <c r="B196" t="s">
        <v>3</v>
      </c>
      <c r="C196" t="s">
        <v>8</v>
      </c>
      <c r="D196">
        <v>2</v>
      </c>
      <c r="E196">
        <v>135</v>
      </c>
      <c r="F196">
        <v>21.8</v>
      </c>
      <c r="G196">
        <v>1.3</v>
      </c>
      <c r="H196">
        <v>188</v>
      </c>
      <c r="I196">
        <v>13.5</v>
      </c>
      <c r="J196">
        <v>11.7</v>
      </c>
      <c r="K196">
        <v>7</v>
      </c>
      <c r="L196" t="s">
        <v>24</v>
      </c>
      <c r="M196" s="4">
        <v>1150000000000000</v>
      </c>
      <c r="N196" s="4">
        <v>2.09E+16</v>
      </c>
      <c r="O196" s="4">
        <v>2.21E+16</v>
      </c>
      <c r="P196">
        <v>16.920000000000002</v>
      </c>
      <c r="Q196">
        <v>0.78800000000000003</v>
      </c>
      <c r="R196">
        <v>0.21199999999999999</v>
      </c>
      <c r="S196">
        <v>58.084105430000001</v>
      </c>
      <c r="T196">
        <v>15.616054569999999</v>
      </c>
      <c r="U196">
        <v>15.498699999999999</v>
      </c>
      <c r="V196">
        <v>32.525199999999998</v>
      </c>
      <c r="W196">
        <v>13.6355</v>
      </c>
      <c r="X196">
        <v>42.2485</v>
      </c>
    </row>
    <row r="197" spans="1:24" x14ac:dyDescent="0.2">
      <c r="A197" t="s">
        <v>32</v>
      </c>
      <c r="B197" t="s">
        <v>3</v>
      </c>
      <c r="C197" t="s">
        <v>17</v>
      </c>
      <c r="D197">
        <v>3</v>
      </c>
      <c r="E197">
        <v>154</v>
      </c>
      <c r="F197">
        <v>1.4</v>
      </c>
      <c r="G197">
        <v>0</v>
      </c>
      <c r="H197">
        <v>4</v>
      </c>
      <c r="I197">
        <v>15</v>
      </c>
      <c r="J197">
        <v>11.7</v>
      </c>
      <c r="K197">
        <v>7</v>
      </c>
      <c r="L197" t="s">
        <v>24</v>
      </c>
      <c r="M197" s="4">
        <v>59000000000000</v>
      </c>
      <c r="N197" s="4">
        <v>5990000000000000</v>
      </c>
      <c r="O197" s="4">
        <v>6050000000000000</v>
      </c>
      <c r="P197">
        <v>2.54</v>
      </c>
      <c r="Q197">
        <v>0.72399999999999998</v>
      </c>
      <c r="R197">
        <v>0.27600000000000002</v>
      </c>
      <c r="S197">
        <v>9.1227444089999992</v>
      </c>
      <c r="T197">
        <v>3.4840631910000002</v>
      </c>
      <c r="U197">
        <v>10.453900000000001</v>
      </c>
      <c r="V197">
        <v>57.196300000000001</v>
      </c>
      <c r="W197">
        <v>14.0586</v>
      </c>
      <c r="X197">
        <v>109.562</v>
      </c>
    </row>
    <row r="198" spans="1:24" x14ac:dyDescent="0.2">
      <c r="A198" t="s">
        <v>32</v>
      </c>
      <c r="B198" t="s">
        <v>3</v>
      </c>
      <c r="C198" t="s">
        <v>17</v>
      </c>
      <c r="D198">
        <v>3</v>
      </c>
      <c r="E198">
        <v>155</v>
      </c>
      <c r="F198">
        <v>1.4</v>
      </c>
      <c r="G198">
        <v>0</v>
      </c>
      <c r="H198">
        <v>4</v>
      </c>
      <c r="I198">
        <v>15</v>
      </c>
      <c r="J198">
        <v>13.9</v>
      </c>
      <c r="K198">
        <v>7</v>
      </c>
      <c r="L198" t="s">
        <v>24</v>
      </c>
      <c r="M198" s="4">
        <v>11000000000000</v>
      </c>
      <c r="N198" s="4">
        <v>2290000000000000</v>
      </c>
      <c r="O198" s="4">
        <v>2310000000000000</v>
      </c>
      <c r="P198">
        <v>1.7</v>
      </c>
      <c r="Q198" t="s">
        <v>24</v>
      </c>
      <c r="R198" t="s">
        <v>24</v>
      </c>
      <c r="S198" t="s">
        <v>24</v>
      </c>
      <c r="T198" t="s">
        <v>24</v>
      </c>
      <c r="U198">
        <v>10.3902</v>
      </c>
      <c r="V198">
        <v>58.516599999999997</v>
      </c>
      <c r="W198">
        <v>18.294899999999998</v>
      </c>
      <c r="X198">
        <v>144.958</v>
      </c>
    </row>
    <row r="199" spans="1:24" x14ac:dyDescent="0.2">
      <c r="A199" t="s">
        <v>32</v>
      </c>
      <c r="B199" t="s">
        <v>3</v>
      </c>
      <c r="C199" t="s">
        <v>17</v>
      </c>
      <c r="D199">
        <v>3</v>
      </c>
      <c r="E199">
        <v>145</v>
      </c>
      <c r="F199">
        <v>1.4</v>
      </c>
      <c r="G199">
        <v>0</v>
      </c>
      <c r="H199">
        <v>4</v>
      </c>
      <c r="I199">
        <v>15</v>
      </c>
      <c r="J199">
        <v>14.4</v>
      </c>
      <c r="K199">
        <v>7</v>
      </c>
      <c r="L199" t="s">
        <v>24</v>
      </c>
      <c r="M199" s="4">
        <v>27200000000000</v>
      </c>
      <c r="N199" s="4">
        <v>4200000000000000</v>
      </c>
      <c r="O199" s="4">
        <v>4230000000000000</v>
      </c>
      <c r="P199">
        <v>1.8</v>
      </c>
      <c r="Q199">
        <v>0.67700000000000005</v>
      </c>
      <c r="R199">
        <v>0.32300000000000001</v>
      </c>
      <c r="S199">
        <v>7.3441086090000001</v>
      </c>
      <c r="T199">
        <v>3.502051791</v>
      </c>
      <c r="U199">
        <v>10.1465</v>
      </c>
      <c r="V199">
        <v>89.200599999999994</v>
      </c>
      <c r="W199">
        <v>18.9404</v>
      </c>
      <c r="X199">
        <v>102.53700000000001</v>
      </c>
    </row>
    <row r="200" spans="1:24" x14ac:dyDescent="0.2">
      <c r="A200" t="s">
        <v>32</v>
      </c>
      <c r="B200" t="s">
        <v>3</v>
      </c>
      <c r="C200" t="s">
        <v>18</v>
      </c>
      <c r="D200">
        <v>3</v>
      </c>
      <c r="E200">
        <v>110</v>
      </c>
      <c r="F200">
        <v>10.199999999999999</v>
      </c>
      <c r="G200">
        <v>0.65</v>
      </c>
      <c r="H200">
        <v>276</v>
      </c>
      <c r="I200">
        <v>14.4</v>
      </c>
      <c r="J200">
        <v>22.2</v>
      </c>
      <c r="K200">
        <v>7</v>
      </c>
      <c r="L200" t="s">
        <v>24</v>
      </c>
      <c r="M200" s="4">
        <v>425000000000000</v>
      </c>
      <c r="N200" s="4">
        <v>1.29E+16</v>
      </c>
      <c r="O200" s="4">
        <v>1.33E+16</v>
      </c>
      <c r="P200">
        <v>2.7</v>
      </c>
      <c r="Q200" t="s">
        <v>24</v>
      </c>
      <c r="R200" t="s">
        <v>24</v>
      </c>
      <c r="S200" t="s">
        <v>24</v>
      </c>
      <c r="T200" t="s">
        <v>24</v>
      </c>
      <c r="U200">
        <v>11.5976</v>
      </c>
      <c r="V200">
        <v>33.750399999999999</v>
      </c>
      <c r="W200">
        <v>38.036299999999997</v>
      </c>
      <c r="X200">
        <v>70.919499999999999</v>
      </c>
    </row>
    <row r="201" spans="1:24" x14ac:dyDescent="0.2">
      <c r="A201" t="s">
        <v>32</v>
      </c>
      <c r="B201" t="s">
        <v>3</v>
      </c>
      <c r="C201" t="s">
        <v>18</v>
      </c>
      <c r="D201">
        <v>3</v>
      </c>
      <c r="E201">
        <v>140</v>
      </c>
      <c r="F201">
        <v>10.199999999999999</v>
      </c>
      <c r="G201">
        <v>0.65</v>
      </c>
      <c r="H201">
        <v>276</v>
      </c>
      <c r="I201">
        <v>14.4</v>
      </c>
      <c r="J201">
        <v>23.9</v>
      </c>
      <c r="K201">
        <v>7</v>
      </c>
      <c r="L201" t="s">
        <v>24</v>
      </c>
      <c r="M201" s="4">
        <v>534000000000000</v>
      </c>
      <c r="N201" s="4">
        <v>1.36E+16</v>
      </c>
      <c r="O201" s="4">
        <v>1.42E+16</v>
      </c>
      <c r="P201">
        <v>8.84</v>
      </c>
      <c r="Q201">
        <v>0.70599999999999996</v>
      </c>
      <c r="R201">
        <v>0.29399999999999998</v>
      </c>
      <c r="S201">
        <v>22.461847970000001</v>
      </c>
      <c r="T201">
        <v>9.3359944259999992</v>
      </c>
      <c r="U201">
        <v>12.1678</v>
      </c>
      <c r="V201">
        <v>23.6524</v>
      </c>
      <c r="W201">
        <v>13.296900000000001</v>
      </c>
      <c r="X201">
        <v>42.5852</v>
      </c>
    </row>
    <row r="202" spans="1:24" x14ac:dyDescent="0.2">
      <c r="A202" t="s">
        <v>32</v>
      </c>
      <c r="B202" t="s">
        <v>3</v>
      </c>
      <c r="C202" t="s">
        <v>18</v>
      </c>
      <c r="D202">
        <v>3</v>
      </c>
      <c r="E202">
        <v>120</v>
      </c>
      <c r="F202">
        <v>10.199999999999999</v>
      </c>
      <c r="G202">
        <v>0.65</v>
      </c>
      <c r="H202">
        <v>276</v>
      </c>
      <c r="I202">
        <v>14.4</v>
      </c>
      <c r="J202">
        <v>24.4</v>
      </c>
      <c r="K202">
        <v>7</v>
      </c>
      <c r="L202" t="s">
        <v>24</v>
      </c>
      <c r="M202" s="4">
        <v>885000000000000</v>
      </c>
      <c r="N202" s="4">
        <v>1.35E+16</v>
      </c>
      <c r="O202" s="4">
        <v>1.44E+16</v>
      </c>
      <c r="P202">
        <v>10.42</v>
      </c>
      <c r="Q202">
        <v>0.75900000000000001</v>
      </c>
      <c r="R202">
        <v>0.24099999999999999</v>
      </c>
      <c r="S202">
        <v>22.597105209999999</v>
      </c>
      <c r="T202">
        <v>7.1840507889999996</v>
      </c>
      <c r="U202">
        <v>12.6271</v>
      </c>
      <c r="V202">
        <v>20.631799999999998</v>
      </c>
      <c r="W202">
        <v>11.5905</v>
      </c>
      <c r="X202">
        <v>50.343299999999999</v>
      </c>
    </row>
    <row r="203" spans="1:24" x14ac:dyDescent="0.2">
      <c r="A203" t="s">
        <v>32</v>
      </c>
      <c r="B203" t="s">
        <v>3</v>
      </c>
      <c r="C203" t="s">
        <v>8</v>
      </c>
      <c r="D203">
        <v>2</v>
      </c>
      <c r="E203">
        <v>120</v>
      </c>
      <c r="F203">
        <v>21.8</v>
      </c>
      <c r="G203">
        <v>1.3</v>
      </c>
      <c r="H203">
        <v>188</v>
      </c>
      <c r="I203">
        <v>13.5</v>
      </c>
      <c r="J203">
        <v>9.4</v>
      </c>
      <c r="K203">
        <v>7</v>
      </c>
      <c r="L203" t="s">
        <v>24</v>
      </c>
      <c r="M203" s="4">
        <v>1290000000000000</v>
      </c>
      <c r="N203" s="4">
        <v>1.35E+16</v>
      </c>
      <c r="O203" s="4">
        <v>1.48E+16</v>
      </c>
      <c r="P203">
        <v>17.46</v>
      </c>
      <c r="Q203">
        <v>0.90500000000000003</v>
      </c>
      <c r="R203">
        <v>9.5000000000000001E-2</v>
      </c>
      <c r="S203">
        <v>53.574020179999998</v>
      </c>
      <c r="T203">
        <v>5.6535398179999996</v>
      </c>
      <c r="U203">
        <v>16.252800000000001</v>
      </c>
      <c r="V203">
        <v>30.961300000000001</v>
      </c>
      <c r="W203">
        <v>13.924099999999999</v>
      </c>
      <c r="X203">
        <v>42.473100000000002</v>
      </c>
    </row>
    <row r="204" spans="1:24" x14ac:dyDescent="0.2">
      <c r="A204" t="s">
        <v>32</v>
      </c>
      <c r="B204" t="s">
        <v>3</v>
      </c>
      <c r="C204" t="s">
        <v>16</v>
      </c>
      <c r="D204">
        <v>3</v>
      </c>
      <c r="E204">
        <v>150</v>
      </c>
      <c r="F204">
        <v>2.1</v>
      </c>
      <c r="G204">
        <v>0</v>
      </c>
      <c r="H204">
        <v>1083</v>
      </c>
      <c r="I204">
        <v>15</v>
      </c>
      <c r="J204">
        <v>9.4</v>
      </c>
      <c r="K204">
        <v>7</v>
      </c>
      <c r="L204" t="s">
        <v>24</v>
      </c>
      <c r="M204" s="4">
        <v>361000000000000</v>
      </c>
      <c r="N204" s="4">
        <v>1.97E+16</v>
      </c>
      <c r="O204" s="4">
        <v>2.01E+16</v>
      </c>
      <c r="P204">
        <v>7.09</v>
      </c>
      <c r="Q204">
        <v>0.86699999999999999</v>
      </c>
      <c r="R204">
        <v>0.13300000000000001</v>
      </c>
      <c r="S204">
        <v>32.518959199999998</v>
      </c>
      <c r="T204">
        <v>5.0029168000000004</v>
      </c>
      <c r="U204">
        <v>13.4374</v>
      </c>
      <c r="V204">
        <v>21.4285</v>
      </c>
      <c r="W204">
        <v>11.6699</v>
      </c>
      <c r="X204">
        <v>125.479</v>
      </c>
    </row>
    <row r="205" spans="1:24" x14ac:dyDescent="0.2">
      <c r="A205" t="s">
        <v>32</v>
      </c>
      <c r="B205" t="s">
        <v>3</v>
      </c>
      <c r="C205" t="s">
        <v>16</v>
      </c>
      <c r="D205">
        <v>3</v>
      </c>
      <c r="E205">
        <v>425</v>
      </c>
      <c r="F205">
        <v>2.1</v>
      </c>
      <c r="G205">
        <v>0</v>
      </c>
      <c r="H205">
        <v>1083</v>
      </c>
      <c r="I205">
        <v>15</v>
      </c>
      <c r="J205">
        <v>14.4</v>
      </c>
      <c r="K205">
        <v>7</v>
      </c>
      <c r="L205" t="s">
        <v>24</v>
      </c>
      <c r="M205" s="4">
        <v>260000000000000</v>
      </c>
      <c r="N205" s="4">
        <v>2.06E+16</v>
      </c>
      <c r="O205" s="4">
        <v>2.08E+16</v>
      </c>
      <c r="P205">
        <v>12.06</v>
      </c>
      <c r="Q205">
        <v>0.85399999999999998</v>
      </c>
      <c r="R205">
        <v>0.14599999999999999</v>
      </c>
      <c r="S205">
        <v>36.372864</v>
      </c>
      <c r="T205">
        <v>6.2156159999999998</v>
      </c>
      <c r="U205">
        <v>12.970499999999999</v>
      </c>
      <c r="V205">
        <v>23.917999999999999</v>
      </c>
      <c r="W205">
        <v>17.766999999999999</v>
      </c>
      <c r="X205">
        <v>145.983</v>
      </c>
    </row>
    <row r="206" spans="1:24" x14ac:dyDescent="0.2">
      <c r="A206" t="s">
        <v>32</v>
      </c>
      <c r="B206" t="s">
        <v>3</v>
      </c>
      <c r="C206" t="s">
        <v>8</v>
      </c>
      <c r="D206">
        <v>2</v>
      </c>
      <c r="E206">
        <v>150</v>
      </c>
      <c r="F206">
        <v>21.8</v>
      </c>
      <c r="G206">
        <v>1.3</v>
      </c>
      <c r="H206">
        <v>188</v>
      </c>
      <c r="I206">
        <v>13.5</v>
      </c>
      <c r="J206">
        <v>15</v>
      </c>
      <c r="K206">
        <v>7</v>
      </c>
      <c r="L206" t="s">
        <v>24</v>
      </c>
      <c r="M206" s="4">
        <v>1100000000000000</v>
      </c>
      <c r="N206" s="4">
        <v>1.38E+16</v>
      </c>
      <c r="O206" s="4">
        <v>1.49E+16</v>
      </c>
      <c r="P206">
        <v>17.03</v>
      </c>
      <c r="Q206">
        <v>0.92700000000000005</v>
      </c>
      <c r="R206">
        <v>7.2999999999999995E-2</v>
      </c>
      <c r="S206">
        <v>64.618746720000004</v>
      </c>
      <c r="T206">
        <v>5.1093892759999999</v>
      </c>
      <c r="U206">
        <v>16.04</v>
      </c>
      <c r="V206">
        <v>29.725100000000001</v>
      </c>
      <c r="W206">
        <v>13.277799999999999</v>
      </c>
      <c r="X206">
        <v>47.747300000000003</v>
      </c>
    </row>
    <row r="207" spans="1:24" x14ac:dyDescent="0.2">
      <c r="A207" t="s">
        <v>32</v>
      </c>
      <c r="B207" t="s">
        <v>3</v>
      </c>
      <c r="C207" t="s">
        <v>8</v>
      </c>
      <c r="D207">
        <v>2</v>
      </c>
      <c r="E207">
        <v>90</v>
      </c>
      <c r="F207">
        <v>21.8</v>
      </c>
      <c r="G207">
        <v>1.3</v>
      </c>
      <c r="H207">
        <v>188</v>
      </c>
      <c r="I207">
        <v>13.5</v>
      </c>
      <c r="J207">
        <v>17.8</v>
      </c>
      <c r="K207">
        <v>7</v>
      </c>
      <c r="L207" t="s">
        <v>24</v>
      </c>
      <c r="M207" s="4">
        <v>301000000000000</v>
      </c>
      <c r="N207" s="4">
        <v>9100000000000000</v>
      </c>
      <c r="O207" s="4">
        <v>9400000000000000</v>
      </c>
      <c r="P207">
        <v>21.18</v>
      </c>
      <c r="Q207">
        <v>0.68899999999999995</v>
      </c>
      <c r="R207">
        <v>0.311</v>
      </c>
      <c r="S207">
        <v>56.041998980000002</v>
      </c>
      <c r="T207">
        <v>25.322681020000001</v>
      </c>
      <c r="U207">
        <v>17.4282</v>
      </c>
      <c r="V207">
        <v>31.684699999999999</v>
      </c>
      <c r="W207">
        <v>22.440799999999999</v>
      </c>
      <c r="X207">
        <v>64.270099999999999</v>
      </c>
    </row>
    <row r="208" spans="1:24" x14ac:dyDescent="0.2">
      <c r="A208" t="s">
        <v>32</v>
      </c>
      <c r="B208" t="s">
        <v>3</v>
      </c>
      <c r="C208" t="s">
        <v>16</v>
      </c>
      <c r="D208">
        <v>3</v>
      </c>
      <c r="E208">
        <v>190</v>
      </c>
      <c r="F208">
        <v>2.1</v>
      </c>
      <c r="G208">
        <v>0</v>
      </c>
      <c r="H208">
        <v>1083</v>
      </c>
      <c r="I208">
        <v>15</v>
      </c>
      <c r="J208">
        <v>17.8</v>
      </c>
      <c r="K208">
        <v>7</v>
      </c>
      <c r="L208" t="s">
        <v>24</v>
      </c>
      <c r="M208" s="4">
        <v>292000000000000</v>
      </c>
      <c r="N208" s="4">
        <v>2.03E+16</v>
      </c>
      <c r="O208" s="4">
        <v>2.06E+16</v>
      </c>
      <c r="P208">
        <v>5.94</v>
      </c>
      <c r="Q208">
        <v>0.86299999999999999</v>
      </c>
      <c r="R208">
        <v>0.13700000000000001</v>
      </c>
      <c r="S208">
        <v>39.21760853</v>
      </c>
      <c r="T208">
        <v>6.2039154730000003</v>
      </c>
      <c r="U208">
        <v>13.113899999999999</v>
      </c>
      <c r="V208">
        <v>21.682600000000001</v>
      </c>
      <c r="W208">
        <v>16.091100000000001</v>
      </c>
      <c r="X208">
        <v>153.48699999999999</v>
      </c>
    </row>
    <row r="209" spans="1:24" x14ac:dyDescent="0.2">
      <c r="A209" t="s">
        <v>32</v>
      </c>
      <c r="B209" t="s">
        <v>3</v>
      </c>
      <c r="C209" t="s">
        <v>8</v>
      </c>
      <c r="D209">
        <v>2</v>
      </c>
      <c r="E209">
        <v>120</v>
      </c>
      <c r="F209">
        <v>21.8</v>
      </c>
      <c r="G209">
        <v>1.3</v>
      </c>
      <c r="H209">
        <v>188</v>
      </c>
      <c r="I209">
        <v>13.5</v>
      </c>
      <c r="J209">
        <v>26.7</v>
      </c>
      <c r="K209">
        <v>7</v>
      </c>
      <c r="L209" t="s">
        <v>24</v>
      </c>
      <c r="M209" s="4">
        <v>689000000000000</v>
      </c>
      <c r="N209" s="4">
        <v>1.34E+16</v>
      </c>
      <c r="O209" s="4">
        <v>1.41E+16</v>
      </c>
      <c r="P209">
        <v>3.52</v>
      </c>
      <c r="Q209">
        <v>0.85299999999999998</v>
      </c>
      <c r="R209">
        <v>0.14699999999999999</v>
      </c>
      <c r="S209">
        <v>21.876462329999999</v>
      </c>
      <c r="T209">
        <v>3.7786616739999999</v>
      </c>
      <c r="U209">
        <v>12.1922</v>
      </c>
      <c r="V209">
        <v>20.007999999999999</v>
      </c>
      <c r="W209">
        <v>12.956</v>
      </c>
      <c r="X209">
        <v>43.609099999999998</v>
      </c>
    </row>
    <row r="210" spans="1:24" x14ac:dyDescent="0.2">
      <c r="A210" t="s">
        <v>32</v>
      </c>
      <c r="B210" t="s">
        <v>3</v>
      </c>
      <c r="C210" t="s">
        <v>18</v>
      </c>
      <c r="D210">
        <v>3</v>
      </c>
      <c r="E210">
        <v>115</v>
      </c>
      <c r="F210">
        <v>10.199999999999999</v>
      </c>
      <c r="G210">
        <v>0.65</v>
      </c>
      <c r="H210">
        <v>276</v>
      </c>
      <c r="I210">
        <v>14.4</v>
      </c>
      <c r="J210">
        <v>26.7</v>
      </c>
      <c r="K210">
        <v>7</v>
      </c>
      <c r="L210" t="s">
        <v>24</v>
      </c>
      <c r="M210" s="4">
        <v>372000000000000</v>
      </c>
      <c r="N210" s="4">
        <v>7860000000000000</v>
      </c>
      <c r="O210" s="4">
        <v>8240000000000000</v>
      </c>
      <c r="P210">
        <v>2.71</v>
      </c>
      <c r="Q210">
        <v>0.81299999999999994</v>
      </c>
      <c r="R210">
        <v>0.187</v>
      </c>
      <c r="S210">
        <v>9.6131754399999991</v>
      </c>
      <c r="T210">
        <v>2.2063025600000001</v>
      </c>
      <c r="U210">
        <v>10.667</v>
      </c>
      <c r="V210">
        <v>20.170400000000001</v>
      </c>
      <c r="W210">
        <v>13.5901</v>
      </c>
      <c r="X210">
        <v>83.689300000000003</v>
      </c>
    </row>
    <row r="211" spans="1:24" x14ac:dyDescent="0.2">
      <c r="A211" t="s">
        <v>32</v>
      </c>
      <c r="B211" t="s">
        <v>3</v>
      </c>
      <c r="C211" t="s">
        <v>18</v>
      </c>
      <c r="D211">
        <v>3</v>
      </c>
      <c r="E211">
        <v>380</v>
      </c>
      <c r="F211">
        <v>10.199999999999999</v>
      </c>
      <c r="G211">
        <v>0.65</v>
      </c>
      <c r="H211">
        <v>276</v>
      </c>
      <c r="I211">
        <v>14.4</v>
      </c>
      <c r="J211">
        <v>28.3</v>
      </c>
      <c r="K211">
        <v>7</v>
      </c>
      <c r="L211" t="s">
        <v>24</v>
      </c>
      <c r="M211" s="4">
        <v>430000000000000</v>
      </c>
      <c r="N211" s="4">
        <v>8690000000000000</v>
      </c>
      <c r="O211" s="4">
        <v>9120000000000000</v>
      </c>
      <c r="P211">
        <v>4.3499999999999996</v>
      </c>
      <c r="Q211" t="s">
        <v>24</v>
      </c>
      <c r="R211" t="s">
        <v>24</v>
      </c>
      <c r="S211" t="s">
        <v>24</v>
      </c>
      <c r="T211" t="s">
        <v>24</v>
      </c>
      <c r="U211">
        <v>11.014200000000001</v>
      </c>
      <c r="V211">
        <v>19.505500000000001</v>
      </c>
      <c r="W211">
        <v>13.5779</v>
      </c>
      <c r="X211">
        <v>98.397599999999997</v>
      </c>
    </row>
    <row r="212" spans="1:24" x14ac:dyDescent="0.2">
      <c r="A212" t="s">
        <v>32</v>
      </c>
      <c r="B212" t="s">
        <v>3</v>
      </c>
      <c r="C212" t="s">
        <v>18</v>
      </c>
      <c r="D212">
        <v>3</v>
      </c>
      <c r="E212">
        <v>317</v>
      </c>
      <c r="F212">
        <v>10.199999999999999</v>
      </c>
      <c r="G212">
        <v>0.65</v>
      </c>
      <c r="H212">
        <v>276</v>
      </c>
      <c r="I212">
        <v>14.4</v>
      </c>
      <c r="J212">
        <v>28.3</v>
      </c>
      <c r="K212">
        <v>7</v>
      </c>
      <c r="L212" t="s">
        <v>24</v>
      </c>
      <c r="M212" s="4">
        <v>100000000000000</v>
      </c>
      <c r="N212" s="4">
        <v>4630000000000000</v>
      </c>
      <c r="O212" s="4">
        <v>4730000000000000</v>
      </c>
      <c r="P212">
        <v>3.8</v>
      </c>
      <c r="Q212" t="s">
        <v>24</v>
      </c>
      <c r="R212" t="s">
        <v>24</v>
      </c>
      <c r="S212" t="s">
        <v>24</v>
      </c>
      <c r="T212" t="s">
        <v>24</v>
      </c>
      <c r="U212">
        <v>10.862500000000001</v>
      </c>
      <c r="V212">
        <v>24.246200000000002</v>
      </c>
      <c r="W212">
        <v>16.247199999999999</v>
      </c>
      <c r="X212">
        <v>84.586399999999998</v>
      </c>
    </row>
    <row r="213" spans="1:24" x14ac:dyDescent="0.2">
      <c r="A213" t="s">
        <v>32</v>
      </c>
      <c r="B213" t="s">
        <v>4</v>
      </c>
      <c r="C213" t="s">
        <v>19</v>
      </c>
      <c r="D213">
        <v>2</v>
      </c>
      <c r="E213">
        <v>480</v>
      </c>
      <c r="F213">
        <v>8</v>
      </c>
      <c r="G213">
        <v>0.9</v>
      </c>
      <c r="H213">
        <v>500</v>
      </c>
      <c r="I213">
        <v>14.4</v>
      </c>
      <c r="J213">
        <v>17.7</v>
      </c>
      <c r="K213">
        <v>7</v>
      </c>
      <c r="L213">
        <v>0.104</v>
      </c>
      <c r="M213" s="4">
        <v>1.12E+16</v>
      </c>
      <c r="N213" s="4">
        <v>6.73E+16</v>
      </c>
      <c r="O213" s="4">
        <v>7.85E+16</v>
      </c>
      <c r="P213">
        <v>5.19</v>
      </c>
      <c r="Q213">
        <v>0.878</v>
      </c>
      <c r="R213">
        <v>0.122</v>
      </c>
      <c r="S213">
        <v>71.135591719999994</v>
      </c>
      <c r="T213">
        <v>9.8750882850000004</v>
      </c>
      <c r="U213">
        <v>14.245100000000001</v>
      </c>
      <c r="V213">
        <v>18.678599999999999</v>
      </c>
      <c r="W213">
        <v>14.101900000000001</v>
      </c>
      <c r="X213">
        <v>73.706199999999995</v>
      </c>
    </row>
    <row r="214" spans="1:24" x14ac:dyDescent="0.2">
      <c r="A214" t="s">
        <v>32</v>
      </c>
      <c r="B214" t="s">
        <v>4</v>
      </c>
      <c r="C214" t="s">
        <v>8</v>
      </c>
      <c r="D214">
        <v>2</v>
      </c>
      <c r="E214">
        <v>420</v>
      </c>
      <c r="F214">
        <v>16</v>
      </c>
      <c r="G214">
        <v>1.4</v>
      </c>
      <c r="H214">
        <v>800</v>
      </c>
      <c r="I214">
        <v>13.9</v>
      </c>
      <c r="J214">
        <v>13.7</v>
      </c>
      <c r="K214">
        <v>7</v>
      </c>
      <c r="L214">
        <v>0.111</v>
      </c>
      <c r="M214" s="4">
        <v>1.19E+16</v>
      </c>
      <c r="N214" s="4">
        <v>8.53E+16</v>
      </c>
      <c r="O214" s="4">
        <v>9.71E+16</v>
      </c>
      <c r="P214">
        <v>15.85</v>
      </c>
      <c r="Q214">
        <v>0.86399999999999999</v>
      </c>
      <c r="R214">
        <v>0.13600000000000001</v>
      </c>
      <c r="S214">
        <v>73.406431299999994</v>
      </c>
      <c r="T214">
        <v>11.521288699999999</v>
      </c>
      <c r="U214">
        <v>15.2432</v>
      </c>
      <c r="V214">
        <v>21.511500000000002</v>
      </c>
      <c r="W214">
        <v>14.345700000000001</v>
      </c>
      <c r="X214">
        <v>64.225300000000004</v>
      </c>
    </row>
    <row r="215" spans="1:24" x14ac:dyDescent="0.2">
      <c r="A215" t="s">
        <v>32</v>
      </c>
      <c r="B215" t="s">
        <v>4</v>
      </c>
      <c r="C215" t="s">
        <v>19</v>
      </c>
      <c r="D215">
        <v>3</v>
      </c>
      <c r="E215">
        <v>600</v>
      </c>
      <c r="F215">
        <v>8</v>
      </c>
      <c r="G215">
        <v>0.9</v>
      </c>
      <c r="H215">
        <v>500</v>
      </c>
      <c r="I215">
        <v>14.4</v>
      </c>
      <c r="J215">
        <v>14.1</v>
      </c>
      <c r="K215">
        <v>7</v>
      </c>
      <c r="L215">
        <v>0.113</v>
      </c>
      <c r="M215" s="4">
        <v>7370000000000000</v>
      </c>
      <c r="N215" s="4">
        <v>3.2E+16</v>
      </c>
      <c r="O215" s="4">
        <v>3.93E+16</v>
      </c>
      <c r="P215">
        <v>1.5</v>
      </c>
      <c r="Q215">
        <v>0.89900000000000002</v>
      </c>
      <c r="R215">
        <v>0.10100000000000001</v>
      </c>
      <c r="S215">
        <v>28.33897829</v>
      </c>
      <c r="T215">
        <v>3.1820217139999998</v>
      </c>
      <c r="U215">
        <v>16.956600000000002</v>
      </c>
      <c r="V215">
        <v>23.181799999999999</v>
      </c>
      <c r="W215">
        <v>13.668100000000001</v>
      </c>
      <c r="X215">
        <v>78.720299999999995</v>
      </c>
    </row>
    <row r="216" spans="1:24" x14ac:dyDescent="0.2">
      <c r="A216" t="s">
        <v>32</v>
      </c>
      <c r="B216" t="s">
        <v>1</v>
      </c>
      <c r="C216" t="s">
        <v>8</v>
      </c>
      <c r="D216">
        <v>3</v>
      </c>
      <c r="E216">
        <v>158</v>
      </c>
      <c r="F216">
        <v>17.600000000000001</v>
      </c>
      <c r="G216">
        <v>0.93</v>
      </c>
      <c r="H216">
        <v>383</v>
      </c>
      <c r="I216">
        <v>13.69</v>
      </c>
      <c r="J216">
        <v>21</v>
      </c>
      <c r="K216">
        <v>30</v>
      </c>
      <c r="L216">
        <v>0.307</v>
      </c>
      <c r="M216" s="4">
        <v>203000000000000</v>
      </c>
      <c r="N216" s="4">
        <v>8110000000000000</v>
      </c>
      <c r="O216" s="4">
        <v>8320000000000000</v>
      </c>
      <c r="P216">
        <v>2.2330000000000001</v>
      </c>
      <c r="Q216" t="s">
        <v>24</v>
      </c>
      <c r="R216" t="s">
        <v>24</v>
      </c>
      <c r="S216" t="s">
        <v>24</v>
      </c>
      <c r="T216" t="s">
        <v>24</v>
      </c>
      <c r="U216">
        <v>16.205195</v>
      </c>
      <c r="V216">
        <v>37.435572499999999</v>
      </c>
      <c r="W216">
        <v>17.008134999999999</v>
      </c>
      <c r="X216">
        <v>47.752870000000001</v>
      </c>
    </row>
    <row r="217" spans="1:24" x14ac:dyDescent="0.2">
      <c r="A217" t="s">
        <v>32</v>
      </c>
      <c r="B217" t="s">
        <v>1</v>
      </c>
      <c r="C217" t="s">
        <v>8</v>
      </c>
      <c r="D217">
        <v>3</v>
      </c>
      <c r="E217">
        <v>191</v>
      </c>
      <c r="F217">
        <v>17.600000000000001</v>
      </c>
      <c r="G217">
        <v>0.93</v>
      </c>
      <c r="H217">
        <v>383</v>
      </c>
      <c r="I217">
        <v>13.69</v>
      </c>
      <c r="J217">
        <v>22</v>
      </c>
      <c r="K217">
        <v>30</v>
      </c>
      <c r="L217">
        <v>0.29499999999999998</v>
      </c>
      <c r="M217" s="4">
        <v>156000000000000</v>
      </c>
      <c r="N217" s="4">
        <v>1.2E+16</v>
      </c>
      <c r="O217" s="4">
        <v>1.21E+16</v>
      </c>
      <c r="P217">
        <v>4.9249999999999998</v>
      </c>
      <c r="Q217" t="s">
        <v>24</v>
      </c>
      <c r="R217" t="s">
        <v>24</v>
      </c>
      <c r="S217" t="s">
        <v>24</v>
      </c>
      <c r="T217" t="s">
        <v>24</v>
      </c>
      <c r="U217">
        <v>15.16255</v>
      </c>
      <c r="V217">
        <v>24.211165000000001</v>
      </c>
      <c r="W217">
        <v>17.517810000000001</v>
      </c>
      <c r="X217">
        <v>47.422130000000003</v>
      </c>
    </row>
    <row r="218" spans="1:24" x14ac:dyDescent="0.2">
      <c r="A218" t="s">
        <v>32</v>
      </c>
      <c r="B218" t="s">
        <v>1</v>
      </c>
      <c r="C218" t="s">
        <v>8</v>
      </c>
      <c r="D218">
        <v>3</v>
      </c>
      <c r="E218">
        <v>277</v>
      </c>
      <c r="F218">
        <v>17.600000000000001</v>
      </c>
      <c r="G218">
        <v>0.93</v>
      </c>
      <c r="H218">
        <v>383</v>
      </c>
      <c r="I218">
        <v>13.69</v>
      </c>
      <c r="J218">
        <v>25</v>
      </c>
      <c r="K218">
        <v>30</v>
      </c>
      <c r="L218">
        <v>0.28100000000000003</v>
      </c>
      <c r="M218" s="4">
        <v>271000000000000</v>
      </c>
      <c r="N218" s="4">
        <v>1.16E+16</v>
      </c>
      <c r="O218" s="4">
        <v>1.19E+16</v>
      </c>
      <c r="P218">
        <v>4.6319999999999997</v>
      </c>
      <c r="Q218" t="s">
        <v>24</v>
      </c>
      <c r="R218" t="s">
        <v>24</v>
      </c>
      <c r="S218" t="s">
        <v>24</v>
      </c>
      <c r="T218" t="s">
        <v>24</v>
      </c>
      <c r="U218">
        <v>16.7512325</v>
      </c>
      <c r="V218">
        <v>25.482320000000001</v>
      </c>
      <c r="W218">
        <v>12.523087500000001</v>
      </c>
      <c r="X218">
        <v>56.265082499999998</v>
      </c>
    </row>
    <row r="219" spans="1:24" x14ac:dyDescent="0.2">
      <c r="A219" t="s">
        <v>32</v>
      </c>
      <c r="B219" t="s">
        <v>1</v>
      </c>
      <c r="C219" t="s">
        <v>8</v>
      </c>
      <c r="D219">
        <v>3</v>
      </c>
      <c r="E219">
        <v>332</v>
      </c>
      <c r="F219">
        <v>17.600000000000001</v>
      </c>
      <c r="G219">
        <v>0.93</v>
      </c>
      <c r="H219">
        <v>383</v>
      </c>
      <c r="I219">
        <v>13.69</v>
      </c>
      <c r="J219">
        <v>27</v>
      </c>
      <c r="K219">
        <v>30</v>
      </c>
      <c r="L219">
        <v>0.26800000000000002</v>
      </c>
      <c r="M219" s="4">
        <v>225000000000000</v>
      </c>
      <c r="N219" s="4">
        <v>1.22E+16</v>
      </c>
      <c r="O219" s="4">
        <v>1.24E+16</v>
      </c>
      <c r="P219">
        <v>3.3330000000000002</v>
      </c>
      <c r="Q219" t="s">
        <v>24</v>
      </c>
      <c r="R219" t="s">
        <v>24</v>
      </c>
      <c r="S219" t="s">
        <v>24</v>
      </c>
      <c r="T219" t="s">
        <v>24</v>
      </c>
      <c r="U219">
        <v>16.220578329999999</v>
      </c>
      <c r="V219">
        <v>23.82061667</v>
      </c>
      <c r="W219">
        <v>12.56352</v>
      </c>
      <c r="X219">
        <v>56.896790000000003</v>
      </c>
    </row>
    <row r="220" spans="1:24" x14ac:dyDescent="0.2">
      <c r="A220" t="s">
        <v>32</v>
      </c>
      <c r="B220" t="s">
        <v>1</v>
      </c>
      <c r="C220" t="s">
        <v>24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  <c r="J220" t="s">
        <v>24</v>
      </c>
      <c r="K220">
        <v>30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  <c r="W220" t="s">
        <v>24</v>
      </c>
      <c r="X220" t="s">
        <v>24</v>
      </c>
    </row>
    <row r="221" spans="1:24" x14ac:dyDescent="0.2">
      <c r="A221" t="s">
        <v>32</v>
      </c>
      <c r="B221" t="s">
        <v>1</v>
      </c>
      <c r="C221" t="s">
        <v>8</v>
      </c>
      <c r="D221">
        <v>3</v>
      </c>
      <c r="E221">
        <v>327</v>
      </c>
      <c r="F221">
        <v>17.600000000000001</v>
      </c>
      <c r="G221">
        <v>0.93</v>
      </c>
      <c r="H221">
        <v>383</v>
      </c>
      <c r="I221">
        <v>13.69</v>
      </c>
      <c r="J221">
        <v>33</v>
      </c>
      <c r="K221">
        <v>30</v>
      </c>
      <c r="L221">
        <v>0.27800000000000002</v>
      </c>
      <c r="M221" s="4">
        <v>285000000000000</v>
      </c>
      <c r="N221" s="4">
        <v>1.52E+16</v>
      </c>
      <c r="O221" s="4">
        <v>1.55E+16</v>
      </c>
      <c r="P221">
        <v>4.1849999999999996</v>
      </c>
      <c r="Q221" t="s">
        <v>24</v>
      </c>
      <c r="R221" t="s">
        <v>24</v>
      </c>
      <c r="S221" t="s">
        <v>24</v>
      </c>
      <c r="T221" t="s">
        <v>24</v>
      </c>
      <c r="U221">
        <v>12.1854175</v>
      </c>
      <c r="V221">
        <v>23.2016475</v>
      </c>
      <c r="W221">
        <v>13.37111</v>
      </c>
      <c r="X221">
        <v>56.779736669999998</v>
      </c>
    </row>
    <row r="222" spans="1:24" x14ac:dyDescent="0.2">
      <c r="A222" t="s">
        <v>32</v>
      </c>
      <c r="B222" t="s">
        <v>1</v>
      </c>
      <c r="C222" t="s">
        <v>8</v>
      </c>
      <c r="D222">
        <v>3</v>
      </c>
      <c r="E222">
        <v>280</v>
      </c>
      <c r="F222">
        <v>17.600000000000001</v>
      </c>
      <c r="G222">
        <v>0.93</v>
      </c>
      <c r="H222">
        <v>383</v>
      </c>
      <c r="I222">
        <v>13.69</v>
      </c>
      <c r="J222">
        <v>24</v>
      </c>
      <c r="K222">
        <v>30</v>
      </c>
      <c r="L222">
        <v>0.28799999999999998</v>
      </c>
      <c r="M222" s="4">
        <v>112000000000000</v>
      </c>
      <c r="N222" s="4">
        <v>2.58E+16</v>
      </c>
      <c r="O222" s="4">
        <v>2.59E+16</v>
      </c>
      <c r="P222">
        <v>7.8959999999999999</v>
      </c>
      <c r="Q222">
        <v>0.76700000000000002</v>
      </c>
      <c r="R222">
        <v>0.23300000000000001</v>
      </c>
      <c r="S222">
        <v>21.059776549999999</v>
      </c>
      <c r="T222">
        <v>6.4099935930000003</v>
      </c>
      <c r="U222">
        <v>12.002846</v>
      </c>
      <c r="V222">
        <v>19.144358</v>
      </c>
      <c r="W222">
        <v>15.177210000000001</v>
      </c>
      <c r="X222">
        <v>50.698226669999997</v>
      </c>
    </row>
    <row r="223" spans="1:24" x14ac:dyDescent="0.2">
      <c r="A223" t="s">
        <v>32</v>
      </c>
      <c r="B223" t="s">
        <v>1</v>
      </c>
      <c r="C223" t="s">
        <v>8</v>
      </c>
      <c r="D223">
        <v>3</v>
      </c>
      <c r="E223">
        <v>225</v>
      </c>
      <c r="F223">
        <v>17.600000000000001</v>
      </c>
      <c r="G223">
        <v>0.93</v>
      </c>
      <c r="H223">
        <v>383</v>
      </c>
      <c r="I223">
        <v>13.69</v>
      </c>
      <c r="J223">
        <v>34</v>
      </c>
      <c r="K223">
        <v>30</v>
      </c>
      <c r="L223">
        <v>0.29599999999999999</v>
      </c>
      <c r="M223" s="4">
        <v>168000000000000</v>
      </c>
      <c r="N223" s="4">
        <v>1.23E+16</v>
      </c>
      <c r="O223" s="4">
        <v>1.24E+16</v>
      </c>
      <c r="P223">
        <v>5.7389999999999999</v>
      </c>
      <c r="Q223">
        <v>0.48099999999999998</v>
      </c>
      <c r="R223">
        <v>0.51900000000000002</v>
      </c>
      <c r="S223">
        <v>12.456538630000001</v>
      </c>
      <c r="T223">
        <v>13.42722084</v>
      </c>
      <c r="U223">
        <v>12.696178</v>
      </c>
      <c r="V223">
        <v>23.133877999999999</v>
      </c>
      <c r="W223">
        <v>12.11744</v>
      </c>
      <c r="X223">
        <v>51.418053329999999</v>
      </c>
    </row>
    <row r="224" spans="1:24" x14ac:dyDescent="0.2">
      <c r="A224" t="s">
        <v>32</v>
      </c>
      <c r="B224" t="s">
        <v>1</v>
      </c>
      <c r="C224" t="s">
        <v>9</v>
      </c>
      <c r="D224">
        <v>3</v>
      </c>
      <c r="E224">
        <v>287</v>
      </c>
      <c r="F224">
        <v>17.3</v>
      </c>
      <c r="G224">
        <v>1.31</v>
      </c>
      <c r="H224">
        <v>1595</v>
      </c>
      <c r="I224">
        <v>13.67</v>
      </c>
      <c r="J224">
        <v>33</v>
      </c>
      <c r="K224">
        <v>30</v>
      </c>
      <c r="L224">
        <v>0.26400000000000001</v>
      </c>
      <c r="M224" s="4">
        <v>184000000000000</v>
      </c>
      <c r="N224" s="4">
        <v>5.49E+16</v>
      </c>
      <c r="O224" s="4">
        <v>5.51E+16</v>
      </c>
      <c r="P224">
        <v>5.12</v>
      </c>
      <c r="Q224" t="s">
        <v>24</v>
      </c>
      <c r="R224" t="s">
        <v>24</v>
      </c>
      <c r="S224" t="s">
        <v>24</v>
      </c>
      <c r="T224" t="s">
        <v>24</v>
      </c>
      <c r="U224">
        <v>15.54323625</v>
      </c>
      <c r="V224">
        <v>20.587301249999999</v>
      </c>
      <c r="W224">
        <v>11.289617140000001</v>
      </c>
      <c r="X224">
        <v>44.919875709999999</v>
      </c>
    </row>
    <row r="225" spans="1:24" x14ac:dyDescent="0.2">
      <c r="A225" t="s">
        <v>32</v>
      </c>
      <c r="B225" t="s">
        <v>1</v>
      </c>
      <c r="C225" t="s">
        <v>9</v>
      </c>
      <c r="D225">
        <v>3</v>
      </c>
      <c r="E225">
        <v>243</v>
      </c>
      <c r="F225">
        <v>17.3</v>
      </c>
      <c r="G225">
        <v>1.31</v>
      </c>
      <c r="H225">
        <v>1595</v>
      </c>
      <c r="I225">
        <v>13.67</v>
      </c>
      <c r="J225">
        <v>26</v>
      </c>
      <c r="K225">
        <v>30</v>
      </c>
      <c r="L225">
        <v>0.27300000000000002</v>
      </c>
      <c r="M225" s="4">
        <v>105000000000000</v>
      </c>
      <c r="N225" s="4">
        <v>6.54E+16</v>
      </c>
      <c r="O225" s="4">
        <v>6.55E+16</v>
      </c>
      <c r="P225">
        <v>6.2709999999999999</v>
      </c>
      <c r="Q225">
        <v>0.58599999999999997</v>
      </c>
      <c r="R225">
        <v>0.41399999999999998</v>
      </c>
      <c r="S225">
        <v>112.4066969</v>
      </c>
      <c r="T225">
        <v>79.452462560000001</v>
      </c>
      <c r="U225">
        <v>15.585522859999999</v>
      </c>
      <c r="V225">
        <v>20.277694289999999</v>
      </c>
      <c r="W225">
        <v>12.73251833</v>
      </c>
      <c r="X225">
        <v>45.947151669999997</v>
      </c>
    </row>
    <row r="226" spans="1:24" x14ac:dyDescent="0.2">
      <c r="A226" t="s">
        <v>32</v>
      </c>
      <c r="B226" t="s">
        <v>1</v>
      </c>
      <c r="C226" t="s">
        <v>24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>
        <v>30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>
        <v>14.66341077</v>
      </c>
      <c r="V226">
        <v>24.97017692</v>
      </c>
      <c r="W226" t="s">
        <v>24</v>
      </c>
      <c r="X226" t="s">
        <v>24</v>
      </c>
    </row>
    <row r="227" spans="1:24" x14ac:dyDescent="0.2">
      <c r="A227" t="s">
        <v>32</v>
      </c>
      <c r="B227" t="s">
        <v>1</v>
      </c>
      <c r="C227" t="s">
        <v>10</v>
      </c>
      <c r="D227">
        <v>3</v>
      </c>
      <c r="E227">
        <v>230</v>
      </c>
      <c r="F227">
        <v>21.8</v>
      </c>
      <c r="G227">
        <v>1.34</v>
      </c>
      <c r="H227">
        <v>530</v>
      </c>
      <c r="I227">
        <v>13.7</v>
      </c>
      <c r="J227">
        <v>30</v>
      </c>
      <c r="K227">
        <v>30</v>
      </c>
      <c r="L227">
        <v>0.27100000000000002</v>
      </c>
      <c r="M227" s="4">
        <v>83800000000000</v>
      </c>
      <c r="N227" s="4">
        <v>2.97E+16</v>
      </c>
      <c r="O227" s="4">
        <v>2.98E+16</v>
      </c>
      <c r="P227">
        <v>5.12</v>
      </c>
      <c r="Q227">
        <v>0.51900000000000002</v>
      </c>
      <c r="R227">
        <v>0.48099999999999998</v>
      </c>
      <c r="S227">
        <v>21.20708823</v>
      </c>
      <c r="T227">
        <v>19.65215654</v>
      </c>
      <c r="U227">
        <v>11.93553</v>
      </c>
      <c r="V227">
        <v>17.244990000000001</v>
      </c>
      <c r="W227">
        <v>17.361536000000001</v>
      </c>
      <c r="X227">
        <v>54.593308</v>
      </c>
    </row>
    <row r="228" spans="1:24" x14ac:dyDescent="0.2">
      <c r="A228" t="s">
        <v>32</v>
      </c>
      <c r="B228" t="s">
        <v>1</v>
      </c>
      <c r="C228" t="s">
        <v>10</v>
      </c>
      <c r="D228">
        <v>3</v>
      </c>
      <c r="E228">
        <v>217</v>
      </c>
      <c r="F228">
        <v>21.8</v>
      </c>
      <c r="G228">
        <v>1.34</v>
      </c>
      <c r="H228">
        <v>530</v>
      </c>
      <c r="I228">
        <v>13.7</v>
      </c>
      <c r="J228">
        <v>21</v>
      </c>
      <c r="K228">
        <v>30</v>
      </c>
      <c r="L228">
        <v>0.27700000000000002</v>
      </c>
      <c r="M228" s="4">
        <v>125000000000000</v>
      </c>
      <c r="N228" s="4">
        <v>3.93E+16</v>
      </c>
      <c r="O228" s="4">
        <v>3.94E+16</v>
      </c>
      <c r="P228">
        <v>4.3280000000000003</v>
      </c>
      <c r="Q228">
        <v>0.67400000000000004</v>
      </c>
      <c r="R228">
        <v>0.32600000000000001</v>
      </c>
      <c r="S228">
        <v>36.234058990000001</v>
      </c>
      <c r="T228">
        <v>17.531852990000001</v>
      </c>
      <c r="U228">
        <v>12.74672857</v>
      </c>
      <c r="V228">
        <v>17.56399571</v>
      </c>
      <c r="W228">
        <v>19.248055000000001</v>
      </c>
      <c r="X228">
        <v>46.032951670000003</v>
      </c>
    </row>
    <row r="229" spans="1:24" x14ac:dyDescent="0.2">
      <c r="A229" t="s">
        <v>32</v>
      </c>
      <c r="B229" t="s">
        <v>1</v>
      </c>
      <c r="C229" t="s">
        <v>9</v>
      </c>
      <c r="D229">
        <v>3</v>
      </c>
      <c r="E229">
        <v>216</v>
      </c>
      <c r="F229">
        <v>17.3</v>
      </c>
      <c r="G229">
        <v>1.31</v>
      </c>
      <c r="H229">
        <v>1595</v>
      </c>
      <c r="I229">
        <v>13.67</v>
      </c>
      <c r="J229">
        <v>24</v>
      </c>
      <c r="K229">
        <v>30</v>
      </c>
      <c r="L229">
        <v>0.26600000000000001</v>
      </c>
      <c r="M229" s="4">
        <v>227000000000000</v>
      </c>
      <c r="N229" s="4">
        <v>3.84E+16</v>
      </c>
      <c r="O229" s="4">
        <v>3.87E+16</v>
      </c>
      <c r="P229">
        <v>31.728999999999999</v>
      </c>
      <c r="Q229">
        <v>0.63700000000000001</v>
      </c>
      <c r="R229">
        <v>0.36299999999999999</v>
      </c>
      <c r="S229">
        <v>89.646387099999998</v>
      </c>
      <c r="T229">
        <v>51.142377170000003</v>
      </c>
      <c r="U229">
        <v>14.452360000000001</v>
      </c>
      <c r="V229">
        <v>31.603603329999999</v>
      </c>
      <c r="W229">
        <v>20.453679999999999</v>
      </c>
      <c r="X229">
        <v>58.117223330000002</v>
      </c>
    </row>
    <row r="230" spans="1:24" x14ac:dyDescent="0.2">
      <c r="A230" t="s">
        <v>32</v>
      </c>
      <c r="B230" t="s">
        <v>1</v>
      </c>
      <c r="C230" t="s">
        <v>9</v>
      </c>
      <c r="D230">
        <v>3</v>
      </c>
      <c r="E230">
        <v>259</v>
      </c>
      <c r="F230">
        <v>17.3</v>
      </c>
      <c r="G230">
        <v>1.31</v>
      </c>
      <c r="H230">
        <v>1595</v>
      </c>
      <c r="I230">
        <v>13.67</v>
      </c>
      <c r="J230">
        <v>24</v>
      </c>
      <c r="K230">
        <v>30</v>
      </c>
      <c r="L230">
        <v>0.27</v>
      </c>
      <c r="M230" s="4">
        <v>91400000000000</v>
      </c>
      <c r="N230" s="4">
        <v>5.81E+16</v>
      </c>
      <c r="O230" s="4">
        <v>5.82E+16</v>
      </c>
      <c r="P230">
        <v>4.3010000000000002</v>
      </c>
      <c r="Q230">
        <v>0.61299999999999999</v>
      </c>
      <c r="R230">
        <v>0.38700000000000001</v>
      </c>
      <c r="S230">
        <v>90.989846170000007</v>
      </c>
      <c r="T230">
        <v>57.386533559999997</v>
      </c>
      <c r="U230">
        <v>14.43933</v>
      </c>
      <c r="V230">
        <v>22.868701250000001</v>
      </c>
      <c r="W230">
        <v>14.704304</v>
      </c>
      <c r="X230">
        <v>58.579777999999997</v>
      </c>
    </row>
    <row r="231" spans="1:24" x14ac:dyDescent="0.2">
      <c r="A231" t="s">
        <v>32</v>
      </c>
      <c r="B231" t="s">
        <v>2</v>
      </c>
      <c r="C231" t="s">
        <v>8</v>
      </c>
      <c r="D231">
        <v>3</v>
      </c>
      <c r="E231">
        <v>140</v>
      </c>
      <c r="F231">
        <v>18.600000000000001</v>
      </c>
      <c r="G231">
        <v>1.6</v>
      </c>
      <c r="H231">
        <v>1148</v>
      </c>
      <c r="I231">
        <v>13.6</v>
      </c>
      <c r="J231">
        <v>5.6</v>
      </c>
      <c r="K231">
        <v>30</v>
      </c>
      <c r="L231">
        <v>0.35799999999999998</v>
      </c>
      <c r="M231" s="4">
        <v>360000000000000</v>
      </c>
      <c r="N231" s="4">
        <v>2.65E+16</v>
      </c>
      <c r="O231" s="4">
        <v>2.7E+16</v>
      </c>
      <c r="P231">
        <v>8.9619999999999997</v>
      </c>
      <c r="Q231" t="s">
        <v>24</v>
      </c>
      <c r="R231" t="s">
        <v>24</v>
      </c>
      <c r="S231" t="s">
        <v>24</v>
      </c>
      <c r="T231" t="s">
        <v>24</v>
      </c>
      <c r="U231">
        <v>12.757099999999999</v>
      </c>
      <c r="V231">
        <v>19.855</v>
      </c>
      <c r="W231">
        <v>13.153</v>
      </c>
      <c r="X231">
        <v>49.475900000000003</v>
      </c>
    </row>
    <row r="232" spans="1:24" x14ac:dyDescent="0.2">
      <c r="A232" t="s">
        <v>32</v>
      </c>
      <c r="B232" t="s">
        <v>2</v>
      </c>
      <c r="C232" t="s">
        <v>8</v>
      </c>
      <c r="D232">
        <v>2</v>
      </c>
      <c r="E232">
        <v>140</v>
      </c>
      <c r="F232">
        <v>18.600000000000001</v>
      </c>
      <c r="G232">
        <v>1.6</v>
      </c>
      <c r="H232">
        <v>1148</v>
      </c>
      <c r="I232">
        <v>13.6</v>
      </c>
      <c r="J232">
        <v>5.7</v>
      </c>
      <c r="K232">
        <v>30</v>
      </c>
      <c r="L232">
        <v>0.34399999999999997</v>
      </c>
      <c r="M232" s="4">
        <v>500000000000000</v>
      </c>
      <c r="N232" s="4">
        <v>2.54E+16</v>
      </c>
      <c r="O232" s="4">
        <v>2.6E+16</v>
      </c>
      <c r="P232">
        <v>13.029</v>
      </c>
      <c r="Q232" t="s">
        <v>24</v>
      </c>
      <c r="R232" t="s">
        <v>24</v>
      </c>
      <c r="S232" t="s">
        <v>24</v>
      </c>
      <c r="T232" t="s">
        <v>24</v>
      </c>
      <c r="U232">
        <v>13.716900000000001</v>
      </c>
      <c r="V232">
        <v>22.215199999999999</v>
      </c>
      <c r="W232">
        <v>15.594900000000001</v>
      </c>
      <c r="X232">
        <v>54.044199999999996</v>
      </c>
    </row>
    <row r="233" spans="1:24" x14ac:dyDescent="0.2">
      <c r="A233" t="s">
        <v>32</v>
      </c>
      <c r="B233" t="s">
        <v>2</v>
      </c>
      <c r="C233" t="s">
        <v>8</v>
      </c>
      <c r="D233">
        <v>3</v>
      </c>
      <c r="E233">
        <v>45</v>
      </c>
      <c r="F233">
        <v>18.600000000000001</v>
      </c>
      <c r="G233">
        <v>1.6</v>
      </c>
      <c r="H233">
        <v>1148</v>
      </c>
      <c r="I233">
        <v>13.6</v>
      </c>
      <c r="J233">
        <v>5.8</v>
      </c>
      <c r="K233">
        <v>30</v>
      </c>
      <c r="L233">
        <v>0.36</v>
      </c>
      <c r="M233" s="4">
        <v>550000000000000</v>
      </c>
      <c r="N233" s="4">
        <v>4.4E+16</v>
      </c>
      <c r="O233" s="4">
        <v>4.5E+16</v>
      </c>
      <c r="P233">
        <v>11.631</v>
      </c>
      <c r="Q233" t="s">
        <v>24</v>
      </c>
      <c r="R233" t="s">
        <v>24</v>
      </c>
      <c r="S233" t="s">
        <v>24</v>
      </c>
      <c r="T233" t="s">
        <v>24</v>
      </c>
      <c r="U233">
        <v>15.3705</v>
      </c>
      <c r="V233">
        <v>28.300699999999999</v>
      </c>
      <c r="W233">
        <v>15.039199999999999</v>
      </c>
      <c r="X233">
        <v>165.18600000000001</v>
      </c>
    </row>
    <row r="234" spans="1:24" x14ac:dyDescent="0.2">
      <c r="A234" t="s">
        <v>32</v>
      </c>
      <c r="B234" t="s">
        <v>2</v>
      </c>
      <c r="C234" t="s">
        <v>8</v>
      </c>
      <c r="D234">
        <v>2</v>
      </c>
      <c r="E234">
        <v>64</v>
      </c>
      <c r="F234">
        <v>18.600000000000001</v>
      </c>
      <c r="G234">
        <v>1.6</v>
      </c>
      <c r="H234">
        <v>1148</v>
      </c>
      <c r="I234">
        <v>13.6</v>
      </c>
      <c r="J234">
        <v>4.8</v>
      </c>
      <c r="K234">
        <v>30</v>
      </c>
      <c r="L234">
        <v>0.34599999999999997</v>
      </c>
      <c r="M234" s="4">
        <v>620000000000000</v>
      </c>
      <c r="N234" s="4">
        <v>2.97E+16</v>
      </c>
      <c r="O234" s="4">
        <v>3E+16</v>
      </c>
      <c r="P234">
        <v>22.116</v>
      </c>
      <c r="Q234" t="s">
        <v>24</v>
      </c>
      <c r="R234" t="s">
        <v>24</v>
      </c>
      <c r="S234" t="s">
        <v>24</v>
      </c>
      <c r="T234" t="s">
        <v>24</v>
      </c>
      <c r="U234">
        <v>15.7994</v>
      </c>
      <c r="V234">
        <v>32.405299999999997</v>
      </c>
      <c r="W234">
        <v>16.357500000000002</v>
      </c>
      <c r="X234">
        <v>122.11799999999999</v>
      </c>
    </row>
    <row r="235" spans="1:24" x14ac:dyDescent="0.2">
      <c r="A235" t="s">
        <v>32</v>
      </c>
      <c r="B235" t="s">
        <v>2</v>
      </c>
      <c r="C235" t="s">
        <v>8</v>
      </c>
      <c r="D235">
        <v>2</v>
      </c>
      <c r="E235">
        <v>159</v>
      </c>
      <c r="F235">
        <v>18.600000000000001</v>
      </c>
      <c r="G235">
        <v>1.6</v>
      </c>
      <c r="H235">
        <v>1148</v>
      </c>
      <c r="I235">
        <v>13.6</v>
      </c>
      <c r="J235">
        <v>9.1999999999999993</v>
      </c>
      <c r="K235">
        <v>30</v>
      </c>
      <c r="L235">
        <v>0.34399999999999997</v>
      </c>
      <c r="M235" s="4">
        <v>750000000000000</v>
      </c>
      <c r="N235" s="4">
        <v>7400000000000000</v>
      </c>
      <c r="O235" s="4">
        <v>8100000000000000</v>
      </c>
      <c r="P235">
        <v>27.266999999999999</v>
      </c>
      <c r="Q235" t="s">
        <v>24</v>
      </c>
      <c r="R235" t="s">
        <v>24</v>
      </c>
      <c r="S235" t="s">
        <v>24</v>
      </c>
      <c r="T235" t="s">
        <v>24</v>
      </c>
      <c r="U235">
        <v>14.450699999999999</v>
      </c>
      <c r="V235">
        <v>27.444600000000001</v>
      </c>
      <c r="W235">
        <v>16.451499999999999</v>
      </c>
      <c r="X235">
        <v>57.129100000000001</v>
      </c>
    </row>
    <row r="236" spans="1:24" x14ac:dyDescent="0.2">
      <c r="A236" t="s">
        <v>32</v>
      </c>
      <c r="B236" t="s">
        <v>2</v>
      </c>
      <c r="C236" t="s">
        <v>8</v>
      </c>
      <c r="D236">
        <v>3</v>
      </c>
      <c r="E236">
        <v>210</v>
      </c>
      <c r="F236">
        <v>18.600000000000001</v>
      </c>
      <c r="G236">
        <v>1.6</v>
      </c>
      <c r="H236">
        <v>1148</v>
      </c>
      <c r="I236">
        <v>13.6</v>
      </c>
      <c r="J236">
        <v>9.1999999999999993</v>
      </c>
      <c r="K236">
        <v>30</v>
      </c>
      <c r="L236">
        <v>0.35699999999999998</v>
      </c>
      <c r="M236" s="4">
        <v>470000000000000</v>
      </c>
      <c r="N236" s="4">
        <v>3.25E+16</v>
      </c>
      <c r="O236" s="4">
        <v>3.3E+16</v>
      </c>
      <c r="P236">
        <v>12.352</v>
      </c>
      <c r="Q236" t="s">
        <v>24</v>
      </c>
      <c r="R236" t="s">
        <v>24</v>
      </c>
      <c r="S236" t="s">
        <v>24</v>
      </c>
      <c r="T236" t="s">
        <v>24</v>
      </c>
      <c r="U236">
        <v>12.7026</v>
      </c>
      <c r="V236">
        <v>19.836600000000001</v>
      </c>
      <c r="W236">
        <v>14.1073</v>
      </c>
      <c r="X236">
        <v>52.265799999999999</v>
      </c>
    </row>
    <row r="237" spans="1:24" x14ac:dyDescent="0.2">
      <c r="A237" t="s">
        <v>32</v>
      </c>
      <c r="B237" t="s">
        <v>2</v>
      </c>
      <c r="C237" t="s">
        <v>8</v>
      </c>
      <c r="D237">
        <v>3</v>
      </c>
      <c r="E237">
        <v>110</v>
      </c>
      <c r="F237">
        <v>18.600000000000001</v>
      </c>
      <c r="G237">
        <v>1.6</v>
      </c>
      <c r="H237">
        <v>1148</v>
      </c>
      <c r="I237">
        <v>13.6</v>
      </c>
      <c r="J237">
        <v>10</v>
      </c>
      <c r="K237">
        <v>30</v>
      </c>
      <c r="L237">
        <v>0.34300000000000003</v>
      </c>
      <c r="M237" s="4">
        <v>410000000000000</v>
      </c>
      <c r="N237" s="4">
        <v>3.15E+16</v>
      </c>
      <c r="O237" s="4">
        <v>3.2E+16</v>
      </c>
      <c r="P237">
        <v>10.888999999999999</v>
      </c>
      <c r="Q237" t="s">
        <v>24</v>
      </c>
      <c r="R237" t="s">
        <v>24</v>
      </c>
      <c r="S237" t="s">
        <v>24</v>
      </c>
      <c r="T237" t="s">
        <v>24</v>
      </c>
      <c r="U237">
        <v>13.173500000000001</v>
      </c>
      <c r="V237">
        <v>20.8428</v>
      </c>
      <c r="W237">
        <v>15.6302</v>
      </c>
      <c r="X237">
        <v>50.555500000000002</v>
      </c>
    </row>
    <row r="238" spans="1:24" x14ac:dyDescent="0.2">
      <c r="A238" t="s">
        <v>32</v>
      </c>
      <c r="B238" t="s">
        <v>2</v>
      </c>
      <c r="C238" t="s">
        <v>8</v>
      </c>
      <c r="D238">
        <v>3</v>
      </c>
      <c r="E238">
        <v>83</v>
      </c>
      <c r="F238">
        <v>18.600000000000001</v>
      </c>
      <c r="G238">
        <v>1.6</v>
      </c>
      <c r="H238">
        <v>1148</v>
      </c>
      <c r="I238">
        <v>13.6</v>
      </c>
      <c r="J238">
        <v>-4.0999999999999996</v>
      </c>
      <c r="K238">
        <v>30</v>
      </c>
      <c r="L238">
        <v>0.36399999999999999</v>
      </c>
      <c r="M238" s="4">
        <v>570000000000000</v>
      </c>
      <c r="N238" s="4">
        <v>3.94E+16</v>
      </c>
      <c r="O238" s="4">
        <v>4E+16</v>
      </c>
      <c r="P238">
        <v>15.952</v>
      </c>
      <c r="Q238" t="s">
        <v>24</v>
      </c>
      <c r="R238" t="s">
        <v>24</v>
      </c>
      <c r="S238" t="s">
        <v>24</v>
      </c>
      <c r="T238" t="s">
        <v>24</v>
      </c>
      <c r="U238">
        <v>13.282299999999999</v>
      </c>
      <c r="V238">
        <v>22.190300000000001</v>
      </c>
      <c r="W238">
        <v>17.076599999999999</v>
      </c>
      <c r="X238">
        <v>57.116700000000002</v>
      </c>
    </row>
    <row r="239" spans="1:24" x14ac:dyDescent="0.2">
      <c r="A239" t="s">
        <v>32</v>
      </c>
      <c r="B239" t="s">
        <v>2</v>
      </c>
      <c r="C239" t="s">
        <v>8</v>
      </c>
      <c r="D239">
        <v>2</v>
      </c>
      <c r="E239">
        <v>166</v>
      </c>
      <c r="F239">
        <v>18.600000000000001</v>
      </c>
      <c r="G239">
        <v>1.6</v>
      </c>
      <c r="H239">
        <v>1148</v>
      </c>
      <c r="I239">
        <v>13.6</v>
      </c>
      <c r="J239">
        <v>-3.7</v>
      </c>
      <c r="K239">
        <v>30</v>
      </c>
      <c r="L239">
        <v>0.33600000000000002</v>
      </c>
      <c r="M239" s="4">
        <v>770000000000000</v>
      </c>
      <c r="N239" s="4">
        <v>3.16E+16</v>
      </c>
      <c r="O239" s="4">
        <v>3.2E+16</v>
      </c>
      <c r="P239">
        <v>27.91</v>
      </c>
      <c r="Q239" t="s">
        <v>24</v>
      </c>
      <c r="R239" t="s">
        <v>24</v>
      </c>
      <c r="S239" t="s">
        <v>24</v>
      </c>
      <c r="T239" t="s">
        <v>24</v>
      </c>
      <c r="U239">
        <v>14.4476</v>
      </c>
      <c r="V239">
        <v>26.572299999999998</v>
      </c>
      <c r="W239">
        <v>17.4739</v>
      </c>
      <c r="X239">
        <v>57.724299999999999</v>
      </c>
    </row>
    <row r="240" spans="1:24" x14ac:dyDescent="0.2">
      <c r="A240" t="s">
        <v>32</v>
      </c>
      <c r="B240" t="s">
        <v>2</v>
      </c>
      <c r="C240" t="s">
        <v>8</v>
      </c>
      <c r="D240">
        <v>3</v>
      </c>
      <c r="E240">
        <v>184</v>
      </c>
      <c r="F240">
        <v>18.600000000000001</v>
      </c>
      <c r="G240">
        <v>1.6</v>
      </c>
      <c r="H240">
        <v>1148</v>
      </c>
      <c r="I240">
        <v>13.6</v>
      </c>
      <c r="J240">
        <v>3</v>
      </c>
      <c r="K240">
        <v>30</v>
      </c>
      <c r="L240">
        <v>0.34499999999999997</v>
      </c>
      <c r="M240" s="4">
        <v>9400000000000000</v>
      </c>
      <c r="N240" s="4">
        <v>2.46E+16</v>
      </c>
      <c r="O240" s="4">
        <v>3.4E+16</v>
      </c>
      <c r="P240">
        <v>16.027999999999999</v>
      </c>
      <c r="Q240" t="s">
        <v>24</v>
      </c>
      <c r="R240" t="s">
        <v>24</v>
      </c>
      <c r="S240" t="s">
        <v>24</v>
      </c>
      <c r="T240" t="s">
        <v>24</v>
      </c>
      <c r="U240">
        <v>12.990500000000001</v>
      </c>
      <c r="V240">
        <v>22.184100000000001</v>
      </c>
      <c r="W240">
        <v>12.968299999999999</v>
      </c>
      <c r="X240">
        <v>25.1876</v>
      </c>
    </row>
    <row r="241" spans="1:24" x14ac:dyDescent="0.2">
      <c r="A241" t="s">
        <v>32</v>
      </c>
      <c r="B241" t="s">
        <v>2</v>
      </c>
      <c r="C241" t="s">
        <v>8</v>
      </c>
      <c r="D241">
        <v>2</v>
      </c>
      <c r="E241">
        <v>150</v>
      </c>
      <c r="F241">
        <v>18.600000000000001</v>
      </c>
      <c r="G241">
        <v>1.6</v>
      </c>
      <c r="H241">
        <v>1148</v>
      </c>
      <c r="I241">
        <v>13.6</v>
      </c>
      <c r="J241">
        <v>13.5</v>
      </c>
      <c r="K241">
        <v>30</v>
      </c>
      <c r="L241">
        <v>0.32800000000000001</v>
      </c>
      <c r="M241" s="4">
        <v>600000000000000</v>
      </c>
      <c r="N241" s="4">
        <v>2.62E+16</v>
      </c>
      <c r="O241" s="4">
        <v>2.7E+16</v>
      </c>
      <c r="P241">
        <v>21.594000000000001</v>
      </c>
      <c r="Q241" t="s">
        <v>24</v>
      </c>
      <c r="R241" t="s">
        <v>24</v>
      </c>
      <c r="S241" t="s">
        <v>24</v>
      </c>
      <c r="T241" t="s">
        <v>24</v>
      </c>
      <c r="U241">
        <v>14.005599999999999</v>
      </c>
      <c r="V241">
        <v>27.8019</v>
      </c>
      <c r="W241">
        <v>18.3978</v>
      </c>
      <c r="X241">
        <v>59.920499999999997</v>
      </c>
    </row>
    <row r="242" spans="1:24" x14ac:dyDescent="0.2">
      <c r="A242" t="s">
        <v>32</v>
      </c>
      <c r="B242" t="s">
        <v>2</v>
      </c>
      <c r="C242" t="s">
        <v>12</v>
      </c>
      <c r="D242">
        <v>3</v>
      </c>
      <c r="E242">
        <v>165</v>
      </c>
      <c r="F242">
        <v>0</v>
      </c>
      <c r="G242">
        <v>0</v>
      </c>
      <c r="H242">
        <v>19</v>
      </c>
      <c r="I242">
        <v>15.5</v>
      </c>
      <c r="J242">
        <v>13.4</v>
      </c>
      <c r="K242">
        <v>30</v>
      </c>
      <c r="L242">
        <v>0.34200000000000003</v>
      </c>
      <c r="M242" s="4">
        <v>23000000000000</v>
      </c>
      <c r="N242" s="4">
        <v>1570000000000000</v>
      </c>
      <c r="O242" s="4">
        <v>1600000000000000</v>
      </c>
      <c r="P242">
        <v>1.988</v>
      </c>
      <c r="Q242">
        <v>0.94599999999999995</v>
      </c>
      <c r="R242">
        <v>5.3999999999999999E-2</v>
      </c>
      <c r="S242">
        <v>0.95322967800000002</v>
      </c>
      <c r="T242">
        <v>5.4278321999999997E-2</v>
      </c>
      <c r="U242">
        <v>13.238200000000001</v>
      </c>
      <c r="V242">
        <v>37.911799999999999</v>
      </c>
      <c r="W242">
        <v>15.2972</v>
      </c>
      <c r="X242">
        <v>70.042000000000002</v>
      </c>
    </row>
    <row r="243" spans="1:24" x14ac:dyDescent="0.2">
      <c r="A243" t="s">
        <v>32</v>
      </c>
      <c r="B243" t="s">
        <v>2</v>
      </c>
      <c r="C243" t="s">
        <v>12</v>
      </c>
      <c r="D243">
        <v>3</v>
      </c>
      <c r="E243">
        <v>200</v>
      </c>
      <c r="F243">
        <v>0</v>
      </c>
      <c r="G243">
        <v>0</v>
      </c>
      <c r="H243">
        <v>19</v>
      </c>
      <c r="I243">
        <v>15.5</v>
      </c>
      <c r="J243">
        <v>15</v>
      </c>
      <c r="K243">
        <v>30</v>
      </c>
      <c r="L243">
        <v>0.32800000000000001</v>
      </c>
      <c r="M243" s="4">
        <v>9400000000000</v>
      </c>
      <c r="N243" s="4">
        <v>805000000000000</v>
      </c>
      <c r="O243" s="4">
        <v>810000000000000</v>
      </c>
      <c r="P243">
        <v>3.6789999999999998</v>
      </c>
      <c r="Q243">
        <v>0.65</v>
      </c>
      <c r="R243">
        <v>0.35</v>
      </c>
      <c r="S243">
        <v>0.61894145300000003</v>
      </c>
      <c r="T243">
        <v>0.33359454700000002</v>
      </c>
      <c r="U243">
        <v>17.653400000000001</v>
      </c>
      <c r="V243">
        <v>89.474000000000004</v>
      </c>
      <c r="W243">
        <v>18.6721</v>
      </c>
      <c r="X243">
        <v>84.499499999999998</v>
      </c>
    </row>
    <row r="244" spans="1:24" x14ac:dyDescent="0.2">
      <c r="A244" t="s">
        <v>32</v>
      </c>
      <c r="B244" t="s">
        <v>2</v>
      </c>
      <c r="C244" t="s">
        <v>8</v>
      </c>
      <c r="D244">
        <v>2</v>
      </c>
      <c r="E244">
        <v>120</v>
      </c>
      <c r="F244">
        <v>18.600000000000001</v>
      </c>
      <c r="G244">
        <v>1.6</v>
      </c>
      <c r="H244">
        <v>1148</v>
      </c>
      <c r="I244">
        <v>13.6</v>
      </c>
      <c r="J244">
        <v>0.5</v>
      </c>
      <c r="K244">
        <v>30</v>
      </c>
      <c r="L244">
        <v>0.34899999999999998</v>
      </c>
      <c r="M244" s="4">
        <v>670000000000000</v>
      </c>
      <c r="N244" s="4">
        <v>3.13E+16</v>
      </c>
      <c r="O244" s="4">
        <v>3.2E+16</v>
      </c>
      <c r="P244">
        <v>24.492999999999999</v>
      </c>
      <c r="Q244" t="s">
        <v>24</v>
      </c>
      <c r="R244" t="s">
        <v>24</v>
      </c>
      <c r="S244" t="s">
        <v>24</v>
      </c>
      <c r="T244" t="s">
        <v>24</v>
      </c>
      <c r="U244">
        <v>14.010899999999999</v>
      </c>
      <c r="V244">
        <v>19.819500000000001</v>
      </c>
      <c r="W244">
        <v>16.142700000000001</v>
      </c>
      <c r="X244">
        <v>31.9145</v>
      </c>
    </row>
    <row r="245" spans="1:24" x14ac:dyDescent="0.2">
      <c r="A245" t="s">
        <v>32</v>
      </c>
      <c r="B245" t="s">
        <v>2</v>
      </c>
      <c r="C245" t="s">
        <v>12</v>
      </c>
      <c r="D245">
        <v>3</v>
      </c>
      <c r="E245">
        <v>150</v>
      </c>
      <c r="F245">
        <v>0</v>
      </c>
      <c r="G245">
        <v>0</v>
      </c>
      <c r="H245">
        <v>19</v>
      </c>
      <c r="I245">
        <v>15.5</v>
      </c>
      <c r="J245">
        <v>0.5</v>
      </c>
      <c r="K245">
        <v>30</v>
      </c>
      <c r="L245">
        <v>0.36299999999999999</v>
      </c>
      <c r="M245" s="4">
        <v>14000000000000</v>
      </c>
      <c r="N245" s="4">
        <v>1540000000000000</v>
      </c>
      <c r="O245" s="4">
        <v>1600000000000000</v>
      </c>
      <c r="P245">
        <v>2.4</v>
      </c>
      <c r="Q245" t="s">
        <v>24</v>
      </c>
      <c r="R245" t="s">
        <v>24</v>
      </c>
      <c r="S245" t="s">
        <v>24</v>
      </c>
      <c r="T245" t="s">
        <v>24</v>
      </c>
      <c r="U245">
        <v>13.837199999999999</v>
      </c>
      <c r="V245">
        <v>19.8002</v>
      </c>
      <c r="W245">
        <v>15.9284</v>
      </c>
      <c r="X245">
        <v>31.4375</v>
      </c>
    </row>
    <row r="246" spans="1:24" x14ac:dyDescent="0.2">
      <c r="A246" t="s">
        <v>32</v>
      </c>
      <c r="B246" t="s">
        <v>2</v>
      </c>
      <c r="C246" t="s">
        <v>12</v>
      </c>
      <c r="D246">
        <v>3</v>
      </c>
      <c r="E246">
        <v>90</v>
      </c>
      <c r="F246">
        <v>0</v>
      </c>
      <c r="G246">
        <v>0</v>
      </c>
      <c r="H246">
        <v>19</v>
      </c>
      <c r="I246">
        <v>15.5</v>
      </c>
      <c r="J246">
        <v>4</v>
      </c>
      <c r="K246">
        <v>30</v>
      </c>
      <c r="L246">
        <v>0.34399999999999997</v>
      </c>
      <c r="M246" s="4">
        <v>33000000000000</v>
      </c>
      <c r="N246" s="4">
        <v>1570000000000000</v>
      </c>
      <c r="O246" s="4">
        <v>1600000000000000</v>
      </c>
      <c r="P246">
        <v>3.04</v>
      </c>
      <c r="Q246">
        <v>0.64400000000000002</v>
      </c>
      <c r="R246">
        <v>0.35599999999999998</v>
      </c>
      <c r="S246">
        <v>0.46376927099999998</v>
      </c>
      <c r="T246">
        <v>0.25652112900000001</v>
      </c>
      <c r="U246">
        <v>12.4598</v>
      </c>
      <c r="V246">
        <v>28.456499999999998</v>
      </c>
      <c r="W246">
        <v>15.2867</v>
      </c>
      <c r="X246">
        <v>30.986899999999999</v>
      </c>
    </row>
    <row r="247" spans="1:24" x14ac:dyDescent="0.2">
      <c r="A247" t="s">
        <v>32</v>
      </c>
      <c r="B247" t="s">
        <v>2</v>
      </c>
      <c r="C247" t="s">
        <v>8</v>
      </c>
      <c r="D247">
        <v>2</v>
      </c>
      <c r="E247">
        <v>190</v>
      </c>
      <c r="F247">
        <v>18.600000000000001</v>
      </c>
      <c r="G247">
        <v>1.6</v>
      </c>
      <c r="H247">
        <v>1148</v>
      </c>
      <c r="I247">
        <v>13.6</v>
      </c>
      <c r="J247">
        <v>0.7</v>
      </c>
      <c r="K247">
        <v>30</v>
      </c>
      <c r="L247">
        <v>0.33200000000000002</v>
      </c>
      <c r="M247" s="4">
        <v>650000000000000</v>
      </c>
      <c r="N247" s="4">
        <v>2.74E+16</v>
      </c>
      <c r="O247" s="4">
        <v>2.8E+16</v>
      </c>
      <c r="P247">
        <v>25.927</v>
      </c>
      <c r="Q247" t="s">
        <v>24</v>
      </c>
      <c r="R247" t="s">
        <v>24</v>
      </c>
      <c r="S247" t="s">
        <v>24</v>
      </c>
      <c r="T247" t="s">
        <v>24</v>
      </c>
      <c r="U247">
        <v>14.270899999999999</v>
      </c>
      <c r="V247">
        <v>25.843699999999998</v>
      </c>
      <c r="W247">
        <v>17.2302</v>
      </c>
      <c r="X247">
        <v>56.649900000000002</v>
      </c>
    </row>
    <row r="248" spans="1:24" x14ac:dyDescent="0.2">
      <c r="A248" t="s">
        <v>32</v>
      </c>
      <c r="B248" t="s">
        <v>2</v>
      </c>
      <c r="C248" t="s">
        <v>14</v>
      </c>
      <c r="D248">
        <v>3</v>
      </c>
      <c r="E248">
        <v>185</v>
      </c>
      <c r="F248">
        <v>8</v>
      </c>
      <c r="G248">
        <v>0.8</v>
      </c>
      <c r="H248">
        <v>699</v>
      </c>
      <c r="I248">
        <v>14.5</v>
      </c>
      <c r="J248">
        <v>1.1000000000000001</v>
      </c>
      <c r="K248">
        <v>30</v>
      </c>
      <c r="L248">
        <v>0.34599999999999997</v>
      </c>
      <c r="M248" s="4">
        <v>150000000000000</v>
      </c>
      <c r="N248" s="4">
        <v>1.72E+16</v>
      </c>
      <c r="O248" s="4">
        <v>1.7E+16</v>
      </c>
      <c r="P248">
        <v>3.9409999999999998</v>
      </c>
      <c r="Q248">
        <v>0.48599999999999999</v>
      </c>
      <c r="R248">
        <v>0.51400000000000001</v>
      </c>
      <c r="S248">
        <v>21.767481539999999</v>
      </c>
      <c r="T248">
        <v>23.022374460000002</v>
      </c>
      <c r="U248">
        <v>12.3141</v>
      </c>
      <c r="V248">
        <v>17.4361</v>
      </c>
      <c r="W248">
        <v>13.8719</v>
      </c>
      <c r="X248">
        <v>55.824300000000001</v>
      </c>
    </row>
    <row r="249" spans="1:24" x14ac:dyDescent="0.2">
      <c r="A249" t="s">
        <v>32</v>
      </c>
      <c r="B249" t="s">
        <v>2</v>
      </c>
      <c r="C249" t="s">
        <v>14</v>
      </c>
      <c r="D249">
        <v>3</v>
      </c>
      <c r="E249">
        <v>180</v>
      </c>
      <c r="F249">
        <v>8</v>
      </c>
      <c r="G249">
        <v>0.8</v>
      </c>
      <c r="H249">
        <v>699</v>
      </c>
      <c r="I249">
        <v>14.5</v>
      </c>
      <c r="J249">
        <v>9</v>
      </c>
      <c r="K249">
        <v>30</v>
      </c>
      <c r="L249">
        <v>0.35599999999999998</v>
      </c>
      <c r="M249" s="4">
        <v>130000000000000</v>
      </c>
      <c r="N249" s="4">
        <v>1.65E+16</v>
      </c>
      <c r="O249" s="4">
        <v>1.7E+16</v>
      </c>
      <c r="P249">
        <v>3.5049999999999999</v>
      </c>
      <c r="Q249">
        <v>0.20499999999999999</v>
      </c>
      <c r="R249">
        <v>0.79500000000000004</v>
      </c>
      <c r="S249">
        <v>7.139851663</v>
      </c>
      <c r="T249">
        <v>27.676276340000001</v>
      </c>
      <c r="U249">
        <v>11.9496</v>
      </c>
      <c r="V249">
        <v>17.008299999999998</v>
      </c>
      <c r="W249">
        <v>14.2468</v>
      </c>
      <c r="X249">
        <v>57.630899999999997</v>
      </c>
    </row>
    <row r="250" spans="1:24" x14ac:dyDescent="0.2">
      <c r="A250" t="s">
        <v>32</v>
      </c>
      <c r="B250" t="s">
        <v>2</v>
      </c>
      <c r="C250" t="s">
        <v>8</v>
      </c>
      <c r="D250">
        <v>2</v>
      </c>
      <c r="E250">
        <v>170</v>
      </c>
      <c r="F250">
        <v>18.600000000000001</v>
      </c>
      <c r="G250">
        <v>1.6</v>
      </c>
      <c r="H250">
        <v>1148</v>
      </c>
      <c r="I250">
        <v>13.6</v>
      </c>
      <c r="J250">
        <v>15.6</v>
      </c>
      <c r="K250">
        <v>30</v>
      </c>
      <c r="L250">
        <v>0.33900000000000002</v>
      </c>
      <c r="M250" s="4">
        <v>540000000000000</v>
      </c>
      <c r="N250" s="4">
        <v>2.57E+16</v>
      </c>
      <c r="O250" s="4">
        <v>2.6E+16</v>
      </c>
      <c r="P250">
        <v>19.937999999999999</v>
      </c>
      <c r="Q250">
        <v>0.72799999999999998</v>
      </c>
      <c r="R250">
        <v>0.27200000000000002</v>
      </c>
      <c r="S250">
        <v>69.298475370000006</v>
      </c>
      <c r="T250">
        <v>25.933404629999998</v>
      </c>
      <c r="U250">
        <v>14.1281</v>
      </c>
      <c r="V250">
        <v>24.6554</v>
      </c>
      <c r="W250">
        <v>18.646100000000001</v>
      </c>
      <c r="X250">
        <v>57.353499999999997</v>
      </c>
    </row>
    <row r="251" spans="1:24" x14ac:dyDescent="0.2">
      <c r="A251" t="s">
        <v>32</v>
      </c>
      <c r="B251" t="s">
        <v>2</v>
      </c>
      <c r="C251" t="s">
        <v>11</v>
      </c>
      <c r="D251">
        <v>3</v>
      </c>
      <c r="E251">
        <v>130</v>
      </c>
      <c r="F251">
        <v>0.6</v>
      </c>
      <c r="G251">
        <v>0</v>
      </c>
      <c r="H251">
        <v>22</v>
      </c>
      <c r="I251">
        <v>15.1</v>
      </c>
      <c r="J251">
        <v>15.6</v>
      </c>
      <c r="K251">
        <v>30</v>
      </c>
      <c r="L251">
        <v>0.33900000000000002</v>
      </c>
      <c r="M251" s="4">
        <v>32000000000000</v>
      </c>
      <c r="N251" s="4">
        <v>1520000000000000</v>
      </c>
      <c r="O251" s="4">
        <v>1600000000000000</v>
      </c>
      <c r="P251">
        <v>1.766</v>
      </c>
      <c r="Q251" t="s">
        <v>24</v>
      </c>
      <c r="R251" t="s">
        <v>24</v>
      </c>
      <c r="S251" t="s">
        <v>24</v>
      </c>
      <c r="T251" t="s">
        <v>24</v>
      </c>
      <c r="U251">
        <v>14.342700000000001</v>
      </c>
      <c r="V251">
        <v>25.5947</v>
      </c>
      <c r="W251">
        <v>16.247399999999999</v>
      </c>
      <c r="X251">
        <v>73.708100000000002</v>
      </c>
    </row>
    <row r="252" spans="1:24" x14ac:dyDescent="0.2">
      <c r="A252" t="s">
        <v>32</v>
      </c>
      <c r="B252" t="s">
        <v>2</v>
      </c>
      <c r="C252" t="s">
        <v>11</v>
      </c>
      <c r="D252">
        <v>3</v>
      </c>
      <c r="E252">
        <v>110</v>
      </c>
      <c r="F252">
        <v>0.6</v>
      </c>
      <c r="G252">
        <v>0</v>
      </c>
      <c r="H252">
        <v>22</v>
      </c>
      <c r="I252">
        <v>15.1</v>
      </c>
      <c r="J252">
        <v>17.899999999999999</v>
      </c>
      <c r="K252">
        <v>30</v>
      </c>
      <c r="L252">
        <v>0.33900000000000002</v>
      </c>
      <c r="M252" s="4">
        <v>19000000000000</v>
      </c>
      <c r="N252" s="4">
        <v>827000000000000</v>
      </c>
      <c r="O252" s="4">
        <v>850000000000000</v>
      </c>
      <c r="P252">
        <v>1.7789999999999999</v>
      </c>
      <c r="Q252">
        <v>0.73099999999999998</v>
      </c>
      <c r="R252">
        <v>0.26900000000000002</v>
      </c>
      <c r="S252">
        <v>0.36165238100000002</v>
      </c>
      <c r="T252">
        <v>0.13309441899999999</v>
      </c>
      <c r="U252">
        <v>12.5916</v>
      </c>
      <c r="V252">
        <v>54.727899999999998</v>
      </c>
      <c r="W252">
        <v>15.2187</v>
      </c>
      <c r="X252">
        <v>38.843800000000002</v>
      </c>
    </row>
    <row r="253" spans="1:24" x14ac:dyDescent="0.2">
      <c r="A253" t="s">
        <v>32</v>
      </c>
      <c r="B253" t="s">
        <v>2</v>
      </c>
      <c r="C253" t="s">
        <v>8</v>
      </c>
      <c r="D253">
        <v>2</v>
      </c>
      <c r="E253">
        <v>180</v>
      </c>
      <c r="F253">
        <v>18.600000000000001</v>
      </c>
      <c r="G253">
        <v>1.6</v>
      </c>
      <c r="H253">
        <v>1148</v>
      </c>
      <c r="I253">
        <v>13.6</v>
      </c>
      <c r="J253">
        <v>-0.1</v>
      </c>
      <c r="K253">
        <v>30</v>
      </c>
      <c r="L253">
        <v>0.33800000000000002</v>
      </c>
      <c r="M253" s="4">
        <v>630000000000000</v>
      </c>
      <c r="N253" s="4">
        <v>2.76E+16</v>
      </c>
      <c r="O253" s="4">
        <v>2.8E+16</v>
      </c>
      <c r="P253">
        <v>21.81</v>
      </c>
      <c r="Q253">
        <v>0.81</v>
      </c>
      <c r="R253">
        <v>0.19</v>
      </c>
      <c r="S253">
        <v>67.668122580000002</v>
      </c>
      <c r="T253">
        <v>15.860277419999999</v>
      </c>
      <c r="U253">
        <v>13.779500000000001</v>
      </c>
      <c r="V253">
        <v>24.523599999999998</v>
      </c>
      <c r="W253">
        <v>18.2575</v>
      </c>
      <c r="X253">
        <v>56.4086</v>
      </c>
    </row>
    <row r="254" spans="1:24" x14ac:dyDescent="0.2">
      <c r="A254" t="s">
        <v>32</v>
      </c>
      <c r="B254" t="s">
        <v>2</v>
      </c>
      <c r="C254" t="s">
        <v>11</v>
      </c>
      <c r="D254">
        <v>3</v>
      </c>
      <c r="E254">
        <v>140</v>
      </c>
      <c r="F254">
        <v>0.6</v>
      </c>
      <c r="G254">
        <v>0</v>
      </c>
      <c r="H254">
        <v>22</v>
      </c>
      <c r="I254">
        <v>15.1</v>
      </c>
      <c r="J254">
        <v>0</v>
      </c>
      <c r="K254">
        <v>30</v>
      </c>
      <c r="L254">
        <v>0.35199999999999998</v>
      </c>
      <c r="M254" s="4">
        <v>65000000000000</v>
      </c>
      <c r="N254" s="4">
        <v>1260000000000000</v>
      </c>
      <c r="O254" s="4">
        <v>1300000000000000</v>
      </c>
      <c r="P254">
        <v>2.5939999999999999</v>
      </c>
      <c r="Q254" t="s">
        <v>24</v>
      </c>
      <c r="R254" t="s">
        <v>24</v>
      </c>
      <c r="S254" t="s">
        <v>24</v>
      </c>
      <c r="T254" t="s">
        <v>24</v>
      </c>
      <c r="U254">
        <v>14.0886</v>
      </c>
      <c r="V254">
        <v>37.898200000000003</v>
      </c>
      <c r="W254">
        <v>15.622999999999999</v>
      </c>
      <c r="X254">
        <v>59.223100000000002</v>
      </c>
    </row>
    <row r="255" spans="1:24" x14ac:dyDescent="0.2">
      <c r="A255" t="s">
        <v>32</v>
      </c>
      <c r="B255" t="s">
        <v>2</v>
      </c>
      <c r="C255" t="s">
        <v>8</v>
      </c>
      <c r="D255">
        <v>2</v>
      </c>
      <c r="E255">
        <v>160</v>
      </c>
      <c r="F255">
        <v>18.600000000000001</v>
      </c>
      <c r="G255">
        <v>1.6</v>
      </c>
      <c r="H255">
        <v>1148</v>
      </c>
      <c r="I255">
        <v>13.6</v>
      </c>
      <c r="J255">
        <v>9.3000000000000007</v>
      </c>
      <c r="K255">
        <v>30</v>
      </c>
      <c r="L255">
        <v>0.879</v>
      </c>
      <c r="M255" s="4">
        <v>560000000000000</v>
      </c>
      <c r="N255" s="4">
        <v>2.55E+16</v>
      </c>
      <c r="O255" s="4">
        <v>2.6E+16</v>
      </c>
      <c r="P255">
        <v>20.332000000000001</v>
      </c>
      <c r="Q255" t="s">
        <v>24</v>
      </c>
      <c r="R255" t="s">
        <v>24</v>
      </c>
      <c r="S255" t="s">
        <v>24</v>
      </c>
      <c r="T255" t="s">
        <v>24</v>
      </c>
      <c r="U255">
        <v>13.7392</v>
      </c>
      <c r="V255">
        <v>25.1812</v>
      </c>
      <c r="W255">
        <v>14.972099999999999</v>
      </c>
      <c r="X255">
        <v>55.921799999999998</v>
      </c>
    </row>
    <row r="256" spans="1:24" x14ac:dyDescent="0.2">
      <c r="A256" t="s">
        <v>32</v>
      </c>
      <c r="B256" t="s">
        <v>2</v>
      </c>
      <c r="C256" t="s">
        <v>13</v>
      </c>
      <c r="D256">
        <v>3</v>
      </c>
      <c r="E256">
        <v>140</v>
      </c>
      <c r="F256">
        <v>9.1</v>
      </c>
      <c r="G256">
        <v>0.8</v>
      </c>
      <c r="H256">
        <v>658</v>
      </c>
      <c r="I256">
        <v>14.3</v>
      </c>
      <c r="J256">
        <v>9.5</v>
      </c>
      <c r="K256">
        <v>30</v>
      </c>
      <c r="L256">
        <v>0.879</v>
      </c>
      <c r="M256" s="4">
        <v>160000000000000</v>
      </c>
      <c r="N256" s="4">
        <v>1.36E+16</v>
      </c>
      <c r="O256" s="4">
        <v>1.4E+16</v>
      </c>
      <c r="P256">
        <v>3.6139999999999999</v>
      </c>
      <c r="Q256" t="s">
        <v>24</v>
      </c>
      <c r="R256" t="s">
        <v>24</v>
      </c>
      <c r="S256" t="s">
        <v>24</v>
      </c>
      <c r="T256" t="s">
        <v>24</v>
      </c>
      <c r="U256">
        <v>12.1511</v>
      </c>
      <c r="V256">
        <v>20.122800000000002</v>
      </c>
      <c r="W256">
        <v>14.428699999999999</v>
      </c>
      <c r="X256">
        <v>59.046599999999998</v>
      </c>
    </row>
    <row r="257" spans="1:24" x14ac:dyDescent="0.2">
      <c r="A257" t="s">
        <v>32</v>
      </c>
      <c r="B257" t="s">
        <v>2</v>
      </c>
      <c r="C257" t="s">
        <v>13</v>
      </c>
      <c r="D257">
        <v>3</v>
      </c>
      <c r="E257">
        <v>150</v>
      </c>
      <c r="F257">
        <v>9.1</v>
      </c>
      <c r="G257">
        <v>0.8</v>
      </c>
      <c r="H257">
        <v>658</v>
      </c>
      <c r="I257">
        <v>14.3</v>
      </c>
      <c r="J257">
        <v>12.9</v>
      </c>
      <c r="K257">
        <v>30</v>
      </c>
      <c r="L257">
        <v>0.13700000000000001</v>
      </c>
      <c r="M257" s="4">
        <v>140000000000000</v>
      </c>
      <c r="N257" s="4">
        <v>1.41E+16</v>
      </c>
      <c r="O257" s="4">
        <v>1.4E+16</v>
      </c>
      <c r="P257">
        <v>3.786</v>
      </c>
      <c r="Q257" t="s">
        <v>24</v>
      </c>
      <c r="R257" t="s">
        <v>24</v>
      </c>
      <c r="S257" t="s">
        <v>24</v>
      </c>
      <c r="T257" t="s">
        <v>24</v>
      </c>
      <c r="U257">
        <v>11.574999999999999</v>
      </c>
      <c r="V257">
        <v>17.3063</v>
      </c>
      <c r="W257">
        <v>13.589700000000001</v>
      </c>
      <c r="X257">
        <v>62.021999999999998</v>
      </c>
    </row>
    <row r="258" spans="1:24" x14ac:dyDescent="0.2">
      <c r="A258" t="s">
        <v>32</v>
      </c>
      <c r="B258" t="s">
        <v>2</v>
      </c>
      <c r="C258" t="s">
        <v>8</v>
      </c>
      <c r="D258">
        <v>3</v>
      </c>
      <c r="E258">
        <v>150</v>
      </c>
      <c r="F258">
        <v>18.600000000000001</v>
      </c>
      <c r="G258">
        <v>1.6</v>
      </c>
      <c r="H258">
        <v>1148</v>
      </c>
      <c r="I258">
        <v>13.6</v>
      </c>
      <c r="J258">
        <v>19.899999999999999</v>
      </c>
      <c r="K258">
        <v>30</v>
      </c>
      <c r="L258">
        <v>0.35399999999999998</v>
      </c>
      <c r="M258" s="4">
        <v>400000000000000</v>
      </c>
      <c r="N258" s="4">
        <v>2.58E+16</v>
      </c>
      <c r="O258" s="4">
        <v>2.6E+16</v>
      </c>
      <c r="P258">
        <v>10.731</v>
      </c>
      <c r="Q258" t="s">
        <v>24</v>
      </c>
      <c r="R258" t="s">
        <v>24</v>
      </c>
      <c r="S258" t="s">
        <v>24</v>
      </c>
      <c r="T258" t="s">
        <v>24</v>
      </c>
      <c r="U258">
        <v>12.4818</v>
      </c>
      <c r="V258">
        <v>18.8644</v>
      </c>
      <c r="W258">
        <v>15.674200000000001</v>
      </c>
      <c r="X258">
        <v>54.471499999999999</v>
      </c>
    </row>
    <row r="259" spans="1:24" x14ac:dyDescent="0.2">
      <c r="A259" t="s">
        <v>32</v>
      </c>
      <c r="B259" t="s">
        <v>3</v>
      </c>
      <c r="C259" t="s">
        <v>8</v>
      </c>
      <c r="D259">
        <v>2</v>
      </c>
      <c r="E259">
        <v>200</v>
      </c>
      <c r="F259">
        <v>21.8</v>
      </c>
      <c r="G259">
        <v>1.3</v>
      </c>
      <c r="H259">
        <v>188</v>
      </c>
      <c r="I259">
        <v>13.5</v>
      </c>
      <c r="J259">
        <v>13.3</v>
      </c>
      <c r="K259">
        <v>30</v>
      </c>
      <c r="L259" t="s">
        <v>24</v>
      </c>
      <c r="M259" s="4">
        <v>435000000000000</v>
      </c>
      <c r="N259" s="4">
        <v>6780000000000000</v>
      </c>
      <c r="O259" s="4">
        <v>7220000000000000</v>
      </c>
      <c r="P259">
        <v>14.763999999999999</v>
      </c>
      <c r="Q259">
        <v>0.81899999999999995</v>
      </c>
      <c r="R259">
        <v>0.18099999999999999</v>
      </c>
      <c r="S259">
        <v>16.413061549999998</v>
      </c>
      <c r="T259">
        <v>3.628150448</v>
      </c>
      <c r="U259">
        <v>12.716699999999999</v>
      </c>
      <c r="V259">
        <v>33.202199999999998</v>
      </c>
      <c r="W259">
        <v>20.308700000000002</v>
      </c>
      <c r="X259">
        <v>54.203899999999997</v>
      </c>
    </row>
    <row r="260" spans="1:24" x14ac:dyDescent="0.2">
      <c r="A260" t="s">
        <v>32</v>
      </c>
      <c r="B260" t="s">
        <v>3</v>
      </c>
      <c r="C260" t="s">
        <v>8</v>
      </c>
      <c r="D260">
        <v>3</v>
      </c>
      <c r="E260">
        <v>150</v>
      </c>
      <c r="F260">
        <v>21.8</v>
      </c>
      <c r="G260">
        <v>1.3</v>
      </c>
      <c r="H260">
        <v>188</v>
      </c>
      <c r="I260">
        <v>13.5</v>
      </c>
      <c r="J260">
        <v>13.3</v>
      </c>
      <c r="K260">
        <v>30</v>
      </c>
      <c r="L260" t="s">
        <v>24</v>
      </c>
      <c r="M260" s="4">
        <v>338000000000000</v>
      </c>
      <c r="N260" s="4">
        <v>3700000000000000</v>
      </c>
      <c r="O260" s="4">
        <v>4040000000000000</v>
      </c>
      <c r="P260">
        <v>9.1159999999999997</v>
      </c>
      <c r="Q260">
        <v>0.79600000000000004</v>
      </c>
      <c r="R260">
        <v>0.20399999999999999</v>
      </c>
      <c r="S260">
        <v>7.2843690319999999</v>
      </c>
      <c r="T260">
        <v>1.8703109680000001</v>
      </c>
      <c r="U260">
        <v>11.0619</v>
      </c>
      <c r="V260">
        <v>35.304000000000002</v>
      </c>
      <c r="W260">
        <v>19.084900000000001</v>
      </c>
      <c r="X260">
        <v>51.186500000000002</v>
      </c>
    </row>
    <row r="261" spans="1:24" x14ac:dyDescent="0.2">
      <c r="A261" t="s">
        <v>32</v>
      </c>
      <c r="B261" t="s">
        <v>3</v>
      </c>
      <c r="C261" t="s">
        <v>8</v>
      </c>
      <c r="D261">
        <v>3</v>
      </c>
      <c r="E261">
        <v>140</v>
      </c>
      <c r="F261">
        <v>21.8</v>
      </c>
      <c r="G261">
        <v>1.3</v>
      </c>
      <c r="H261">
        <v>188</v>
      </c>
      <c r="I261">
        <v>13.5</v>
      </c>
      <c r="J261">
        <v>17.2</v>
      </c>
      <c r="K261">
        <v>30</v>
      </c>
      <c r="L261" t="s">
        <v>24</v>
      </c>
      <c r="M261" s="4">
        <v>262000000000000</v>
      </c>
      <c r="N261" s="4">
        <v>2780000000000000</v>
      </c>
      <c r="O261" s="4">
        <v>3040000000000000</v>
      </c>
      <c r="P261">
        <v>4.9859999999999998</v>
      </c>
      <c r="Q261">
        <v>0.77</v>
      </c>
      <c r="R261">
        <v>0.23</v>
      </c>
      <c r="S261">
        <v>3.5998776549999998</v>
      </c>
      <c r="T261">
        <v>1.0745903450000001</v>
      </c>
      <c r="U261">
        <v>10.7904</v>
      </c>
      <c r="V261">
        <v>34.292999999999999</v>
      </c>
      <c r="W261">
        <v>18.4343</v>
      </c>
      <c r="X261">
        <v>54.555700000000002</v>
      </c>
    </row>
    <row r="262" spans="1:24" x14ac:dyDescent="0.2">
      <c r="A262" t="s">
        <v>32</v>
      </c>
      <c r="B262" t="s">
        <v>3</v>
      </c>
      <c r="C262" t="s">
        <v>24</v>
      </c>
      <c r="D262" t="s">
        <v>24</v>
      </c>
      <c r="E262" t="s">
        <v>24</v>
      </c>
      <c r="F262" t="s">
        <v>24</v>
      </c>
      <c r="G262" t="s">
        <v>24</v>
      </c>
      <c r="H262" t="s">
        <v>24</v>
      </c>
      <c r="I262" t="s">
        <v>24</v>
      </c>
      <c r="J262" t="s">
        <v>24</v>
      </c>
      <c r="K262">
        <v>30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>
        <v>18.039300000000001</v>
      </c>
      <c r="V262">
        <v>51.506500000000003</v>
      </c>
      <c r="W262">
        <v>15.525700000000001</v>
      </c>
      <c r="X262">
        <v>40.706000000000003</v>
      </c>
    </row>
    <row r="263" spans="1:24" x14ac:dyDescent="0.2">
      <c r="A263" t="s">
        <v>32</v>
      </c>
      <c r="B263" t="s">
        <v>3</v>
      </c>
      <c r="C263" t="s">
        <v>8</v>
      </c>
      <c r="D263">
        <v>3</v>
      </c>
      <c r="E263">
        <v>160</v>
      </c>
      <c r="F263">
        <v>21.8</v>
      </c>
      <c r="G263">
        <v>1.3</v>
      </c>
      <c r="H263">
        <v>188</v>
      </c>
      <c r="I263">
        <v>13.5</v>
      </c>
      <c r="J263">
        <v>17.2</v>
      </c>
      <c r="K263">
        <v>30</v>
      </c>
      <c r="L263" t="s">
        <v>24</v>
      </c>
      <c r="M263" s="4">
        <v>286000000000000</v>
      </c>
      <c r="N263" s="4">
        <v>2090000000000000</v>
      </c>
      <c r="O263" s="4">
        <v>2380000000000000</v>
      </c>
      <c r="P263">
        <v>7.5090000000000003</v>
      </c>
      <c r="Q263">
        <v>0.71699999999999997</v>
      </c>
      <c r="R263">
        <v>0.28299999999999997</v>
      </c>
      <c r="S263">
        <v>6.1435654550000001</v>
      </c>
      <c r="T263">
        <v>2.422814545</v>
      </c>
      <c r="U263">
        <v>11.1776</v>
      </c>
      <c r="V263">
        <v>56.392600000000002</v>
      </c>
      <c r="W263">
        <v>18.814900000000002</v>
      </c>
      <c r="X263">
        <v>51.429400000000001</v>
      </c>
    </row>
    <row r="264" spans="1:24" x14ac:dyDescent="0.2">
      <c r="A264" t="s">
        <v>32</v>
      </c>
      <c r="B264" t="s">
        <v>3</v>
      </c>
      <c r="C264" t="s">
        <v>8</v>
      </c>
      <c r="D264">
        <v>3</v>
      </c>
      <c r="E264">
        <v>120</v>
      </c>
      <c r="F264">
        <v>21.8</v>
      </c>
      <c r="G264">
        <v>1.3</v>
      </c>
      <c r="H264">
        <v>188</v>
      </c>
      <c r="I264">
        <v>13.5</v>
      </c>
      <c r="J264">
        <v>16.7</v>
      </c>
      <c r="K264">
        <v>30</v>
      </c>
      <c r="L264" t="s">
        <v>24</v>
      </c>
      <c r="M264" s="4">
        <v>262000000000000</v>
      </c>
      <c r="N264" s="4">
        <v>3700000000000000</v>
      </c>
      <c r="O264" s="4">
        <v>3960000000000000</v>
      </c>
      <c r="P264">
        <v>7.968</v>
      </c>
      <c r="Q264">
        <v>0.69199999999999995</v>
      </c>
      <c r="R264">
        <v>0.308</v>
      </c>
      <c r="S264">
        <v>5.9219099740000001</v>
      </c>
      <c r="T264">
        <v>2.6403420259999999</v>
      </c>
      <c r="U264">
        <v>10.6053</v>
      </c>
      <c r="V264">
        <v>46.774500000000003</v>
      </c>
      <c r="W264">
        <v>18.151700000000002</v>
      </c>
      <c r="X264">
        <v>46.7896</v>
      </c>
    </row>
    <row r="265" spans="1:24" x14ac:dyDescent="0.2">
      <c r="A265" t="s">
        <v>32</v>
      </c>
      <c r="B265" t="s">
        <v>3</v>
      </c>
      <c r="C265" t="s">
        <v>8</v>
      </c>
      <c r="D265">
        <v>2</v>
      </c>
      <c r="E265">
        <v>155</v>
      </c>
      <c r="F265">
        <v>21.8</v>
      </c>
      <c r="G265">
        <v>1.3</v>
      </c>
      <c r="H265">
        <v>188</v>
      </c>
      <c r="I265">
        <v>13.5</v>
      </c>
      <c r="J265">
        <v>8.9</v>
      </c>
      <c r="K265">
        <v>30</v>
      </c>
      <c r="L265" t="s">
        <v>24</v>
      </c>
      <c r="M265" s="4">
        <v>446000000000000</v>
      </c>
      <c r="N265" s="4">
        <v>6170000000000000</v>
      </c>
      <c r="O265" s="4">
        <v>6620000000000000</v>
      </c>
      <c r="P265">
        <v>18.984999999999999</v>
      </c>
      <c r="Q265">
        <v>0.73699999999999999</v>
      </c>
      <c r="R265">
        <v>0.26300000000000001</v>
      </c>
      <c r="S265">
        <v>14.801055740000001</v>
      </c>
      <c r="T265">
        <v>5.2938082580000003</v>
      </c>
      <c r="U265">
        <v>12.2194</v>
      </c>
      <c r="V265">
        <v>44.807400000000001</v>
      </c>
      <c r="W265">
        <v>19.861999999999998</v>
      </c>
      <c r="X265">
        <v>60.6783</v>
      </c>
    </row>
    <row r="266" spans="1:24" x14ac:dyDescent="0.2">
      <c r="A266" t="s">
        <v>32</v>
      </c>
      <c r="B266" t="s">
        <v>3</v>
      </c>
      <c r="C266" t="s">
        <v>15</v>
      </c>
      <c r="D266">
        <v>3</v>
      </c>
      <c r="E266">
        <v>195</v>
      </c>
      <c r="F266">
        <v>0.4</v>
      </c>
      <c r="G266">
        <v>0</v>
      </c>
      <c r="H266">
        <v>6</v>
      </c>
      <c r="I266">
        <v>15.3</v>
      </c>
      <c r="J266">
        <v>8.9</v>
      </c>
      <c r="K266">
        <v>30</v>
      </c>
      <c r="L266" t="s">
        <v>24</v>
      </c>
      <c r="M266" s="4">
        <v>25100000000000</v>
      </c>
      <c r="N266" s="4">
        <v>1490000000000000</v>
      </c>
      <c r="O266" s="4">
        <v>1520000000000000</v>
      </c>
      <c r="P266">
        <v>4.0220000000000002</v>
      </c>
      <c r="Q266">
        <v>0.70899999999999996</v>
      </c>
      <c r="R266">
        <v>0.29099999999999998</v>
      </c>
      <c r="S266">
        <v>2.3673356760000002</v>
      </c>
      <c r="T266">
        <v>0.96948032399999995</v>
      </c>
      <c r="U266">
        <v>11.609400000000001</v>
      </c>
      <c r="V266">
        <v>131.09200000000001</v>
      </c>
      <c r="W266">
        <v>20.474699999999999</v>
      </c>
      <c r="X266">
        <v>122.41</v>
      </c>
    </row>
    <row r="267" spans="1:24" x14ac:dyDescent="0.2">
      <c r="A267" t="s">
        <v>32</v>
      </c>
      <c r="B267" t="s">
        <v>3</v>
      </c>
      <c r="C267" t="s">
        <v>15</v>
      </c>
      <c r="D267">
        <v>3</v>
      </c>
      <c r="E267">
        <v>260</v>
      </c>
      <c r="F267">
        <v>0.4</v>
      </c>
      <c r="G267">
        <v>0</v>
      </c>
      <c r="H267">
        <v>6</v>
      </c>
      <c r="I267">
        <v>15.3</v>
      </c>
      <c r="J267">
        <v>12.2</v>
      </c>
      <c r="K267">
        <v>30</v>
      </c>
      <c r="L267" t="s">
        <v>24</v>
      </c>
      <c r="M267" s="4">
        <v>15600000000000</v>
      </c>
      <c r="N267" s="4">
        <v>1450000000000000</v>
      </c>
      <c r="O267" s="4">
        <v>1460000000000000</v>
      </c>
      <c r="P267">
        <v>2.7080000000000002</v>
      </c>
      <c r="Q267">
        <v>0.66100000000000003</v>
      </c>
      <c r="R267">
        <v>0.33900000000000002</v>
      </c>
      <c r="S267">
        <v>1.6982333999999999</v>
      </c>
      <c r="T267">
        <v>0.8720658</v>
      </c>
      <c r="U267">
        <v>10.1608</v>
      </c>
      <c r="V267">
        <v>142.727</v>
      </c>
      <c r="W267">
        <v>16.527899999999999</v>
      </c>
      <c r="X267">
        <v>107.857</v>
      </c>
    </row>
    <row r="268" spans="1:24" x14ac:dyDescent="0.2">
      <c r="A268" t="s">
        <v>32</v>
      </c>
      <c r="B268" t="s">
        <v>3</v>
      </c>
      <c r="C268" t="s">
        <v>8</v>
      </c>
      <c r="D268">
        <v>2</v>
      </c>
      <c r="E268">
        <v>135</v>
      </c>
      <c r="F268">
        <v>21.8</v>
      </c>
      <c r="G268">
        <v>1.3</v>
      </c>
      <c r="H268">
        <v>188</v>
      </c>
      <c r="I268">
        <v>13.5</v>
      </c>
      <c r="J268">
        <v>16.7</v>
      </c>
      <c r="K268">
        <v>30</v>
      </c>
      <c r="L268" t="s">
        <v>24</v>
      </c>
      <c r="M268" s="4">
        <v>404000000000000</v>
      </c>
      <c r="N268" s="4">
        <v>4890000000000000</v>
      </c>
      <c r="O268" s="4">
        <v>5300000000000000</v>
      </c>
      <c r="P268">
        <v>13.756</v>
      </c>
      <c r="Q268">
        <v>0.67300000000000004</v>
      </c>
      <c r="R268">
        <v>0.32700000000000001</v>
      </c>
      <c r="S268">
        <v>11.870269710000001</v>
      </c>
      <c r="T268">
        <v>5.7552822859999999</v>
      </c>
      <c r="U268">
        <v>11.8339</v>
      </c>
      <c r="V268">
        <v>45.246200000000002</v>
      </c>
      <c r="W268">
        <v>19.5654</v>
      </c>
      <c r="X268">
        <v>54.505400000000002</v>
      </c>
    </row>
    <row r="269" spans="1:24" x14ac:dyDescent="0.2">
      <c r="A269" t="s">
        <v>32</v>
      </c>
      <c r="B269" t="s">
        <v>3</v>
      </c>
      <c r="C269" t="s">
        <v>15</v>
      </c>
      <c r="D269">
        <v>3</v>
      </c>
      <c r="E269">
        <v>120</v>
      </c>
      <c r="F269">
        <v>0.4</v>
      </c>
      <c r="G269">
        <v>0</v>
      </c>
      <c r="H269">
        <v>6</v>
      </c>
      <c r="I269">
        <v>15.3</v>
      </c>
      <c r="J269">
        <v>17.2</v>
      </c>
      <c r="K269">
        <v>30</v>
      </c>
      <c r="L269" t="s">
        <v>24</v>
      </c>
      <c r="M269" s="4">
        <v>19000000000000</v>
      </c>
      <c r="N269" s="4">
        <v>1100000000000000</v>
      </c>
      <c r="O269" s="4">
        <v>1120000000000000</v>
      </c>
      <c r="P269">
        <v>5.8049999999999997</v>
      </c>
      <c r="Q269">
        <v>0.67200000000000004</v>
      </c>
      <c r="R269">
        <v>0.32800000000000001</v>
      </c>
      <c r="S269">
        <v>0.91610319399999995</v>
      </c>
      <c r="T269">
        <v>0.44771960599999999</v>
      </c>
      <c r="U269">
        <v>10.709</v>
      </c>
      <c r="V269">
        <v>47.186700000000002</v>
      </c>
      <c r="W269">
        <v>14.569800000000001</v>
      </c>
      <c r="X269">
        <v>48.674500000000002</v>
      </c>
    </row>
    <row r="270" spans="1:24" x14ac:dyDescent="0.2">
      <c r="A270" t="s">
        <v>32</v>
      </c>
      <c r="B270" t="s">
        <v>3</v>
      </c>
      <c r="C270" t="s">
        <v>15</v>
      </c>
      <c r="D270">
        <v>3</v>
      </c>
      <c r="E270">
        <v>145</v>
      </c>
      <c r="F270">
        <v>0.4</v>
      </c>
      <c r="G270">
        <v>0</v>
      </c>
      <c r="H270">
        <v>6</v>
      </c>
      <c r="I270">
        <v>15.3</v>
      </c>
      <c r="J270">
        <v>19.399999999999999</v>
      </c>
      <c r="K270">
        <v>30</v>
      </c>
      <c r="L270" t="s">
        <v>24</v>
      </c>
      <c r="M270" s="4">
        <v>14100000000000</v>
      </c>
      <c r="N270" s="4">
        <v>586000000000000</v>
      </c>
      <c r="O270" s="4">
        <v>600000000000000</v>
      </c>
      <c r="P270">
        <v>3.3420000000000001</v>
      </c>
      <c r="Q270">
        <v>0.71199999999999997</v>
      </c>
      <c r="R270">
        <v>0.28799999999999998</v>
      </c>
      <c r="S270">
        <v>0.60801616199999997</v>
      </c>
      <c r="T270">
        <v>0.246493038</v>
      </c>
      <c r="U270">
        <v>10.2438</v>
      </c>
      <c r="V270">
        <v>86.394999999999996</v>
      </c>
      <c r="W270">
        <v>17.185099999999998</v>
      </c>
      <c r="X270">
        <v>49.047800000000002</v>
      </c>
    </row>
    <row r="271" spans="1:24" x14ac:dyDescent="0.2">
      <c r="A271" t="s">
        <v>32</v>
      </c>
      <c r="B271" t="s">
        <v>3</v>
      </c>
      <c r="C271" t="s">
        <v>8</v>
      </c>
      <c r="D271">
        <v>2</v>
      </c>
      <c r="E271">
        <v>120</v>
      </c>
      <c r="F271">
        <v>21.8</v>
      </c>
      <c r="G271">
        <v>1.3</v>
      </c>
      <c r="H271">
        <v>188</v>
      </c>
      <c r="I271">
        <v>13.5</v>
      </c>
      <c r="J271">
        <v>22.2</v>
      </c>
      <c r="K271">
        <v>30</v>
      </c>
      <c r="L271" t="s">
        <v>24</v>
      </c>
      <c r="M271" s="4">
        <v>401000000000000</v>
      </c>
      <c r="N271" s="4">
        <v>3280000000000000</v>
      </c>
      <c r="O271" s="4">
        <v>3680000000000000</v>
      </c>
      <c r="P271">
        <v>13.755000000000001</v>
      </c>
      <c r="Q271">
        <v>0.74</v>
      </c>
      <c r="R271">
        <v>0.26</v>
      </c>
      <c r="S271">
        <v>8.7190990129999992</v>
      </c>
      <c r="T271">
        <v>3.0593329869999999</v>
      </c>
      <c r="U271">
        <v>11.8673</v>
      </c>
      <c r="V271">
        <v>47.881599999999999</v>
      </c>
      <c r="W271">
        <v>19.8552</v>
      </c>
      <c r="X271">
        <v>54.1402</v>
      </c>
    </row>
    <row r="272" spans="1:24" x14ac:dyDescent="0.2">
      <c r="A272" t="s">
        <v>32</v>
      </c>
      <c r="B272" t="s">
        <v>3</v>
      </c>
      <c r="C272" t="s">
        <v>15</v>
      </c>
      <c r="D272">
        <v>3</v>
      </c>
      <c r="E272">
        <v>130</v>
      </c>
      <c r="F272">
        <v>0.4</v>
      </c>
      <c r="G272">
        <v>0</v>
      </c>
      <c r="H272">
        <v>6</v>
      </c>
      <c r="I272">
        <v>15.3</v>
      </c>
      <c r="J272">
        <v>22.8</v>
      </c>
      <c r="K272">
        <v>30</v>
      </c>
      <c r="L272" t="s">
        <v>24</v>
      </c>
      <c r="M272" s="4">
        <v>11700000000000</v>
      </c>
      <c r="N272" s="4">
        <v>234000000000000</v>
      </c>
      <c r="O272" s="4">
        <v>245000000000000</v>
      </c>
      <c r="P272">
        <v>1.62</v>
      </c>
      <c r="Q272">
        <v>0.72199999999999998</v>
      </c>
      <c r="R272">
        <v>0.27800000000000002</v>
      </c>
      <c r="S272">
        <v>1.335137102</v>
      </c>
      <c r="T272">
        <v>0.51445649800000004</v>
      </c>
      <c r="U272">
        <v>14.8139</v>
      </c>
      <c r="V272">
        <v>143.673</v>
      </c>
      <c r="W272">
        <v>17.371500000000001</v>
      </c>
      <c r="X272">
        <v>48.2806</v>
      </c>
    </row>
    <row r="273" spans="1:24" x14ac:dyDescent="0.2">
      <c r="A273" t="s">
        <v>32</v>
      </c>
      <c r="B273" t="s">
        <v>3</v>
      </c>
      <c r="C273" t="s">
        <v>15</v>
      </c>
      <c r="D273">
        <v>3</v>
      </c>
      <c r="E273">
        <v>158</v>
      </c>
      <c r="F273">
        <v>0.4</v>
      </c>
      <c r="G273">
        <v>0</v>
      </c>
      <c r="H273">
        <v>6</v>
      </c>
      <c r="I273">
        <v>15.3</v>
      </c>
      <c r="J273">
        <v>23.3</v>
      </c>
      <c r="K273">
        <v>30</v>
      </c>
      <c r="L273" t="s">
        <v>24</v>
      </c>
      <c r="M273" s="4">
        <v>9800000000000</v>
      </c>
      <c r="N273" s="4">
        <v>249000000000000</v>
      </c>
      <c r="O273" s="4">
        <v>259000000000000</v>
      </c>
      <c r="P273">
        <v>5.2690000000000001</v>
      </c>
      <c r="Q273">
        <v>0.71399999999999997</v>
      </c>
      <c r="R273">
        <v>0.28599999999999998</v>
      </c>
      <c r="S273">
        <v>1.1906674290000001</v>
      </c>
      <c r="T273">
        <v>0.47626697099999998</v>
      </c>
      <c r="U273">
        <v>17.502800000000001</v>
      </c>
      <c r="V273">
        <v>161.548</v>
      </c>
      <c r="W273">
        <v>16.3062</v>
      </c>
      <c r="X273">
        <v>91.572599999999994</v>
      </c>
    </row>
    <row r="274" spans="1:24" x14ac:dyDescent="0.2">
      <c r="A274" t="s">
        <v>32</v>
      </c>
      <c r="B274" t="s">
        <v>3</v>
      </c>
      <c r="C274" t="s">
        <v>8</v>
      </c>
      <c r="D274">
        <v>2</v>
      </c>
      <c r="E274">
        <v>135</v>
      </c>
      <c r="F274">
        <v>21.8</v>
      </c>
      <c r="G274">
        <v>1.3</v>
      </c>
      <c r="H274">
        <v>188</v>
      </c>
      <c r="I274">
        <v>13.5</v>
      </c>
      <c r="J274">
        <v>12.2</v>
      </c>
      <c r="K274">
        <v>30</v>
      </c>
      <c r="L274" t="s">
        <v>24</v>
      </c>
      <c r="M274" s="4">
        <v>420000000000000</v>
      </c>
      <c r="N274" s="4">
        <v>5070000000000000</v>
      </c>
      <c r="O274" s="4">
        <v>5490000000000000</v>
      </c>
      <c r="P274">
        <v>20.74</v>
      </c>
      <c r="Q274">
        <v>0.754</v>
      </c>
      <c r="R274">
        <v>0.246</v>
      </c>
      <c r="S274">
        <v>17.89320824</v>
      </c>
      <c r="T274">
        <v>5.8462957610000004</v>
      </c>
      <c r="U274">
        <v>12.000500000000001</v>
      </c>
      <c r="V274">
        <v>54.116199999999999</v>
      </c>
      <c r="W274">
        <v>20.087499999999999</v>
      </c>
      <c r="X274">
        <v>66.326400000000007</v>
      </c>
    </row>
    <row r="275" spans="1:24" x14ac:dyDescent="0.2">
      <c r="A275" t="s">
        <v>32</v>
      </c>
      <c r="B275" t="s">
        <v>3</v>
      </c>
      <c r="C275" t="s">
        <v>17</v>
      </c>
      <c r="D275">
        <v>3</v>
      </c>
      <c r="E275">
        <v>195</v>
      </c>
      <c r="F275">
        <v>1.4</v>
      </c>
      <c r="G275">
        <v>0</v>
      </c>
      <c r="H275">
        <v>4</v>
      </c>
      <c r="I275">
        <v>15</v>
      </c>
      <c r="J275">
        <v>12.2</v>
      </c>
      <c r="K275">
        <v>30</v>
      </c>
      <c r="L275" t="s">
        <v>24</v>
      </c>
      <c r="M275" s="4">
        <v>29300000000000</v>
      </c>
      <c r="N275" s="4">
        <v>1940000000000000</v>
      </c>
      <c r="O275" s="4">
        <v>1970000000000000</v>
      </c>
      <c r="P275">
        <v>4.55</v>
      </c>
      <c r="Q275">
        <v>0.73899999999999999</v>
      </c>
      <c r="R275">
        <v>0.26100000000000001</v>
      </c>
      <c r="S275">
        <v>5.2751473039999999</v>
      </c>
      <c r="T275">
        <v>1.861816696</v>
      </c>
      <c r="U275">
        <v>10.0688</v>
      </c>
      <c r="V275">
        <v>132.72200000000001</v>
      </c>
      <c r="W275">
        <v>19.0307</v>
      </c>
      <c r="X275">
        <v>143.624</v>
      </c>
    </row>
    <row r="276" spans="1:24" x14ac:dyDescent="0.2">
      <c r="A276" t="s">
        <v>32</v>
      </c>
      <c r="B276" t="s">
        <v>3</v>
      </c>
      <c r="C276" t="s">
        <v>17</v>
      </c>
      <c r="D276">
        <v>3</v>
      </c>
      <c r="E276">
        <v>170</v>
      </c>
      <c r="F276">
        <v>1.4</v>
      </c>
      <c r="G276">
        <v>0</v>
      </c>
      <c r="H276">
        <v>4</v>
      </c>
      <c r="I276">
        <v>15</v>
      </c>
      <c r="J276">
        <v>15</v>
      </c>
      <c r="K276">
        <v>30</v>
      </c>
      <c r="L276" t="s">
        <v>24</v>
      </c>
      <c r="M276" s="4">
        <v>14900000000000</v>
      </c>
      <c r="N276" s="4">
        <v>805000000000000</v>
      </c>
      <c r="O276" s="4">
        <v>819000000000000</v>
      </c>
      <c r="P276">
        <v>2.089</v>
      </c>
      <c r="Q276">
        <v>0.67500000000000004</v>
      </c>
      <c r="R276">
        <v>0.32500000000000001</v>
      </c>
      <c r="S276">
        <v>3.1209307370000001</v>
      </c>
      <c r="T276">
        <v>1.5047344629999999</v>
      </c>
      <c r="U276">
        <v>10.4795</v>
      </c>
      <c r="V276">
        <v>172.71899999999999</v>
      </c>
      <c r="W276">
        <v>17.934899999999999</v>
      </c>
      <c r="X276">
        <v>125.797</v>
      </c>
    </row>
    <row r="277" spans="1:24" x14ac:dyDescent="0.2">
      <c r="A277" t="s">
        <v>32</v>
      </c>
      <c r="B277" t="s">
        <v>3</v>
      </c>
      <c r="C277" t="s">
        <v>8</v>
      </c>
      <c r="D277">
        <v>2</v>
      </c>
      <c r="E277">
        <v>155</v>
      </c>
      <c r="F277">
        <v>21.8</v>
      </c>
      <c r="G277">
        <v>1.3</v>
      </c>
      <c r="H277">
        <v>188</v>
      </c>
      <c r="I277">
        <v>13.5</v>
      </c>
      <c r="J277">
        <v>22.8</v>
      </c>
      <c r="K277">
        <v>30</v>
      </c>
      <c r="L277" t="s">
        <v>24</v>
      </c>
      <c r="M277" s="4">
        <v>430000000000000</v>
      </c>
      <c r="N277" s="4">
        <v>4810000000000000</v>
      </c>
      <c r="O277" s="4">
        <v>5240000000000000</v>
      </c>
      <c r="P277">
        <v>14.435</v>
      </c>
      <c r="Q277">
        <v>0.73699999999999999</v>
      </c>
      <c r="R277">
        <v>0.26300000000000001</v>
      </c>
      <c r="S277">
        <v>14.10061082</v>
      </c>
      <c r="T277">
        <v>5.0288891749999998</v>
      </c>
      <c r="U277">
        <v>11.9756</v>
      </c>
      <c r="V277">
        <v>49.061999999999998</v>
      </c>
      <c r="W277">
        <v>20.4771</v>
      </c>
      <c r="X277">
        <v>53.056800000000003</v>
      </c>
    </row>
    <row r="278" spans="1:24" x14ac:dyDescent="0.2">
      <c r="A278" t="s">
        <v>32</v>
      </c>
      <c r="B278" t="s">
        <v>3</v>
      </c>
      <c r="C278" t="s">
        <v>18</v>
      </c>
      <c r="D278">
        <v>3</v>
      </c>
      <c r="E278">
        <v>130</v>
      </c>
      <c r="F278">
        <v>10.199999999999999</v>
      </c>
      <c r="G278">
        <v>0.65</v>
      </c>
      <c r="H278">
        <v>276</v>
      </c>
      <c r="I278">
        <v>14.4</v>
      </c>
      <c r="J278">
        <v>22.8</v>
      </c>
      <c r="K278">
        <v>30</v>
      </c>
      <c r="L278" t="s">
        <v>24</v>
      </c>
      <c r="M278" s="4">
        <v>94300000000000</v>
      </c>
      <c r="N278" s="4">
        <v>4870000000000000</v>
      </c>
      <c r="O278" s="4">
        <v>4960000000000000</v>
      </c>
      <c r="P278">
        <v>4.3680000000000003</v>
      </c>
      <c r="Q278">
        <v>0.747</v>
      </c>
      <c r="R278">
        <v>0.253</v>
      </c>
      <c r="S278">
        <v>9.8664712090000002</v>
      </c>
      <c r="T278">
        <v>3.337188791</v>
      </c>
      <c r="U278">
        <v>10.6134</v>
      </c>
      <c r="V278">
        <v>46.022599999999997</v>
      </c>
      <c r="W278">
        <v>16.577400000000001</v>
      </c>
      <c r="X278">
        <v>88.320800000000006</v>
      </c>
    </row>
    <row r="279" spans="1:24" x14ac:dyDescent="0.2">
      <c r="A279" t="s">
        <v>32</v>
      </c>
      <c r="B279" t="s">
        <v>3</v>
      </c>
      <c r="C279" t="s">
        <v>18</v>
      </c>
      <c r="D279">
        <v>3</v>
      </c>
      <c r="E279">
        <v>120</v>
      </c>
      <c r="F279">
        <v>10.199999999999999</v>
      </c>
      <c r="G279">
        <v>0.65</v>
      </c>
      <c r="H279">
        <v>276</v>
      </c>
      <c r="I279">
        <v>14.4</v>
      </c>
      <c r="J279">
        <v>23.9</v>
      </c>
      <c r="K279">
        <v>30</v>
      </c>
      <c r="L279" t="s">
        <v>24</v>
      </c>
      <c r="M279" s="4">
        <v>71200000000000</v>
      </c>
      <c r="N279" s="4">
        <v>3250000000000000</v>
      </c>
      <c r="O279" s="4">
        <v>3320000000000000</v>
      </c>
      <c r="P279">
        <v>3.831</v>
      </c>
      <c r="Q279">
        <v>0.73099999999999998</v>
      </c>
      <c r="R279">
        <v>0.26900000000000002</v>
      </c>
      <c r="S279">
        <v>4.359086102</v>
      </c>
      <c r="T279">
        <v>1.6038146980000001</v>
      </c>
      <c r="U279">
        <v>10.347099999999999</v>
      </c>
      <c r="V279">
        <v>34.712699999999998</v>
      </c>
      <c r="W279">
        <v>16.152899999999999</v>
      </c>
      <c r="X279">
        <v>58.857700000000001</v>
      </c>
    </row>
    <row r="280" spans="1:24" x14ac:dyDescent="0.2">
      <c r="A280" t="s">
        <v>32</v>
      </c>
      <c r="B280" t="s">
        <v>3</v>
      </c>
      <c r="C280" t="s">
        <v>8</v>
      </c>
      <c r="D280">
        <v>2</v>
      </c>
      <c r="E280">
        <v>125</v>
      </c>
      <c r="F280">
        <v>21.8</v>
      </c>
      <c r="G280">
        <v>1.3</v>
      </c>
      <c r="H280">
        <v>188</v>
      </c>
      <c r="I280">
        <v>13.5</v>
      </c>
      <c r="J280">
        <v>23.9</v>
      </c>
      <c r="K280">
        <v>30</v>
      </c>
      <c r="L280" t="s">
        <v>24</v>
      </c>
      <c r="M280" s="4">
        <v>432000000000000</v>
      </c>
      <c r="N280" s="4">
        <v>5660000000000000</v>
      </c>
      <c r="O280" s="4">
        <v>6100000000000000</v>
      </c>
      <c r="P280">
        <v>10.925000000000001</v>
      </c>
      <c r="Q280">
        <v>0.78500000000000003</v>
      </c>
      <c r="R280">
        <v>0.215</v>
      </c>
      <c r="S280">
        <v>12.681435370000001</v>
      </c>
      <c r="T280">
        <v>3.4707086280000001</v>
      </c>
      <c r="U280">
        <v>11.8392</v>
      </c>
      <c r="V280">
        <v>32.6751</v>
      </c>
      <c r="W280">
        <v>19.475200000000001</v>
      </c>
      <c r="X280">
        <v>53.022500000000001</v>
      </c>
    </row>
    <row r="281" spans="1:24" x14ac:dyDescent="0.2">
      <c r="A281" t="s">
        <v>32</v>
      </c>
      <c r="B281" t="s">
        <v>3</v>
      </c>
      <c r="C281" t="s">
        <v>8</v>
      </c>
      <c r="D281">
        <v>2</v>
      </c>
      <c r="E281">
        <v>130</v>
      </c>
      <c r="F281">
        <v>21.8</v>
      </c>
      <c r="G281">
        <v>1.3</v>
      </c>
      <c r="H281">
        <v>188</v>
      </c>
      <c r="I281">
        <v>13.5</v>
      </c>
      <c r="J281">
        <v>11.1</v>
      </c>
      <c r="K281">
        <v>30</v>
      </c>
      <c r="L281" t="s">
        <v>24</v>
      </c>
      <c r="M281" s="4">
        <v>402000000000000</v>
      </c>
      <c r="N281" s="4">
        <v>5010000000000000</v>
      </c>
      <c r="O281" s="4">
        <v>5410000000000000</v>
      </c>
      <c r="P281">
        <v>13.926</v>
      </c>
      <c r="Q281">
        <v>0.873</v>
      </c>
      <c r="R281">
        <v>0.127</v>
      </c>
      <c r="S281">
        <v>13.19393284</v>
      </c>
      <c r="T281">
        <v>1.9170671640000001</v>
      </c>
      <c r="U281">
        <v>12.3119</v>
      </c>
      <c r="V281">
        <v>43.503700000000002</v>
      </c>
      <c r="W281">
        <v>20.137699999999999</v>
      </c>
      <c r="X281">
        <v>55.101100000000002</v>
      </c>
    </row>
    <row r="282" spans="1:24" x14ac:dyDescent="0.2">
      <c r="A282" t="s">
        <v>32</v>
      </c>
      <c r="B282" t="s">
        <v>3</v>
      </c>
      <c r="C282" t="s">
        <v>16</v>
      </c>
      <c r="D282">
        <v>3</v>
      </c>
      <c r="E282">
        <v>130</v>
      </c>
      <c r="F282">
        <v>2.1</v>
      </c>
      <c r="G282">
        <v>0</v>
      </c>
      <c r="H282">
        <v>1083</v>
      </c>
      <c r="I282">
        <v>15</v>
      </c>
      <c r="J282">
        <v>11.7</v>
      </c>
      <c r="K282">
        <v>30</v>
      </c>
      <c r="L282" t="s">
        <v>24</v>
      </c>
      <c r="M282" s="4">
        <v>66800000000000</v>
      </c>
      <c r="N282" s="4">
        <v>1.43E+16</v>
      </c>
      <c r="O282" s="4">
        <v>1.44E+16</v>
      </c>
      <c r="P282">
        <v>1.8520000000000001</v>
      </c>
      <c r="Q282">
        <v>0.75600000000000001</v>
      </c>
      <c r="R282">
        <v>0.24399999999999999</v>
      </c>
      <c r="S282">
        <v>40.134051980000002</v>
      </c>
      <c r="T282">
        <v>12.92452522</v>
      </c>
      <c r="U282">
        <v>13.916700000000001</v>
      </c>
      <c r="V282">
        <v>19.817499999999999</v>
      </c>
      <c r="W282">
        <v>15.3771</v>
      </c>
      <c r="X282">
        <v>120.566</v>
      </c>
    </row>
    <row r="283" spans="1:24" x14ac:dyDescent="0.2">
      <c r="A283" t="s">
        <v>32</v>
      </c>
      <c r="B283" t="s">
        <v>3</v>
      </c>
      <c r="C283" t="s">
        <v>16</v>
      </c>
      <c r="D283">
        <v>3</v>
      </c>
      <c r="E283">
        <v>165</v>
      </c>
      <c r="F283">
        <v>2.1</v>
      </c>
      <c r="G283">
        <v>0</v>
      </c>
      <c r="H283">
        <v>1083</v>
      </c>
      <c r="I283">
        <v>15</v>
      </c>
      <c r="J283">
        <v>16.100000000000001</v>
      </c>
      <c r="K283">
        <v>30</v>
      </c>
      <c r="L283" t="s">
        <v>24</v>
      </c>
      <c r="M283" s="4">
        <v>61300000000000</v>
      </c>
      <c r="N283" s="4">
        <v>1.68E+16</v>
      </c>
      <c r="O283" s="4">
        <v>1.68E+16</v>
      </c>
      <c r="P283">
        <v>8.9550000000000001</v>
      </c>
      <c r="Q283">
        <v>0.81200000000000006</v>
      </c>
      <c r="R283">
        <v>0.188</v>
      </c>
      <c r="S283">
        <v>50.80357901</v>
      </c>
      <c r="T283">
        <v>11.771560989999999</v>
      </c>
      <c r="U283">
        <v>13.616199999999999</v>
      </c>
      <c r="V283">
        <v>22.599</v>
      </c>
      <c r="W283">
        <v>17.613399999999999</v>
      </c>
      <c r="X283">
        <v>144.66900000000001</v>
      </c>
    </row>
    <row r="284" spans="1:24" x14ac:dyDescent="0.2">
      <c r="A284" t="s">
        <v>32</v>
      </c>
      <c r="B284" t="s">
        <v>3</v>
      </c>
      <c r="C284" t="s">
        <v>8</v>
      </c>
      <c r="D284">
        <v>2</v>
      </c>
      <c r="E284">
        <v>300</v>
      </c>
      <c r="F284">
        <v>21.8</v>
      </c>
      <c r="G284">
        <v>1.3</v>
      </c>
      <c r="H284">
        <v>188</v>
      </c>
      <c r="I284">
        <v>13.5</v>
      </c>
      <c r="J284">
        <v>16.7</v>
      </c>
      <c r="K284">
        <v>30</v>
      </c>
      <c r="L284" t="s">
        <v>24</v>
      </c>
      <c r="M284" s="4">
        <v>123000000000000</v>
      </c>
      <c r="N284" s="4">
        <v>1.68E+16</v>
      </c>
      <c r="O284" s="4">
        <v>1.69E+16</v>
      </c>
      <c r="P284">
        <v>5.3650000000000002</v>
      </c>
      <c r="Q284">
        <v>0.77600000000000002</v>
      </c>
      <c r="R284">
        <v>0.224</v>
      </c>
      <c r="S284">
        <v>51.329446429999997</v>
      </c>
      <c r="T284">
        <v>14.84224957</v>
      </c>
      <c r="U284">
        <v>15.654999999999999</v>
      </c>
      <c r="V284">
        <v>23.780200000000001</v>
      </c>
      <c r="W284">
        <v>15.9467</v>
      </c>
      <c r="X284">
        <v>120.096</v>
      </c>
    </row>
    <row r="285" spans="1:24" x14ac:dyDescent="0.2">
      <c r="A285" t="s">
        <v>32</v>
      </c>
      <c r="B285" t="s">
        <v>3</v>
      </c>
      <c r="C285" t="s">
        <v>8</v>
      </c>
      <c r="D285">
        <v>2</v>
      </c>
      <c r="E285">
        <v>140</v>
      </c>
      <c r="F285">
        <v>21.8</v>
      </c>
      <c r="G285">
        <v>1.3</v>
      </c>
      <c r="H285">
        <v>188</v>
      </c>
      <c r="I285">
        <v>13.5</v>
      </c>
      <c r="J285">
        <v>27.8</v>
      </c>
      <c r="K285">
        <v>30</v>
      </c>
      <c r="L285" t="s">
        <v>24</v>
      </c>
      <c r="M285" s="4">
        <v>143000000000000</v>
      </c>
      <c r="N285" s="4">
        <v>7140000000000000</v>
      </c>
      <c r="O285" s="4">
        <v>7290000000000000</v>
      </c>
      <c r="P285">
        <v>5.3</v>
      </c>
      <c r="Q285">
        <v>0.86199999999999999</v>
      </c>
      <c r="R285">
        <v>0.13800000000000001</v>
      </c>
      <c r="S285">
        <v>12.772565999999999</v>
      </c>
      <c r="T285">
        <v>2.0499179999999999</v>
      </c>
      <c r="U285">
        <v>11.700100000000001</v>
      </c>
      <c r="V285">
        <v>20.466699999999999</v>
      </c>
      <c r="W285">
        <v>16.168800000000001</v>
      </c>
      <c r="X285">
        <v>59.434100000000001</v>
      </c>
    </row>
    <row r="286" spans="1:24" x14ac:dyDescent="0.2">
      <c r="A286" t="s">
        <v>32</v>
      </c>
      <c r="B286" t="s">
        <v>3</v>
      </c>
      <c r="C286" t="s">
        <v>18</v>
      </c>
      <c r="D286">
        <v>3</v>
      </c>
      <c r="E286">
        <v>130</v>
      </c>
      <c r="F286">
        <v>10.199999999999999</v>
      </c>
      <c r="G286">
        <v>0.65</v>
      </c>
      <c r="H286">
        <v>276</v>
      </c>
      <c r="I286">
        <v>14.4</v>
      </c>
      <c r="J286">
        <v>27.8</v>
      </c>
      <c r="K286">
        <v>30</v>
      </c>
      <c r="L286" t="s">
        <v>24</v>
      </c>
      <c r="M286" s="4">
        <v>80500000000000</v>
      </c>
      <c r="N286" s="4">
        <v>3910000000000000</v>
      </c>
      <c r="O286" s="4">
        <v>3990000000000000</v>
      </c>
      <c r="P286">
        <v>6.5060000000000002</v>
      </c>
      <c r="Q286">
        <v>0.86399999999999999</v>
      </c>
      <c r="R286">
        <v>0.13600000000000001</v>
      </c>
      <c r="S286">
        <v>6.042628036</v>
      </c>
      <c r="T286">
        <v>0.95409916400000006</v>
      </c>
      <c r="U286">
        <v>10.2569</v>
      </c>
      <c r="V286">
        <v>22.946999999999999</v>
      </c>
      <c r="W286">
        <v>16.0715</v>
      </c>
      <c r="X286">
        <v>59.571599999999997</v>
      </c>
    </row>
    <row r="287" spans="1:24" x14ac:dyDescent="0.2">
      <c r="A287" t="s">
        <v>32</v>
      </c>
      <c r="B287" t="s">
        <v>3</v>
      </c>
      <c r="C287" t="s">
        <v>8</v>
      </c>
      <c r="D287">
        <v>2</v>
      </c>
      <c r="E287">
        <v>60</v>
      </c>
      <c r="F287">
        <v>21.8</v>
      </c>
      <c r="G287">
        <v>1.3</v>
      </c>
      <c r="H287">
        <v>188</v>
      </c>
      <c r="I287">
        <v>13.5</v>
      </c>
      <c r="J287">
        <v>27.8</v>
      </c>
      <c r="K287">
        <v>30</v>
      </c>
      <c r="L287" t="s">
        <v>24</v>
      </c>
      <c r="M287" s="4">
        <v>161000000000000</v>
      </c>
      <c r="N287" s="4">
        <v>3070000000000000</v>
      </c>
      <c r="O287" s="4">
        <v>3240000000000000</v>
      </c>
      <c r="P287">
        <v>3.0070000000000001</v>
      </c>
      <c r="Q287">
        <v>0.89</v>
      </c>
      <c r="R287">
        <v>0.11</v>
      </c>
      <c r="S287" t="s">
        <v>24</v>
      </c>
      <c r="T287" t="s">
        <v>24</v>
      </c>
      <c r="U287">
        <v>10.9276</v>
      </c>
      <c r="V287">
        <v>32.472499999999997</v>
      </c>
      <c r="W287" t="s">
        <v>24</v>
      </c>
      <c r="X287" t="s">
        <v>24</v>
      </c>
    </row>
    <row r="288" spans="1:24" x14ac:dyDescent="0.2">
      <c r="A288" t="s">
        <v>32</v>
      </c>
      <c r="B288" t="s">
        <v>3</v>
      </c>
      <c r="C288" t="s">
        <v>18</v>
      </c>
      <c r="D288">
        <v>3</v>
      </c>
      <c r="E288">
        <v>230</v>
      </c>
      <c r="F288">
        <v>10.199999999999999</v>
      </c>
      <c r="G288">
        <v>0.65</v>
      </c>
      <c r="H288">
        <v>276</v>
      </c>
      <c r="I288">
        <v>14.4</v>
      </c>
      <c r="J288">
        <v>28.3</v>
      </c>
      <c r="K288">
        <v>30</v>
      </c>
      <c r="L288" t="s">
        <v>24</v>
      </c>
      <c r="M288" s="4">
        <v>102000000000000</v>
      </c>
      <c r="N288" s="4">
        <v>2420000000000000</v>
      </c>
      <c r="O288" s="4">
        <v>2520000000000000</v>
      </c>
      <c r="P288">
        <v>3.6720000000000002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  <c r="W288" t="s">
        <v>24</v>
      </c>
      <c r="X288" t="s">
        <v>24</v>
      </c>
    </row>
    <row r="289" spans="1:24" x14ac:dyDescent="0.2">
      <c r="A289" t="s">
        <v>32</v>
      </c>
      <c r="B289" t="s">
        <v>3</v>
      </c>
      <c r="C289" t="s">
        <v>8</v>
      </c>
      <c r="D289">
        <v>3</v>
      </c>
      <c r="E289">
        <v>120</v>
      </c>
      <c r="F289">
        <v>21.8</v>
      </c>
      <c r="G289">
        <v>1.3</v>
      </c>
      <c r="H289">
        <v>188</v>
      </c>
      <c r="I289">
        <v>13.5</v>
      </c>
      <c r="J289">
        <v>29.4</v>
      </c>
      <c r="K289">
        <v>30</v>
      </c>
      <c r="L289" t="s">
        <v>24</v>
      </c>
      <c r="M289" s="4">
        <v>257000000000000</v>
      </c>
      <c r="N289" s="4">
        <v>1240000000000000</v>
      </c>
      <c r="O289" s="4">
        <v>1490000000000000</v>
      </c>
      <c r="P289">
        <v>5.0339999999999998</v>
      </c>
      <c r="Q289">
        <v>0.89200000000000002</v>
      </c>
      <c r="R289">
        <v>0.108</v>
      </c>
      <c r="S289" t="s">
        <v>24</v>
      </c>
      <c r="T289" t="s">
        <v>24</v>
      </c>
      <c r="U289">
        <v>11.490399999999999</v>
      </c>
      <c r="V289">
        <v>46.101300000000002</v>
      </c>
      <c r="W289" t="s">
        <v>24</v>
      </c>
      <c r="X289" t="s">
        <v>24</v>
      </c>
    </row>
    <row r="290" spans="1:24" x14ac:dyDescent="0.2">
      <c r="A290" t="s">
        <v>32</v>
      </c>
      <c r="B290" t="s">
        <v>4</v>
      </c>
      <c r="C290" t="s">
        <v>19</v>
      </c>
      <c r="D290">
        <v>2</v>
      </c>
      <c r="E290">
        <v>540</v>
      </c>
      <c r="F290">
        <v>8</v>
      </c>
      <c r="G290">
        <v>0.9</v>
      </c>
      <c r="H290">
        <v>500</v>
      </c>
      <c r="I290">
        <v>14.4</v>
      </c>
      <c r="J290">
        <v>19</v>
      </c>
      <c r="K290">
        <v>30</v>
      </c>
      <c r="L290">
        <v>0.28499999999999998</v>
      </c>
      <c r="M290" t="s">
        <v>24</v>
      </c>
      <c r="N290" t="s">
        <v>24</v>
      </c>
      <c r="O290" s="4">
        <v>4.57E+16</v>
      </c>
      <c r="P290">
        <v>4.99</v>
      </c>
      <c r="Q290">
        <v>0.78600000000000003</v>
      </c>
      <c r="R290">
        <v>0.214</v>
      </c>
      <c r="S290">
        <v>15.19550563</v>
      </c>
      <c r="T290">
        <v>4.1277343660000003</v>
      </c>
      <c r="U290">
        <v>12.9146</v>
      </c>
      <c r="V290">
        <v>17.305299999999999</v>
      </c>
      <c r="W290">
        <v>16.661300000000001</v>
      </c>
      <c r="X290">
        <v>75.383399999999995</v>
      </c>
    </row>
    <row r="291" spans="1:24" x14ac:dyDescent="0.2">
      <c r="A291" t="s">
        <v>32</v>
      </c>
      <c r="B291" t="s">
        <v>4</v>
      </c>
      <c r="C291" t="s">
        <v>8</v>
      </c>
      <c r="D291">
        <v>2</v>
      </c>
      <c r="E291">
        <v>600</v>
      </c>
      <c r="F291">
        <v>16</v>
      </c>
      <c r="G291">
        <v>1.4</v>
      </c>
      <c r="H291">
        <v>800</v>
      </c>
      <c r="I291">
        <v>13.9</v>
      </c>
      <c r="J291">
        <v>14.7</v>
      </c>
      <c r="K291">
        <v>30</v>
      </c>
      <c r="L291">
        <v>0.27900000000000003</v>
      </c>
      <c r="M291" s="4">
        <v>3180000000000000</v>
      </c>
      <c r="N291" s="4">
        <v>4.81E+16</v>
      </c>
      <c r="O291" s="4">
        <v>5.12E+16</v>
      </c>
      <c r="P291">
        <v>15.41</v>
      </c>
      <c r="Q291">
        <v>0.68799999999999994</v>
      </c>
      <c r="R291">
        <v>0.312</v>
      </c>
      <c r="S291">
        <v>16.076268859999999</v>
      </c>
      <c r="T291">
        <v>7.2823311359999998</v>
      </c>
      <c r="U291">
        <v>13.9773</v>
      </c>
      <c r="V291">
        <v>20.566199999999998</v>
      </c>
      <c r="W291">
        <v>18.5304</v>
      </c>
      <c r="X291">
        <v>52.704500000000003</v>
      </c>
    </row>
    <row r="292" spans="1:24" x14ac:dyDescent="0.2">
      <c r="A292" t="s">
        <v>32</v>
      </c>
      <c r="B292" t="s">
        <v>4</v>
      </c>
      <c r="C292" t="s">
        <v>19</v>
      </c>
      <c r="D292">
        <v>3</v>
      </c>
      <c r="E292">
        <v>540</v>
      </c>
      <c r="F292">
        <v>8</v>
      </c>
      <c r="G292">
        <v>0.9</v>
      </c>
      <c r="H292">
        <v>500</v>
      </c>
      <c r="I292">
        <v>14.4</v>
      </c>
      <c r="J292">
        <v>15.1</v>
      </c>
      <c r="K292">
        <v>30</v>
      </c>
      <c r="L292">
        <v>0.28699999999999998</v>
      </c>
      <c r="M292" s="4">
        <v>2250000000000000</v>
      </c>
      <c r="N292" s="4">
        <v>1.03E+16</v>
      </c>
      <c r="O292" s="4">
        <v>1.26E+16</v>
      </c>
      <c r="P292">
        <v>1.90185</v>
      </c>
      <c r="Q292">
        <v>0.81599999999999995</v>
      </c>
      <c r="R292">
        <v>0.184</v>
      </c>
      <c r="S292">
        <v>8.1632172220000001</v>
      </c>
      <c r="T292">
        <v>1.8438227780000001</v>
      </c>
      <c r="U292">
        <v>17.048400000000001</v>
      </c>
      <c r="V292">
        <v>23.3292</v>
      </c>
      <c r="W292">
        <v>18.223299999999998</v>
      </c>
      <c r="X292">
        <v>59.035400000000003</v>
      </c>
    </row>
    <row r="293" spans="1:24" x14ac:dyDescent="0.2">
      <c r="A293" t="s">
        <v>32</v>
      </c>
      <c r="B293" t="s">
        <v>1</v>
      </c>
      <c r="C293" t="s">
        <v>8</v>
      </c>
      <c r="D293">
        <v>3</v>
      </c>
      <c r="E293">
        <v>182</v>
      </c>
      <c r="F293">
        <v>17.600000000000001</v>
      </c>
      <c r="G293">
        <v>0.93</v>
      </c>
      <c r="H293">
        <v>383</v>
      </c>
      <c r="I293">
        <v>13.69</v>
      </c>
      <c r="J293">
        <v>28</v>
      </c>
      <c r="K293">
        <v>65</v>
      </c>
      <c r="L293">
        <v>0.59799999999999998</v>
      </c>
      <c r="M293" s="4">
        <v>136000000000000</v>
      </c>
      <c r="N293" s="4">
        <v>1.07E+16</v>
      </c>
      <c r="O293" s="4">
        <v>1.08E+16</v>
      </c>
      <c r="P293">
        <v>18.420000000000002</v>
      </c>
      <c r="Q293" t="s">
        <v>24</v>
      </c>
      <c r="R293" t="s">
        <v>24</v>
      </c>
      <c r="S293" t="s">
        <v>24</v>
      </c>
      <c r="T293" t="s">
        <v>24</v>
      </c>
      <c r="U293">
        <v>11.60228</v>
      </c>
      <c r="V293">
        <v>38.217257500000002</v>
      </c>
      <c r="W293">
        <v>22.6882275</v>
      </c>
      <c r="X293">
        <v>60.270845000000001</v>
      </c>
    </row>
    <row r="294" spans="1:24" x14ac:dyDescent="0.2">
      <c r="A294" t="s">
        <v>32</v>
      </c>
      <c r="B294" t="s">
        <v>1</v>
      </c>
      <c r="C294" t="s">
        <v>8</v>
      </c>
      <c r="D294">
        <v>3</v>
      </c>
      <c r="E294">
        <v>228</v>
      </c>
      <c r="F294">
        <v>17.600000000000001</v>
      </c>
      <c r="G294">
        <v>0.93</v>
      </c>
      <c r="H294">
        <v>383</v>
      </c>
      <c r="I294">
        <v>13.69</v>
      </c>
      <c r="J294">
        <v>33</v>
      </c>
      <c r="K294">
        <v>65</v>
      </c>
      <c r="L294">
        <v>0.55400000000000005</v>
      </c>
      <c r="M294" s="4">
        <v>131000000000000</v>
      </c>
      <c r="N294" s="4">
        <v>2680000000000000</v>
      </c>
      <c r="O294" s="4">
        <v>2810000000000000</v>
      </c>
      <c r="P294">
        <v>14.68</v>
      </c>
      <c r="Q294" t="s">
        <v>24</v>
      </c>
      <c r="R294" t="s">
        <v>24</v>
      </c>
      <c r="S294" t="s">
        <v>24</v>
      </c>
      <c r="T294" t="s">
        <v>24</v>
      </c>
      <c r="U294">
        <v>12.416606</v>
      </c>
      <c r="V294">
        <v>49.302852000000001</v>
      </c>
      <c r="W294">
        <v>18.444112499999999</v>
      </c>
      <c r="X294">
        <v>66.048022500000002</v>
      </c>
    </row>
    <row r="295" spans="1:24" x14ac:dyDescent="0.2">
      <c r="A295" t="s">
        <v>32</v>
      </c>
      <c r="B295" t="s">
        <v>1</v>
      </c>
      <c r="C295" t="s">
        <v>8</v>
      </c>
      <c r="D295">
        <v>3</v>
      </c>
      <c r="E295">
        <v>234</v>
      </c>
      <c r="F295">
        <v>17.600000000000001</v>
      </c>
      <c r="G295">
        <v>0.93</v>
      </c>
      <c r="H295">
        <v>383</v>
      </c>
      <c r="I295">
        <v>13.69</v>
      </c>
      <c r="J295">
        <v>23</v>
      </c>
      <c r="K295">
        <v>65</v>
      </c>
      <c r="L295">
        <v>0.625</v>
      </c>
      <c r="M295" s="4">
        <v>221000000000000</v>
      </c>
      <c r="N295" s="4">
        <v>1.38E+16</v>
      </c>
      <c r="O295" s="4">
        <v>1.4E+16</v>
      </c>
      <c r="P295">
        <v>29.4</v>
      </c>
      <c r="Q295" t="s">
        <v>24</v>
      </c>
      <c r="R295" t="s">
        <v>24</v>
      </c>
      <c r="S295" t="s">
        <v>24</v>
      </c>
      <c r="T295" t="s">
        <v>24</v>
      </c>
      <c r="U295">
        <v>11.926951430000001</v>
      </c>
      <c r="V295">
        <v>40.28716</v>
      </c>
      <c r="W295">
        <v>21.909711430000002</v>
      </c>
      <c r="X295">
        <v>67.747268570000003</v>
      </c>
    </row>
    <row r="296" spans="1:24" x14ac:dyDescent="0.2">
      <c r="A296" t="s">
        <v>32</v>
      </c>
      <c r="B296" t="s">
        <v>1</v>
      </c>
      <c r="C296" t="s">
        <v>8</v>
      </c>
      <c r="D296">
        <v>3</v>
      </c>
      <c r="E296">
        <v>231</v>
      </c>
      <c r="F296">
        <v>17.600000000000001</v>
      </c>
      <c r="G296">
        <v>0.93</v>
      </c>
      <c r="H296">
        <v>383</v>
      </c>
      <c r="I296">
        <v>13.69</v>
      </c>
      <c r="J296">
        <v>24</v>
      </c>
      <c r="K296">
        <v>65</v>
      </c>
      <c r="L296">
        <v>0.58899999999999997</v>
      </c>
      <c r="M296" s="4">
        <v>177000000000000</v>
      </c>
      <c r="N296" s="4">
        <v>1.54E+16</v>
      </c>
      <c r="O296" s="4">
        <v>1.56E+16</v>
      </c>
      <c r="P296">
        <v>19.07</v>
      </c>
      <c r="Q296" t="s">
        <v>24</v>
      </c>
      <c r="R296" t="s">
        <v>24</v>
      </c>
      <c r="S296" t="s">
        <v>24</v>
      </c>
      <c r="T296" t="s">
        <v>24</v>
      </c>
      <c r="U296">
        <v>11.99611833</v>
      </c>
      <c r="V296">
        <v>32.071763330000003</v>
      </c>
      <c r="W296">
        <v>18.505794999999999</v>
      </c>
      <c r="X296">
        <v>63.991885000000003</v>
      </c>
    </row>
    <row r="297" spans="1:24" x14ac:dyDescent="0.2">
      <c r="A297" t="s">
        <v>32</v>
      </c>
      <c r="B297" t="s">
        <v>1</v>
      </c>
      <c r="C297" t="s">
        <v>8</v>
      </c>
      <c r="D297">
        <v>3</v>
      </c>
      <c r="E297">
        <v>248</v>
      </c>
      <c r="F297">
        <v>17.600000000000001</v>
      </c>
      <c r="G297">
        <v>0.93</v>
      </c>
      <c r="H297">
        <v>383</v>
      </c>
      <c r="I297">
        <v>13.69</v>
      </c>
      <c r="J297">
        <v>24</v>
      </c>
      <c r="K297">
        <v>65</v>
      </c>
      <c r="L297">
        <v>0.53900000000000003</v>
      </c>
      <c r="M297" s="4">
        <v>133000000000000</v>
      </c>
      <c r="N297" s="4">
        <v>1.7E+16</v>
      </c>
      <c r="O297" s="4">
        <v>1.71E+16</v>
      </c>
      <c r="P297">
        <v>10.94</v>
      </c>
      <c r="Q297" t="s">
        <v>24</v>
      </c>
      <c r="R297" t="s">
        <v>24</v>
      </c>
      <c r="S297" t="s">
        <v>24</v>
      </c>
      <c r="T297" t="s">
        <v>24</v>
      </c>
      <c r="U297">
        <v>11.86270833</v>
      </c>
      <c r="V297">
        <v>26.02418333</v>
      </c>
      <c r="W297">
        <v>18.299299999999999</v>
      </c>
      <c r="X297">
        <v>60.332737999999999</v>
      </c>
    </row>
    <row r="298" spans="1:24" x14ac:dyDescent="0.2">
      <c r="A298" t="s">
        <v>32</v>
      </c>
      <c r="B298" t="s">
        <v>1</v>
      </c>
      <c r="C298" t="s">
        <v>9</v>
      </c>
      <c r="D298">
        <v>3</v>
      </c>
      <c r="E298">
        <v>255</v>
      </c>
      <c r="F298">
        <v>17.3</v>
      </c>
      <c r="G298">
        <v>1.31</v>
      </c>
      <c r="H298">
        <v>1595</v>
      </c>
      <c r="I298">
        <v>13.67</v>
      </c>
      <c r="J298">
        <v>32</v>
      </c>
      <c r="K298">
        <v>65</v>
      </c>
      <c r="L298">
        <v>0.57499999999999996</v>
      </c>
      <c r="M298" s="4">
        <v>196000000000000</v>
      </c>
      <c r="N298" s="4">
        <v>1.24E+16</v>
      </c>
      <c r="O298" s="4">
        <v>1.26E+16</v>
      </c>
      <c r="P298">
        <v>17.149999999999999</v>
      </c>
      <c r="Q298" t="s">
        <v>24</v>
      </c>
      <c r="R298" t="s">
        <v>24</v>
      </c>
      <c r="S298" t="s">
        <v>24</v>
      </c>
      <c r="T298" t="s">
        <v>24</v>
      </c>
      <c r="U298">
        <v>13.4116125</v>
      </c>
      <c r="V298">
        <v>35.016123749999998</v>
      </c>
      <c r="W298">
        <v>15.872361250000001</v>
      </c>
      <c r="X298">
        <v>59.935315000000003</v>
      </c>
    </row>
    <row r="299" spans="1:24" x14ac:dyDescent="0.2">
      <c r="A299" t="s">
        <v>32</v>
      </c>
      <c r="B299" t="s">
        <v>1</v>
      </c>
      <c r="C299" t="s">
        <v>9</v>
      </c>
      <c r="D299">
        <v>3</v>
      </c>
      <c r="E299">
        <v>225</v>
      </c>
      <c r="F299">
        <v>17.3</v>
      </c>
      <c r="G299">
        <v>1.31</v>
      </c>
      <c r="H299">
        <v>1595</v>
      </c>
      <c r="I299">
        <v>13.67</v>
      </c>
      <c r="J299">
        <v>26</v>
      </c>
      <c r="K299">
        <v>65</v>
      </c>
      <c r="L299">
        <v>0.61</v>
      </c>
      <c r="M299" s="4">
        <v>198000000000000</v>
      </c>
      <c r="N299" s="4">
        <v>3.02E+16</v>
      </c>
      <c r="O299" s="4">
        <v>3.04E+16</v>
      </c>
      <c r="P299">
        <v>23.71</v>
      </c>
      <c r="Q299">
        <v>0.57599999999999996</v>
      </c>
      <c r="R299">
        <v>0.42399999999999999</v>
      </c>
      <c r="S299">
        <v>64.282169800000005</v>
      </c>
      <c r="T299">
        <v>47.304523000000003</v>
      </c>
      <c r="U299">
        <v>15.01460286</v>
      </c>
      <c r="V299">
        <v>30.308762860000002</v>
      </c>
      <c r="W299">
        <v>19.65765833</v>
      </c>
      <c r="X299">
        <v>63.700383330000001</v>
      </c>
    </row>
    <row r="300" spans="1:24" x14ac:dyDescent="0.2">
      <c r="A300" t="s">
        <v>32</v>
      </c>
      <c r="B300" t="s">
        <v>1</v>
      </c>
      <c r="C300" t="s">
        <v>9</v>
      </c>
      <c r="D300">
        <v>3</v>
      </c>
      <c r="E300">
        <v>216</v>
      </c>
      <c r="F300">
        <v>17.3</v>
      </c>
      <c r="G300">
        <v>1.31</v>
      </c>
      <c r="H300">
        <v>1595</v>
      </c>
      <c r="I300">
        <v>13.67</v>
      </c>
      <c r="J300">
        <v>26</v>
      </c>
      <c r="K300">
        <v>65</v>
      </c>
      <c r="L300">
        <v>0.57199999999999995</v>
      </c>
      <c r="M300" s="4">
        <v>159000000000000</v>
      </c>
      <c r="N300" s="4">
        <v>3.34E+16</v>
      </c>
      <c r="O300" s="4">
        <v>3.35E+16</v>
      </c>
      <c r="P300">
        <v>15.98</v>
      </c>
      <c r="Q300" t="s">
        <v>24</v>
      </c>
      <c r="R300" t="s">
        <v>24</v>
      </c>
      <c r="S300" t="s">
        <v>24</v>
      </c>
      <c r="T300" t="s">
        <v>24</v>
      </c>
      <c r="U300">
        <v>15.315398330000001</v>
      </c>
      <c r="V300">
        <v>24.24038333</v>
      </c>
      <c r="W300">
        <v>16.362658329999999</v>
      </c>
      <c r="X300">
        <v>62.128738329999997</v>
      </c>
    </row>
    <row r="301" spans="1:24" x14ac:dyDescent="0.2">
      <c r="A301" t="s">
        <v>32</v>
      </c>
      <c r="B301" t="s">
        <v>1</v>
      </c>
      <c r="C301" t="s">
        <v>9</v>
      </c>
      <c r="D301">
        <v>3</v>
      </c>
      <c r="E301">
        <v>212</v>
      </c>
      <c r="F301">
        <v>17.3</v>
      </c>
      <c r="G301">
        <v>1.31</v>
      </c>
      <c r="H301">
        <v>1595</v>
      </c>
      <c r="I301">
        <v>13.67</v>
      </c>
      <c r="J301">
        <v>26</v>
      </c>
      <c r="K301">
        <v>65</v>
      </c>
      <c r="L301">
        <v>0.51200000000000001</v>
      </c>
      <c r="M301" s="4">
        <v>112000000000000</v>
      </c>
      <c r="N301" s="4">
        <v>3.67E+16</v>
      </c>
      <c r="O301" s="4">
        <v>3.68E+16</v>
      </c>
      <c r="P301">
        <v>8.39</v>
      </c>
      <c r="Q301">
        <v>0.61399999999999999</v>
      </c>
      <c r="R301">
        <v>0.38600000000000001</v>
      </c>
      <c r="S301">
        <v>73.117076409999996</v>
      </c>
      <c r="T301">
        <v>46.030621910000001</v>
      </c>
      <c r="U301">
        <v>15.37203167</v>
      </c>
      <c r="V301">
        <v>21.987175000000001</v>
      </c>
      <c r="W301">
        <v>16.807748</v>
      </c>
      <c r="X301">
        <v>61.194747999999997</v>
      </c>
    </row>
    <row r="302" spans="1:24" x14ac:dyDescent="0.2">
      <c r="A302" t="s">
        <v>32</v>
      </c>
      <c r="B302" t="s">
        <v>1</v>
      </c>
      <c r="C302" t="s">
        <v>10</v>
      </c>
      <c r="D302">
        <v>3</v>
      </c>
      <c r="E302">
        <v>224</v>
      </c>
      <c r="F302">
        <v>21.8</v>
      </c>
      <c r="G302">
        <v>1.34</v>
      </c>
      <c r="H302">
        <v>530</v>
      </c>
      <c r="I302">
        <v>13.7</v>
      </c>
      <c r="J302">
        <v>29</v>
      </c>
      <c r="K302">
        <v>65</v>
      </c>
      <c r="L302">
        <v>0.56299999999999994</v>
      </c>
      <c r="M302" s="4">
        <v>146000000000000</v>
      </c>
      <c r="N302" s="4">
        <v>1.11E+16</v>
      </c>
      <c r="O302" s="4">
        <v>1.12E+16</v>
      </c>
      <c r="P302">
        <v>16.760000000000002</v>
      </c>
      <c r="Q302" t="s">
        <v>24</v>
      </c>
      <c r="R302" t="s">
        <v>24</v>
      </c>
      <c r="S302" t="s">
        <v>24</v>
      </c>
      <c r="T302" t="s">
        <v>24</v>
      </c>
      <c r="U302">
        <v>11.321806670000001</v>
      </c>
      <c r="V302">
        <v>36.792253330000001</v>
      </c>
      <c r="W302">
        <v>21.863659999999999</v>
      </c>
      <c r="X302">
        <v>61.929560000000002</v>
      </c>
    </row>
    <row r="303" spans="1:24" x14ac:dyDescent="0.2">
      <c r="A303" t="s">
        <v>32</v>
      </c>
      <c r="B303" t="s">
        <v>1</v>
      </c>
      <c r="C303" t="s">
        <v>10</v>
      </c>
      <c r="D303">
        <v>3</v>
      </c>
      <c r="E303">
        <v>245</v>
      </c>
      <c r="F303">
        <v>21.8</v>
      </c>
      <c r="G303">
        <v>1.34</v>
      </c>
      <c r="H303">
        <v>530</v>
      </c>
      <c r="I303">
        <v>13.7</v>
      </c>
      <c r="J303">
        <v>21</v>
      </c>
      <c r="K303">
        <v>65</v>
      </c>
      <c r="L303">
        <v>0.624</v>
      </c>
      <c r="M303" s="4">
        <v>252000000000000</v>
      </c>
      <c r="N303" s="4">
        <v>1.73E+16</v>
      </c>
      <c r="O303" s="4">
        <v>1.75E+16</v>
      </c>
      <c r="P303">
        <v>33.409999999999997</v>
      </c>
      <c r="Q303" t="s">
        <v>24</v>
      </c>
      <c r="R303" t="s">
        <v>24</v>
      </c>
      <c r="S303" t="s">
        <v>24</v>
      </c>
      <c r="T303" t="s">
        <v>24</v>
      </c>
      <c r="U303">
        <v>12.481522500000001</v>
      </c>
      <c r="V303">
        <v>39.453857499999998</v>
      </c>
      <c r="W303">
        <v>22.732801429999999</v>
      </c>
      <c r="X303">
        <v>68.699898570000002</v>
      </c>
    </row>
    <row r="304" spans="1:24" x14ac:dyDescent="0.2">
      <c r="A304" t="s">
        <v>32</v>
      </c>
      <c r="B304" t="s">
        <v>1</v>
      </c>
      <c r="C304" t="s">
        <v>10</v>
      </c>
      <c r="D304">
        <v>3</v>
      </c>
      <c r="E304">
        <v>219</v>
      </c>
      <c r="F304">
        <v>21.8</v>
      </c>
      <c r="G304">
        <v>1.34</v>
      </c>
      <c r="H304">
        <v>530</v>
      </c>
      <c r="I304">
        <v>13.7</v>
      </c>
      <c r="J304">
        <v>22</v>
      </c>
      <c r="K304">
        <v>65</v>
      </c>
      <c r="L304">
        <v>0.57999999999999996</v>
      </c>
      <c r="M304" s="4">
        <v>201000000000000</v>
      </c>
      <c r="N304" s="4">
        <v>1.94E+16</v>
      </c>
      <c r="O304" s="4">
        <v>1.96E+16</v>
      </c>
      <c r="P304">
        <v>22.96</v>
      </c>
      <c r="Q304">
        <v>0.73399999999999999</v>
      </c>
      <c r="R304">
        <v>0.26600000000000001</v>
      </c>
      <c r="S304">
        <v>33.853659469999997</v>
      </c>
      <c r="T304">
        <v>12.282168649999999</v>
      </c>
      <c r="U304">
        <v>12.69467667</v>
      </c>
      <c r="V304">
        <v>31.03270333</v>
      </c>
      <c r="W304">
        <v>20.95966</v>
      </c>
      <c r="X304">
        <v>64.183623330000003</v>
      </c>
    </row>
    <row r="305" spans="1:24" x14ac:dyDescent="0.2">
      <c r="A305" t="s">
        <v>32</v>
      </c>
      <c r="B305" t="s">
        <v>1</v>
      </c>
      <c r="C305" t="s">
        <v>10</v>
      </c>
      <c r="D305">
        <v>3</v>
      </c>
      <c r="E305">
        <v>295</v>
      </c>
      <c r="F305">
        <v>21.8</v>
      </c>
      <c r="G305">
        <v>1.34</v>
      </c>
      <c r="H305">
        <v>530</v>
      </c>
      <c r="I305">
        <v>13.7</v>
      </c>
      <c r="J305">
        <v>22</v>
      </c>
      <c r="K305">
        <v>65</v>
      </c>
      <c r="L305">
        <v>0.53500000000000003</v>
      </c>
      <c r="M305" s="4">
        <v>150000000000000</v>
      </c>
      <c r="N305" s="4">
        <v>2.19E+16</v>
      </c>
      <c r="O305" s="4">
        <v>2.21E+16</v>
      </c>
      <c r="P305">
        <v>11.73</v>
      </c>
      <c r="Q305">
        <v>0.65300000000000002</v>
      </c>
      <c r="R305">
        <v>0.34699999999999998</v>
      </c>
      <c r="S305">
        <v>26.987876109999998</v>
      </c>
      <c r="T305">
        <v>14.367336529999999</v>
      </c>
      <c r="U305">
        <v>12.823947779999999</v>
      </c>
      <c r="V305">
        <v>23.78931</v>
      </c>
      <c r="W305">
        <v>20.224581669999999</v>
      </c>
      <c r="X305">
        <v>59.437791670000003</v>
      </c>
    </row>
    <row r="306" spans="1:24" x14ac:dyDescent="0.2">
      <c r="A306" t="s">
        <v>32</v>
      </c>
      <c r="B306" t="s">
        <v>2</v>
      </c>
      <c r="C306" t="s">
        <v>8</v>
      </c>
      <c r="D306">
        <v>3</v>
      </c>
      <c r="E306">
        <v>170</v>
      </c>
      <c r="F306">
        <v>18.600000000000001</v>
      </c>
      <c r="G306">
        <v>1.6</v>
      </c>
      <c r="H306">
        <v>1148</v>
      </c>
      <c r="I306">
        <v>13.6</v>
      </c>
      <c r="J306">
        <v>5.7</v>
      </c>
      <c r="K306">
        <v>65</v>
      </c>
      <c r="L306">
        <v>0.68799999999999994</v>
      </c>
      <c r="M306" s="4">
        <v>350000000000000</v>
      </c>
      <c r="N306" s="4">
        <v>2.53E+16</v>
      </c>
      <c r="O306" s="4">
        <v>2.6E+16</v>
      </c>
      <c r="P306">
        <v>17.12</v>
      </c>
      <c r="Q306" t="s">
        <v>24</v>
      </c>
      <c r="R306" t="s">
        <v>24</v>
      </c>
      <c r="S306" t="s">
        <v>24</v>
      </c>
      <c r="T306" t="s">
        <v>24</v>
      </c>
      <c r="U306">
        <v>13.118600000000001</v>
      </c>
      <c r="V306">
        <v>24.7501</v>
      </c>
      <c r="W306">
        <v>15.237500000000001</v>
      </c>
      <c r="X306">
        <v>67.424800000000005</v>
      </c>
    </row>
    <row r="307" spans="1:24" x14ac:dyDescent="0.2">
      <c r="A307" t="s">
        <v>32</v>
      </c>
      <c r="B307" t="s">
        <v>2</v>
      </c>
      <c r="C307" t="s">
        <v>8</v>
      </c>
      <c r="D307">
        <v>2</v>
      </c>
      <c r="E307">
        <v>180</v>
      </c>
      <c r="F307">
        <v>18.600000000000001</v>
      </c>
      <c r="G307">
        <v>1.6</v>
      </c>
      <c r="H307">
        <v>1148</v>
      </c>
      <c r="I307">
        <v>13.6</v>
      </c>
      <c r="J307">
        <v>5.8</v>
      </c>
      <c r="K307">
        <v>65</v>
      </c>
      <c r="L307">
        <v>0.66100000000000003</v>
      </c>
      <c r="M307" s="4">
        <v>520000000000000</v>
      </c>
      <c r="N307" s="4">
        <v>1.9E+16</v>
      </c>
      <c r="O307" s="4">
        <v>2E+16</v>
      </c>
      <c r="P307">
        <v>40.21</v>
      </c>
      <c r="Q307" t="s">
        <v>24</v>
      </c>
      <c r="R307" t="s">
        <v>24</v>
      </c>
      <c r="S307" t="s">
        <v>24</v>
      </c>
      <c r="T307" t="s">
        <v>24</v>
      </c>
      <c r="U307">
        <v>14.2645</v>
      </c>
      <c r="V307">
        <v>36.168500000000002</v>
      </c>
      <c r="W307">
        <v>17.6936</v>
      </c>
      <c r="X307">
        <v>73.553299999999993</v>
      </c>
    </row>
    <row r="308" spans="1:24" x14ac:dyDescent="0.2">
      <c r="A308" t="s">
        <v>32</v>
      </c>
      <c r="B308" t="s">
        <v>2</v>
      </c>
      <c r="C308" t="s">
        <v>8</v>
      </c>
      <c r="D308">
        <v>3</v>
      </c>
      <c r="E308">
        <v>60</v>
      </c>
      <c r="F308">
        <v>18.600000000000001</v>
      </c>
      <c r="G308">
        <v>1.6</v>
      </c>
      <c r="H308">
        <v>1148</v>
      </c>
      <c r="I308">
        <v>13.6</v>
      </c>
      <c r="J308">
        <v>4.4000000000000004</v>
      </c>
      <c r="K308">
        <v>65</v>
      </c>
      <c r="L308">
        <v>0.68</v>
      </c>
      <c r="M308" s="4">
        <v>510000000000000</v>
      </c>
      <c r="N308" s="4">
        <v>2.89E+16</v>
      </c>
      <c r="O308" s="4">
        <v>2.9E+16</v>
      </c>
      <c r="P308">
        <v>30.5</v>
      </c>
      <c r="Q308" t="s">
        <v>24</v>
      </c>
      <c r="R308" t="s">
        <v>24</v>
      </c>
      <c r="S308" t="s">
        <v>24</v>
      </c>
      <c r="T308" t="s">
        <v>24</v>
      </c>
      <c r="U308">
        <v>16.147200000000002</v>
      </c>
      <c r="V308">
        <v>33.557299999999998</v>
      </c>
      <c r="W308">
        <v>20.064699999999998</v>
      </c>
      <c r="X308">
        <v>117.667</v>
      </c>
    </row>
    <row r="309" spans="1:24" x14ac:dyDescent="0.2">
      <c r="A309" t="s">
        <v>32</v>
      </c>
      <c r="B309" t="s">
        <v>2</v>
      </c>
      <c r="C309" t="s">
        <v>8</v>
      </c>
      <c r="D309">
        <v>3</v>
      </c>
      <c r="E309">
        <v>120</v>
      </c>
      <c r="F309">
        <v>18.600000000000001</v>
      </c>
      <c r="G309">
        <v>1.6</v>
      </c>
      <c r="H309">
        <v>1148</v>
      </c>
      <c r="I309">
        <v>13.6</v>
      </c>
      <c r="J309">
        <v>4.2</v>
      </c>
      <c r="K309">
        <v>65</v>
      </c>
      <c r="L309">
        <v>0.68</v>
      </c>
      <c r="M309" s="4">
        <v>540000000000000</v>
      </c>
      <c r="N309" s="4">
        <v>4340000000000000</v>
      </c>
      <c r="O309" s="4">
        <v>4900000000000000</v>
      </c>
      <c r="P309">
        <v>31.94</v>
      </c>
      <c r="Q309" t="s">
        <v>24</v>
      </c>
      <c r="R309" t="s">
        <v>24</v>
      </c>
      <c r="S309" t="s">
        <v>24</v>
      </c>
      <c r="T309" t="s">
        <v>24</v>
      </c>
      <c r="U309">
        <v>16.389399999999998</v>
      </c>
      <c r="V309">
        <v>50.0139</v>
      </c>
      <c r="W309">
        <v>19.7072</v>
      </c>
      <c r="X309">
        <v>101.65</v>
      </c>
    </row>
    <row r="310" spans="1:24" x14ac:dyDescent="0.2">
      <c r="A310" t="s">
        <v>32</v>
      </c>
      <c r="B310" t="s">
        <v>2</v>
      </c>
      <c r="C310" t="s">
        <v>8</v>
      </c>
      <c r="D310">
        <v>2</v>
      </c>
      <c r="E310">
        <v>65</v>
      </c>
      <c r="F310">
        <v>18.600000000000001</v>
      </c>
      <c r="G310">
        <v>1.6</v>
      </c>
      <c r="H310">
        <v>1148</v>
      </c>
      <c r="I310">
        <v>13.6</v>
      </c>
      <c r="J310">
        <v>4</v>
      </c>
      <c r="K310">
        <v>65</v>
      </c>
      <c r="L310">
        <v>0.66600000000000004</v>
      </c>
      <c r="M310" s="4">
        <v>790000000000000</v>
      </c>
      <c r="N310" s="4">
        <v>2.34E+16</v>
      </c>
      <c r="O310" s="4">
        <v>2.4E+16</v>
      </c>
      <c r="P310">
        <v>70.47</v>
      </c>
      <c r="Q310" t="s">
        <v>24</v>
      </c>
      <c r="R310" t="s">
        <v>24</v>
      </c>
      <c r="S310" t="s">
        <v>24</v>
      </c>
      <c r="T310" t="s">
        <v>24</v>
      </c>
      <c r="U310">
        <v>16.613600000000002</v>
      </c>
      <c r="V310">
        <v>48.343499999999999</v>
      </c>
      <c r="W310">
        <v>23.362400000000001</v>
      </c>
      <c r="X310">
        <v>101.316</v>
      </c>
    </row>
    <row r="311" spans="1:24" x14ac:dyDescent="0.2">
      <c r="A311" t="s">
        <v>32</v>
      </c>
      <c r="B311" t="s">
        <v>2</v>
      </c>
      <c r="C311" t="s">
        <v>8</v>
      </c>
      <c r="D311">
        <v>2</v>
      </c>
      <c r="E311">
        <v>160</v>
      </c>
      <c r="F311">
        <v>18.600000000000001</v>
      </c>
      <c r="G311">
        <v>1.6</v>
      </c>
      <c r="H311">
        <v>1148</v>
      </c>
      <c r="I311">
        <v>13.6</v>
      </c>
      <c r="J311">
        <v>9.4</v>
      </c>
      <c r="K311">
        <v>65</v>
      </c>
      <c r="L311">
        <v>0.67300000000000004</v>
      </c>
      <c r="M311" s="4">
        <v>760000000000000</v>
      </c>
      <c r="N311" s="4">
        <v>3150000000000000</v>
      </c>
      <c r="O311" s="4">
        <v>3900000000000000</v>
      </c>
      <c r="P311">
        <v>80.62</v>
      </c>
      <c r="Q311">
        <v>0.84799999999999998</v>
      </c>
      <c r="R311">
        <v>0.152</v>
      </c>
      <c r="S311">
        <v>95.673326099999997</v>
      </c>
      <c r="T311">
        <v>17.161233899999999</v>
      </c>
      <c r="U311">
        <v>14.951499999999999</v>
      </c>
      <c r="V311">
        <v>48.157899999999998</v>
      </c>
      <c r="W311">
        <v>23.548400000000001</v>
      </c>
      <c r="X311">
        <v>80.075599999999994</v>
      </c>
    </row>
    <row r="312" spans="1:24" x14ac:dyDescent="0.2">
      <c r="A312" t="s">
        <v>32</v>
      </c>
      <c r="B312" t="s">
        <v>2</v>
      </c>
      <c r="C312" t="s">
        <v>8</v>
      </c>
      <c r="D312">
        <v>3</v>
      </c>
      <c r="E312">
        <v>150</v>
      </c>
      <c r="F312">
        <v>18.600000000000001</v>
      </c>
      <c r="G312">
        <v>1.6</v>
      </c>
      <c r="H312">
        <v>1148</v>
      </c>
      <c r="I312">
        <v>13.6</v>
      </c>
      <c r="J312">
        <v>9.5</v>
      </c>
      <c r="K312">
        <v>65</v>
      </c>
      <c r="L312">
        <v>0.68700000000000006</v>
      </c>
      <c r="M312" s="4">
        <v>540000000000000</v>
      </c>
      <c r="N312" s="4">
        <v>2.37E+16</v>
      </c>
      <c r="O312" s="4">
        <v>2.4E+16</v>
      </c>
      <c r="P312">
        <v>41.25</v>
      </c>
      <c r="Q312">
        <v>0.92100000000000004</v>
      </c>
      <c r="R312">
        <v>7.9000000000000001E-2</v>
      </c>
      <c r="S312">
        <v>79.114913479999998</v>
      </c>
      <c r="T312">
        <v>6.799566521</v>
      </c>
      <c r="U312">
        <v>13.2209</v>
      </c>
      <c r="V312">
        <v>34.222099999999998</v>
      </c>
      <c r="W312">
        <v>17.476299999999998</v>
      </c>
      <c r="X312">
        <v>72.724599999999995</v>
      </c>
    </row>
    <row r="313" spans="1:24" x14ac:dyDescent="0.2">
      <c r="A313" t="s">
        <v>32</v>
      </c>
      <c r="B313" t="s">
        <v>2</v>
      </c>
      <c r="C313" t="s">
        <v>8</v>
      </c>
      <c r="D313">
        <v>3</v>
      </c>
      <c r="E313">
        <v>150</v>
      </c>
      <c r="F313">
        <v>18.600000000000001</v>
      </c>
      <c r="G313">
        <v>1.6</v>
      </c>
      <c r="H313">
        <v>1148</v>
      </c>
      <c r="I313">
        <v>13.6</v>
      </c>
      <c r="J313">
        <v>9.8000000000000007</v>
      </c>
      <c r="K313">
        <v>65</v>
      </c>
      <c r="L313">
        <v>0.67200000000000004</v>
      </c>
      <c r="M313" s="4">
        <v>470000000000000</v>
      </c>
      <c r="N313" s="4">
        <v>2.53E+16</v>
      </c>
      <c r="O313" s="4">
        <v>2.6E+16</v>
      </c>
      <c r="P313">
        <v>31.75</v>
      </c>
      <c r="Q313">
        <v>0.83099999999999996</v>
      </c>
      <c r="R313">
        <v>0.16900000000000001</v>
      </c>
      <c r="S313">
        <v>72.585510029999995</v>
      </c>
      <c r="T313">
        <v>14.770889970000001</v>
      </c>
      <c r="U313">
        <v>13.2707</v>
      </c>
      <c r="V313">
        <v>29.385400000000001</v>
      </c>
      <c r="W313">
        <v>19.440799999999999</v>
      </c>
      <c r="X313">
        <v>71.531899999999993</v>
      </c>
    </row>
    <row r="314" spans="1:24" x14ac:dyDescent="0.2">
      <c r="A314" t="s">
        <v>32</v>
      </c>
      <c r="B314" t="s">
        <v>2</v>
      </c>
      <c r="C314" t="s">
        <v>8</v>
      </c>
      <c r="D314">
        <v>2</v>
      </c>
      <c r="E314">
        <v>128</v>
      </c>
      <c r="F314">
        <v>18.600000000000001</v>
      </c>
      <c r="G314">
        <v>1.6</v>
      </c>
      <c r="H314">
        <v>1148</v>
      </c>
      <c r="I314">
        <v>13.6</v>
      </c>
      <c r="J314">
        <v>-2.5</v>
      </c>
      <c r="K314">
        <v>65</v>
      </c>
      <c r="L314">
        <v>0.66800000000000004</v>
      </c>
      <c r="M314" s="4">
        <v>860000000000000</v>
      </c>
      <c r="N314" s="4">
        <v>2.38E+16</v>
      </c>
      <c r="O314" s="4">
        <v>2.5E+16</v>
      </c>
      <c r="P314">
        <v>76.209999999999994</v>
      </c>
      <c r="Q314">
        <v>0.92100000000000004</v>
      </c>
      <c r="R314">
        <v>7.9000000000000001E-2</v>
      </c>
      <c r="S314">
        <v>115.5675672</v>
      </c>
      <c r="T314">
        <v>9.878152772</v>
      </c>
      <c r="U314">
        <v>15.2377</v>
      </c>
      <c r="V314">
        <v>41.1721</v>
      </c>
      <c r="W314">
        <v>21.556999999999999</v>
      </c>
      <c r="X314">
        <v>76.031199999999998</v>
      </c>
    </row>
    <row r="315" spans="1:24" x14ac:dyDescent="0.2">
      <c r="A315" t="s">
        <v>32</v>
      </c>
      <c r="B315" t="s">
        <v>2</v>
      </c>
      <c r="C315" t="s">
        <v>8</v>
      </c>
      <c r="D315">
        <v>3</v>
      </c>
      <c r="E315">
        <v>132</v>
      </c>
      <c r="F315">
        <v>18.600000000000001</v>
      </c>
      <c r="G315">
        <v>1.6</v>
      </c>
      <c r="H315">
        <v>1148</v>
      </c>
      <c r="I315">
        <v>13.6</v>
      </c>
      <c r="J315">
        <v>-2.8</v>
      </c>
      <c r="K315">
        <v>65</v>
      </c>
      <c r="L315">
        <v>0.69599999999999995</v>
      </c>
      <c r="M315" s="4">
        <v>630000000000000</v>
      </c>
      <c r="N315" s="4">
        <v>3.16E+16</v>
      </c>
      <c r="O315" s="4">
        <v>3.2E+16</v>
      </c>
      <c r="P315">
        <v>39.72</v>
      </c>
      <c r="Q315">
        <v>0.92100000000000004</v>
      </c>
      <c r="R315">
        <v>7.9000000000000001E-2</v>
      </c>
      <c r="S315">
        <v>93.230264180000006</v>
      </c>
      <c r="T315">
        <v>7.9658558160000004</v>
      </c>
      <c r="U315">
        <v>13.9129</v>
      </c>
      <c r="V315">
        <v>32.139699999999998</v>
      </c>
      <c r="W315">
        <v>20.514600000000002</v>
      </c>
      <c r="X315">
        <v>72.332599999999999</v>
      </c>
    </row>
    <row r="316" spans="1:24" x14ac:dyDescent="0.2">
      <c r="A316" t="s">
        <v>32</v>
      </c>
      <c r="B316" t="s">
        <v>2</v>
      </c>
      <c r="C316" t="s">
        <v>8</v>
      </c>
      <c r="D316">
        <v>3</v>
      </c>
      <c r="E316">
        <v>214</v>
      </c>
      <c r="F316">
        <v>18.600000000000001</v>
      </c>
      <c r="G316">
        <v>1.6</v>
      </c>
      <c r="H316">
        <v>1148</v>
      </c>
      <c r="I316">
        <v>13.6</v>
      </c>
      <c r="J316">
        <v>1.9</v>
      </c>
      <c r="K316">
        <v>65</v>
      </c>
      <c r="L316">
        <v>0.69099999999999995</v>
      </c>
      <c r="M316" s="4">
        <v>7400000000000000</v>
      </c>
      <c r="N316" s="4">
        <v>2.21E+16</v>
      </c>
      <c r="O316" s="4">
        <v>2.9E+16</v>
      </c>
      <c r="P316">
        <v>37.61</v>
      </c>
      <c r="Q316">
        <v>0.96199999999999997</v>
      </c>
      <c r="R316">
        <v>3.7999999999999999E-2</v>
      </c>
      <c r="S316">
        <v>18.961051390000002</v>
      </c>
      <c r="T316">
        <v>0.75566860700000005</v>
      </c>
      <c r="U316">
        <v>13.525700000000001</v>
      </c>
      <c r="V316">
        <v>31.282800000000002</v>
      </c>
      <c r="W316">
        <v>13.7622</v>
      </c>
      <c r="X316">
        <v>36.694800000000001</v>
      </c>
    </row>
    <row r="317" spans="1:24" x14ac:dyDescent="0.2">
      <c r="A317" t="s">
        <v>32</v>
      </c>
      <c r="B317" t="s">
        <v>2</v>
      </c>
      <c r="C317" t="s">
        <v>8</v>
      </c>
      <c r="D317">
        <v>2</v>
      </c>
      <c r="E317">
        <v>210</v>
      </c>
      <c r="F317">
        <v>18.600000000000001</v>
      </c>
      <c r="G317">
        <v>1.6</v>
      </c>
      <c r="H317">
        <v>1148</v>
      </c>
      <c r="I317">
        <v>13.6</v>
      </c>
      <c r="J317">
        <v>13.9</v>
      </c>
      <c r="K317">
        <v>65</v>
      </c>
      <c r="L317">
        <v>0.65600000000000003</v>
      </c>
      <c r="M317" s="4">
        <v>660000000000000</v>
      </c>
      <c r="N317" s="4">
        <v>1.86E+16</v>
      </c>
      <c r="O317" s="4">
        <v>1.9E+16</v>
      </c>
      <c r="P317">
        <v>68.7</v>
      </c>
      <c r="Q317">
        <v>0.87</v>
      </c>
      <c r="R317">
        <v>0.13</v>
      </c>
      <c r="S317">
        <v>74.091966889999995</v>
      </c>
      <c r="T317">
        <v>11.04227311</v>
      </c>
      <c r="U317">
        <v>14.5214</v>
      </c>
      <c r="V317">
        <v>44.568600000000004</v>
      </c>
      <c r="W317">
        <v>24.521799999999999</v>
      </c>
      <c r="X317">
        <v>72.441100000000006</v>
      </c>
    </row>
    <row r="318" spans="1:24" x14ac:dyDescent="0.2">
      <c r="A318" t="s">
        <v>32</v>
      </c>
      <c r="B318" t="s">
        <v>2</v>
      </c>
      <c r="C318" t="s">
        <v>12</v>
      </c>
      <c r="D318">
        <v>3</v>
      </c>
      <c r="E318">
        <v>195</v>
      </c>
      <c r="F318">
        <v>0</v>
      </c>
      <c r="G318">
        <v>0</v>
      </c>
      <c r="H318">
        <v>19</v>
      </c>
      <c r="I318">
        <v>15.5</v>
      </c>
      <c r="J318">
        <v>14</v>
      </c>
      <c r="K318">
        <v>65</v>
      </c>
      <c r="L318">
        <v>0.65600000000000003</v>
      </c>
      <c r="M318" s="4">
        <v>59000000000000</v>
      </c>
      <c r="N318" s="4">
        <v>142000000000000</v>
      </c>
      <c r="O318" s="4">
        <v>200000000000000</v>
      </c>
      <c r="P318">
        <v>3.65</v>
      </c>
      <c r="Q318">
        <v>0.96499999999999997</v>
      </c>
      <c r="R318">
        <v>3.5000000000000003E-2</v>
      </c>
      <c r="S318" t="s">
        <v>24</v>
      </c>
      <c r="T318" t="s">
        <v>24</v>
      </c>
      <c r="U318">
        <v>18.811</v>
      </c>
      <c r="V318">
        <v>53.7455</v>
      </c>
      <c r="W318">
        <v>22.8825</v>
      </c>
      <c r="X318">
        <v>71.874899999999997</v>
      </c>
    </row>
    <row r="319" spans="1:24" x14ac:dyDescent="0.2">
      <c r="A319" t="s">
        <v>32</v>
      </c>
      <c r="B319" t="s">
        <v>2</v>
      </c>
      <c r="C319" t="s">
        <v>12</v>
      </c>
      <c r="D319">
        <v>3</v>
      </c>
      <c r="E319">
        <v>180</v>
      </c>
      <c r="F319">
        <v>0</v>
      </c>
      <c r="G319">
        <v>0</v>
      </c>
      <c r="H319">
        <v>19</v>
      </c>
      <c r="I319">
        <v>15.5</v>
      </c>
      <c r="J319">
        <v>15</v>
      </c>
      <c r="K319">
        <v>65</v>
      </c>
      <c r="L319">
        <v>0.65600000000000003</v>
      </c>
      <c r="M319" s="4">
        <v>47000000000000</v>
      </c>
      <c r="N319" s="4">
        <v>101000000000000</v>
      </c>
      <c r="O319" s="4">
        <v>150000000000000</v>
      </c>
      <c r="P319">
        <v>4.22</v>
      </c>
      <c r="Q319">
        <v>0.441</v>
      </c>
      <c r="R319">
        <v>0.55900000000000005</v>
      </c>
      <c r="S319">
        <v>0.49592531899999998</v>
      </c>
      <c r="T319">
        <v>0.62812788100000005</v>
      </c>
      <c r="U319">
        <v>19.772600000000001</v>
      </c>
      <c r="V319">
        <v>60.148499999999999</v>
      </c>
      <c r="W319">
        <v>20.135400000000001</v>
      </c>
      <c r="X319">
        <v>50.543399999999998</v>
      </c>
    </row>
    <row r="320" spans="1:24" x14ac:dyDescent="0.2">
      <c r="A320" t="s">
        <v>32</v>
      </c>
      <c r="B320" t="s">
        <v>2</v>
      </c>
      <c r="C320" t="s">
        <v>8</v>
      </c>
      <c r="D320">
        <v>2</v>
      </c>
      <c r="E320">
        <v>140</v>
      </c>
      <c r="F320">
        <v>18.600000000000001</v>
      </c>
      <c r="G320">
        <v>1.6</v>
      </c>
      <c r="H320">
        <v>1148</v>
      </c>
      <c r="I320">
        <v>13.6</v>
      </c>
      <c r="J320">
        <v>0.9</v>
      </c>
      <c r="K320">
        <v>65</v>
      </c>
      <c r="L320">
        <v>0.69499999999999995</v>
      </c>
      <c r="M320" s="4">
        <v>810000000000000</v>
      </c>
      <c r="N320" s="4">
        <v>2.37E+16</v>
      </c>
      <c r="O320" s="4">
        <v>2.4E+16</v>
      </c>
      <c r="P320">
        <v>73.069999999999993</v>
      </c>
      <c r="Q320">
        <v>0.83899999999999997</v>
      </c>
      <c r="R320">
        <v>0.161</v>
      </c>
      <c r="S320">
        <v>99.090985500000002</v>
      </c>
      <c r="T320">
        <v>19.070254500000001</v>
      </c>
      <c r="U320">
        <v>14.9671</v>
      </c>
      <c r="V320">
        <v>39.779000000000003</v>
      </c>
      <c r="W320">
        <v>22.024799999999999</v>
      </c>
      <c r="X320">
        <v>69.118700000000004</v>
      </c>
    </row>
    <row r="321" spans="1:24" x14ac:dyDescent="0.2">
      <c r="A321" t="s">
        <v>32</v>
      </c>
      <c r="B321" t="s">
        <v>2</v>
      </c>
      <c r="C321" t="s">
        <v>12</v>
      </c>
      <c r="D321">
        <v>3</v>
      </c>
      <c r="E321">
        <v>140</v>
      </c>
      <c r="F321">
        <v>0</v>
      </c>
      <c r="G321">
        <v>0</v>
      </c>
      <c r="H321">
        <v>19</v>
      </c>
      <c r="I321">
        <v>15.5</v>
      </c>
      <c r="J321">
        <v>0.9</v>
      </c>
      <c r="K321">
        <v>65</v>
      </c>
      <c r="L321">
        <v>0.69499999999999995</v>
      </c>
      <c r="M321" s="4">
        <v>75000000000000</v>
      </c>
      <c r="N321" s="4">
        <v>658000000000000</v>
      </c>
      <c r="O321" s="4">
        <v>730000000000000</v>
      </c>
      <c r="P321">
        <v>3.71</v>
      </c>
      <c r="Q321">
        <v>0.77800000000000002</v>
      </c>
      <c r="R321">
        <v>0.222</v>
      </c>
      <c r="S321">
        <v>7.6031966830000002</v>
      </c>
      <c r="T321">
        <v>2.1738273170000002</v>
      </c>
      <c r="U321">
        <v>15.307</v>
      </c>
      <c r="V321">
        <v>42.125900000000001</v>
      </c>
      <c r="W321">
        <v>19.024999999999999</v>
      </c>
      <c r="X321">
        <v>60.087699999999998</v>
      </c>
    </row>
    <row r="322" spans="1:24" x14ac:dyDescent="0.2">
      <c r="A322" t="s">
        <v>32</v>
      </c>
      <c r="B322" t="s">
        <v>2</v>
      </c>
      <c r="C322" t="s">
        <v>12</v>
      </c>
      <c r="D322">
        <v>3</v>
      </c>
      <c r="E322">
        <v>170</v>
      </c>
      <c r="F322">
        <v>0</v>
      </c>
      <c r="G322">
        <v>0</v>
      </c>
      <c r="H322">
        <v>19</v>
      </c>
      <c r="I322">
        <v>15.5</v>
      </c>
      <c r="J322">
        <v>3</v>
      </c>
      <c r="K322">
        <v>65</v>
      </c>
      <c r="L322">
        <v>0.66300000000000003</v>
      </c>
      <c r="M322" s="4">
        <v>60000000000000</v>
      </c>
      <c r="N322" s="4">
        <v>520000000000000</v>
      </c>
      <c r="O322" s="4">
        <v>580000000000000</v>
      </c>
      <c r="P322">
        <v>3.09</v>
      </c>
      <c r="Q322">
        <v>0.65500000000000003</v>
      </c>
      <c r="R322">
        <v>0.34499999999999997</v>
      </c>
      <c r="S322">
        <v>1.1916144019999999</v>
      </c>
      <c r="T322">
        <v>0.628113598</v>
      </c>
      <c r="U322">
        <v>19.1067</v>
      </c>
      <c r="V322">
        <v>64.159199999999998</v>
      </c>
      <c r="W322">
        <v>19.7788</v>
      </c>
      <c r="X322">
        <v>55.794800000000002</v>
      </c>
    </row>
    <row r="323" spans="1:24" x14ac:dyDescent="0.2">
      <c r="A323" t="s">
        <v>32</v>
      </c>
      <c r="B323" t="s">
        <v>2</v>
      </c>
      <c r="C323" t="s">
        <v>8</v>
      </c>
      <c r="D323">
        <v>2</v>
      </c>
      <c r="E323">
        <v>180</v>
      </c>
      <c r="F323">
        <v>18.600000000000001</v>
      </c>
      <c r="G323">
        <v>1.6</v>
      </c>
      <c r="H323">
        <v>1148</v>
      </c>
      <c r="I323">
        <v>13.6</v>
      </c>
      <c r="J323">
        <v>3</v>
      </c>
      <c r="K323">
        <v>65</v>
      </c>
      <c r="L323">
        <v>0.67500000000000004</v>
      </c>
      <c r="M323" s="4">
        <v>790000000000000</v>
      </c>
      <c r="N323" s="4">
        <v>7360000000000000</v>
      </c>
      <c r="O323" s="4">
        <v>8200000000000000</v>
      </c>
      <c r="P323">
        <v>71.87</v>
      </c>
      <c r="Q323" t="s">
        <v>24</v>
      </c>
      <c r="R323" t="s">
        <v>24</v>
      </c>
      <c r="S323" t="s">
        <v>24</v>
      </c>
      <c r="T323" t="s">
        <v>24</v>
      </c>
      <c r="U323">
        <v>15.465199999999999</v>
      </c>
      <c r="V323">
        <v>41.325299999999999</v>
      </c>
      <c r="W323">
        <v>19.085100000000001</v>
      </c>
      <c r="X323">
        <v>68.495699999999999</v>
      </c>
    </row>
    <row r="324" spans="1:24" x14ac:dyDescent="0.2">
      <c r="A324" t="s">
        <v>32</v>
      </c>
      <c r="B324" t="s">
        <v>2</v>
      </c>
      <c r="C324" t="s">
        <v>14</v>
      </c>
      <c r="D324">
        <v>3</v>
      </c>
      <c r="E324">
        <v>160</v>
      </c>
      <c r="F324">
        <v>8</v>
      </c>
      <c r="G324">
        <v>0.8</v>
      </c>
      <c r="H324">
        <v>699</v>
      </c>
      <c r="I324">
        <v>14.5</v>
      </c>
      <c r="J324">
        <v>2.9</v>
      </c>
      <c r="K324">
        <v>65</v>
      </c>
      <c r="L324">
        <v>0.68899999999999995</v>
      </c>
      <c r="M324" s="4">
        <v>300000000000000</v>
      </c>
      <c r="N324" s="4">
        <v>1.41E+16</v>
      </c>
      <c r="O324" s="4">
        <v>1.4E+16</v>
      </c>
      <c r="P324">
        <v>13.45</v>
      </c>
      <c r="Q324" t="s">
        <v>24</v>
      </c>
      <c r="R324" t="s">
        <v>24</v>
      </c>
      <c r="S324" t="s">
        <v>24</v>
      </c>
      <c r="T324" t="s">
        <v>24</v>
      </c>
      <c r="U324">
        <v>12.6136</v>
      </c>
      <c r="V324">
        <v>28.976099999999999</v>
      </c>
      <c r="W324">
        <v>16.9833</v>
      </c>
      <c r="X324">
        <v>64.372399999999999</v>
      </c>
    </row>
    <row r="325" spans="1:24" x14ac:dyDescent="0.2">
      <c r="A325" t="s">
        <v>32</v>
      </c>
      <c r="B325" t="s">
        <v>2</v>
      </c>
      <c r="C325" t="s">
        <v>14</v>
      </c>
      <c r="D325">
        <v>3</v>
      </c>
      <c r="E325">
        <v>280</v>
      </c>
      <c r="F325">
        <v>8</v>
      </c>
      <c r="G325">
        <v>0.8</v>
      </c>
      <c r="H325">
        <v>699</v>
      </c>
      <c r="I325">
        <v>14.5</v>
      </c>
      <c r="J325">
        <v>8.6</v>
      </c>
      <c r="K325">
        <v>65</v>
      </c>
      <c r="L325">
        <v>0.65800000000000003</v>
      </c>
      <c r="M325" s="4">
        <v>260000000000000</v>
      </c>
      <c r="N325" s="4">
        <v>1.46E+16</v>
      </c>
      <c r="O325" s="4">
        <v>1.5E+16</v>
      </c>
      <c r="P325">
        <v>10.95</v>
      </c>
      <c r="Q325" t="s">
        <v>24</v>
      </c>
      <c r="R325" t="s">
        <v>24</v>
      </c>
      <c r="S325" t="s">
        <v>24</v>
      </c>
      <c r="T325" t="s">
        <v>24</v>
      </c>
      <c r="U325">
        <v>12.033099999999999</v>
      </c>
      <c r="V325">
        <v>22.8385</v>
      </c>
      <c r="W325">
        <v>16.426200000000001</v>
      </c>
      <c r="X325">
        <v>59.905700000000003</v>
      </c>
    </row>
    <row r="326" spans="1:24" x14ac:dyDescent="0.2">
      <c r="A326" t="s">
        <v>32</v>
      </c>
      <c r="B326" t="s">
        <v>2</v>
      </c>
      <c r="C326" t="s">
        <v>8</v>
      </c>
      <c r="D326">
        <v>2</v>
      </c>
      <c r="E326">
        <v>190</v>
      </c>
      <c r="F326">
        <v>18.600000000000001</v>
      </c>
      <c r="G326">
        <v>1.6</v>
      </c>
      <c r="H326">
        <v>1148</v>
      </c>
      <c r="I326">
        <v>13.6</v>
      </c>
      <c r="J326">
        <v>16.7</v>
      </c>
      <c r="K326">
        <v>65</v>
      </c>
      <c r="L326">
        <v>0.65100000000000002</v>
      </c>
      <c r="M326" s="4">
        <v>620000000000000</v>
      </c>
      <c r="N326" s="4">
        <v>1.59E+16</v>
      </c>
      <c r="O326" s="4">
        <v>1.7E+16</v>
      </c>
      <c r="P326">
        <v>56.79</v>
      </c>
      <c r="Q326">
        <v>0.81100000000000005</v>
      </c>
      <c r="R326">
        <v>0.189</v>
      </c>
      <c r="S326">
        <v>63.707001599999998</v>
      </c>
      <c r="T326">
        <v>14.8431984</v>
      </c>
      <c r="U326">
        <v>14.3787</v>
      </c>
      <c r="V326">
        <v>41.360199999999999</v>
      </c>
      <c r="W326">
        <v>23.451799999999999</v>
      </c>
      <c r="X326">
        <v>70.162000000000006</v>
      </c>
    </row>
    <row r="327" spans="1:24" x14ac:dyDescent="0.2">
      <c r="A327" t="s">
        <v>32</v>
      </c>
      <c r="B327" t="s">
        <v>2</v>
      </c>
      <c r="C327" t="s">
        <v>11</v>
      </c>
      <c r="D327">
        <v>3</v>
      </c>
      <c r="E327">
        <v>160</v>
      </c>
      <c r="F327">
        <v>0.6</v>
      </c>
      <c r="G327">
        <v>0</v>
      </c>
      <c r="H327">
        <v>22</v>
      </c>
      <c r="I327">
        <v>15.1</v>
      </c>
      <c r="J327">
        <v>16.899999999999999</v>
      </c>
      <c r="K327">
        <v>65</v>
      </c>
      <c r="L327">
        <v>0.65100000000000002</v>
      </c>
      <c r="M327" s="4">
        <v>120000000000000</v>
      </c>
      <c r="N327" s="4">
        <v>134000000000000</v>
      </c>
      <c r="O327" s="4">
        <v>250000000000000</v>
      </c>
      <c r="P327">
        <v>5.05</v>
      </c>
      <c r="Q327">
        <v>0.432</v>
      </c>
      <c r="R327">
        <v>0.56799999999999995</v>
      </c>
      <c r="S327">
        <v>3.4384530510000002</v>
      </c>
      <c r="T327">
        <v>4.5149789489999996</v>
      </c>
      <c r="U327">
        <v>14.9092</v>
      </c>
      <c r="V327">
        <v>43.286200000000001</v>
      </c>
      <c r="W327">
        <v>22.953600000000002</v>
      </c>
      <c r="X327">
        <v>64.385400000000004</v>
      </c>
    </row>
    <row r="328" spans="1:24" x14ac:dyDescent="0.2">
      <c r="A328" t="s">
        <v>32</v>
      </c>
      <c r="B328" t="s">
        <v>2</v>
      </c>
      <c r="C328" t="s">
        <v>11</v>
      </c>
      <c r="D328">
        <v>3</v>
      </c>
      <c r="E328">
        <v>130</v>
      </c>
      <c r="F328">
        <v>0.6</v>
      </c>
      <c r="G328">
        <v>0</v>
      </c>
      <c r="H328">
        <v>22</v>
      </c>
      <c r="I328">
        <v>15.1</v>
      </c>
      <c r="J328">
        <v>18</v>
      </c>
      <c r="K328">
        <v>65</v>
      </c>
      <c r="L328">
        <v>0.65100000000000002</v>
      </c>
      <c r="M328" s="4">
        <v>110000000000000</v>
      </c>
      <c r="N328" s="4">
        <v>116000000000000</v>
      </c>
      <c r="O328" s="4">
        <v>230000000000000</v>
      </c>
      <c r="P328">
        <v>4.63</v>
      </c>
      <c r="Q328">
        <v>0.254</v>
      </c>
      <c r="R328">
        <v>0.746</v>
      </c>
      <c r="S328">
        <v>0.92559531500000003</v>
      </c>
      <c r="T328">
        <v>2.7168726849999998</v>
      </c>
      <c r="U328">
        <v>23.342300000000002</v>
      </c>
      <c r="V328">
        <v>53.363199999999999</v>
      </c>
      <c r="W328">
        <v>24.669899999999998</v>
      </c>
      <c r="X328">
        <v>56.7014</v>
      </c>
    </row>
    <row r="329" spans="1:24" x14ac:dyDescent="0.2">
      <c r="A329" t="s">
        <v>32</v>
      </c>
      <c r="B329" t="s">
        <v>2</v>
      </c>
      <c r="C329" t="s">
        <v>8</v>
      </c>
      <c r="D329">
        <v>2</v>
      </c>
      <c r="E329">
        <v>160</v>
      </c>
      <c r="F329">
        <v>18.600000000000001</v>
      </c>
      <c r="G329">
        <v>1.6</v>
      </c>
      <c r="H329">
        <v>1148</v>
      </c>
      <c r="I329">
        <v>13.6</v>
      </c>
      <c r="J329">
        <v>-1.3</v>
      </c>
      <c r="K329">
        <v>65</v>
      </c>
      <c r="L329">
        <v>0.67200000000000004</v>
      </c>
      <c r="M329" s="4">
        <v>770000000000000</v>
      </c>
      <c r="N329" s="4">
        <v>2.14E+16</v>
      </c>
      <c r="O329" s="4">
        <v>2.2E+16</v>
      </c>
      <c r="P329">
        <v>62.06</v>
      </c>
      <c r="Q329">
        <v>0.94899999999999995</v>
      </c>
      <c r="R329">
        <v>5.0999999999999997E-2</v>
      </c>
      <c r="S329">
        <v>114.2578279</v>
      </c>
      <c r="T329">
        <v>6.107092057</v>
      </c>
      <c r="U329">
        <v>14.9598</v>
      </c>
      <c r="V329">
        <v>37.741799999999998</v>
      </c>
      <c r="W329">
        <v>21.8264</v>
      </c>
      <c r="X329">
        <v>66.059299999999993</v>
      </c>
    </row>
    <row r="330" spans="1:24" x14ac:dyDescent="0.2">
      <c r="A330" t="s">
        <v>32</v>
      </c>
      <c r="B330" t="s">
        <v>2</v>
      </c>
      <c r="C330" t="s">
        <v>11</v>
      </c>
      <c r="D330">
        <v>3</v>
      </c>
      <c r="E330">
        <v>220</v>
      </c>
      <c r="F330">
        <v>0.6</v>
      </c>
      <c r="G330">
        <v>0</v>
      </c>
      <c r="H330">
        <v>22</v>
      </c>
      <c r="I330">
        <v>15.1</v>
      </c>
      <c r="J330">
        <v>-1.7</v>
      </c>
      <c r="K330">
        <v>65</v>
      </c>
      <c r="L330">
        <v>0.67200000000000004</v>
      </c>
      <c r="M330" s="4">
        <v>110000000000000</v>
      </c>
      <c r="N330" s="4">
        <v>542000000000000</v>
      </c>
      <c r="O330" s="4">
        <v>650000000000000</v>
      </c>
      <c r="P330">
        <v>4.0199999999999996</v>
      </c>
      <c r="Q330">
        <v>1</v>
      </c>
      <c r="R330">
        <v>0</v>
      </c>
      <c r="S330">
        <v>2.856096</v>
      </c>
      <c r="T330">
        <v>0</v>
      </c>
      <c r="U330">
        <v>15.596399999999999</v>
      </c>
      <c r="V330">
        <v>42.382399999999997</v>
      </c>
      <c r="W330">
        <v>20.117000000000001</v>
      </c>
      <c r="X330">
        <v>58.367600000000003</v>
      </c>
    </row>
    <row r="331" spans="1:24" x14ac:dyDescent="0.2">
      <c r="A331" t="s">
        <v>32</v>
      </c>
      <c r="B331" t="s">
        <v>2</v>
      </c>
      <c r="C331" t="s">
        <v>8</v>
      </c>
      <c r="D331">
        <v>2</v>
      </c>
      <c r="E331">
        <v>150</v>
      </c>
      <c r="F331">
        <v>18.600000000000001</v>
      </c>
      <c r="G331">
        <v>1.6</v>
      </c>
      <c r="H331">
        <v>1148</v>
      </c>
      <c r="I331">
        <v>13.6</v>
      </c>
      <c r="J331">
        <v>10.199999999999999</v>
      </c>
      <c r="K331">
        <v>65</v>
      </c>
      <c r="L331">
        <v>0.11</v>
      </c>
      <c r="M331" s="4">
        <v>690000000000000</v>
      </c>
      <c r="N331" s="4">
        <v>1.96E+16</v>
      </c>
      <c r="O331" s="4">
        <v>2E+16</v>
      </c>
      <c r="P331" t="s">
        <v>24</v>
      </c>
      <c r="Q331">
        <v>0.88600000000000001</v>
      </c>
      <c r="R331">
        <v>0.114</v>
      </c>
      <c r="S331">
        <v>85.950938989999997</v>
      </c>
      <c r="T331">
        <v>11.08118101</v>
      </c>
      <c r="U331">
        <v>14.2651</v>
      </c>
      <c r="V331">
        <v>40.014499999999998</v>
      </c>
      <c r="W331">
        <v>19.653300000000002</v>
      </c>
      <c r="X331">
        <v>68.489099999999993</v>
      </c>
    </row>
    <row r="332" spans="1:24" x14ac:dyDescent="0.2">
      <c r="A332" t="s">
        <v>32</v>
      </c>
      <c r="B332" t="s">
        <v>2</v>
      </c>
      <c r="C332" t="s">
        <v>13</v>
      </c>
      <c r="D332">
        <v>3</v>
      </c>
      <c r="E332">
        <v>170</v>
      </c>
      <c r="F332">
        <v>9.1</v>
      </c>
      <c r="G332">
        <v>0.8</v>
      </c>
      <c r="H332">
        <v>658</v>
      </c>
      <c r="I332">
        <v>14.3</v>
      </c>
      <c r="J332">
        <v>10.4</v>
      </c>
      <c r="K332">
        <v>65</v>
      </c>
      <c r="L332">
        <v>0.13700000000000001</v>
      </c>
      <c r="M332" s="4">
        <v>270000000000000</v>
      </c>
      <c r="N332" s="4">
        <v>1.04E+16</v>
      </c>
      <c r="O332" s="4">
        <v>1.1E+16</v>
      </c>
      <c r="P332">
        <v>10.35</v>
      </c>
      <c r="Q332">
        <v>0.90600000000000003</v>
      </c>
      <c r="R332">
        <v>9.4E-2</v>
      </c>
      <c r="S332">
        <v>34.76069141</v>
      </c>
      <c r="T332">
        <v>3.6214285899999998</v>
      </c>
      <c r="U332">
        <v>12.0404</v>
      </c>
      <c r="V332">
        <v>26.655000000000001</v>
      </c>
      <c r="W332">
        <v>16.0595</v>
      </c>
      <c r="X332">
        <v>60.887900000000002</v>
      </c>
    </row>
    <row r="333" spans="1:24" x14ac:dyDescent="0.2">
      <c r="A333" t="s">
        <v>32</v>
      </c>
      <c r="B333" t="s">
        <v>2</v>
      </c>
      <c r="C333" t="s">
        <v>13</v>
      </c>
      <c r="D333">
        <v>3</v>
      </c>
      <c r="E333">
        <v>270</v>
      </c>
      <c r="F333">
        <v>9.1</v>
      </c>
      <c r="G333">
        <v>0.8</v>
      </c>
      <c r="H333">
        <v>658</v>
      </c>
      <c r="I333">
        <v>14.3</v>
      </c>
      <c r="J333">
        <v>12.5</v>
      </c>
      <c r="K333">
        <v>65</v>
      </c>
      <c r="L333">
        <v>0.22</v>
      </c>
      <c r="M333" s="4">
        <v>240000000000000</v>
      </c>
      <c r="N333" s="4">
        <v>9660000000000000</v>
      </c>
      <c r="O333" s="4">
        <v>9900000000000000</v>
      </c>
      <c r="P333">
        <v>10.06</v>
      </c>
      <c r="Q333" t="s">
        <v>24</v>
      </c>
      <c r="R333" t="s">
        <v>24</v>
      </c>
      <c r="S333" t="s">
        <v>24</v>
      </c>
      <c r="T333" t="s">
        <v>24</v>
      </c>
      <c r="U333">
        <v>11.615</v>
      </c>
      <c r="V333">
        <v>24.762599999999999</v>
      </c>
      <c r="W333">
        <v>16.1921</v>
      </c>
      <c r="X333">
        <v>59.044899999999998</v>
      </c>
    </row>
    <row r="334" spans="1:24" x14ac:dyDescent="0.2">
      <c r="A334" t="s">
        <v>32</v>
      </c>
      <c r="B334" t="s">
        <v>2</v>
      </c>
      <c r="C334" t="s">
        <v>8</v>
      </c>
      <c r="D334">
        <v>3</v>
      </c>
      <c r="E334">
        <v>202</v>
      </c>
      <c r="F334">
        <v>18.600000000000001</v>
      </c>
      <c r="G334">
        <v>1.6</v>
      </c>
      <c r="H334">
        <v>1148</v>
      </c>
      <c r="I334">
        <v>13.6</v>
      </c>
      <c r="J334">
        <v>20</v>
      </c>
      <c r="K334">
        <v>65</v>
      </c>
      <c r="L334">
        <v>0.65400000000000003</v>
      </c>
      <c r="M334" s="4">
        <v>430000000000000</v>
      </c>
      <c r="N334" s="4">
        <v>1.84E+16</v>
      </c>
      <c r="O334" s="4">
        <v>1.9E+16</v>
      </c>
      <c r="P334">
        <v>22.51</v>
      </c>
      <c r="Q334" t="s">
        <v>24</v>
      </c>
      <c r="R334" t="s">
        <v>24</v>
      </c>
      <c r="S334" t="s">
        <v>24</v>
      </c>
      <c r="T334" t="s">
        <v>24</v>
      </c>
      <c r="U334">
        <v>12.295299999999999</v>
      </c>
      <c r="V334">
        <v>30.5502</v>
      </c>
      <c r="W334">
        <v>19.179300000000001</v>
      </c>
      <c r="X334">
        <v>69.955200000000005</v>
      </c>
    </row>
    <row r="335" spans="1:24" x14ac:dyDescent="0.2">
      <c r="A335" t="s">
        <v>32</v>
      </c>
      <c r="B335" t="s">
        <v>3</v>
      </c>
      <c r="C335" t="s">
        <v>8</v>
      </c>
      <c r="D335">
        <v>3</v>
      </c>
      <c r="E335">
        <v>100</v>
      </c>
      <c r="F335">
        <v>21.8</v>
      </c>
      <c r="G335">
        <v>1.3</v>
      </c>
      <c r="H335">
        <v>188</v>
      </c>
      <c r="I335">
        <v>13.5</v>
      </c>
      <c r="J335">
        <v>13.3</v>
      </c>
      <c r="K335">
        <v>65</v>
      </c>
      <c r="L335" t="s">
        <v>24</v>
      </c>
      <c r="M335" s="4">
        <v>400000000000000</v>
      </c>
      <c r="N335" s="4">
        <v>3320000000000000</v>
      </c>
      <c r="O335" s="4">
        <v>3720000000000000</v>
      </c>
      <c r="P335">
        <v>24.98</v>
      </c>
      <c r="Q335">
        <v>0.82199999999999995</v>
      </c>
      <c r="R335">
        <v>0.17799999999999999</v>
      </c>
      <c r="S335">
        <v>20.073634670000001</v>
      </c>
      <c r="T335">
        <v>4.3402453330000004</v>
      </c>
      <c r="U335">
        <v>13.7819</v>
      </c>
      <c r="V335">
        <v>42.438299999999998</v>
      </c>
      <c r="W335">
        <v>18.114100000000001</v>
      </c>
      <c r="X335">
        <v>62.151299999999999</v>
      </c>
    </row>
    <row r="336" spans="1:24" x14ac:dyDescent="0.2">
      <c r="A336" t="s">
        <v>32</v>
      </c>
      <c r="B336" t="s">
        <v>3</v>
      </c>
      <c r="C336" t="s">
        <v>8</v>
      </c>
      <c r="D336">
        <v>2</v>
      </c>
      <c r="E336">
        <v>130</v>
      </c>
      <c r="F336">
        <v>21.8</v>
      </c>
      <c r="G336">
        <v>1.3</v>
      </c>
      <c r="H336">
        <v>188</v>
      </c>
      <c r="I336">
        <v>13.5</v>
      </c>
      <c r="J336">
        <v>13.9</v>
      </c>
      <c r="K336">
        <v>65</v>
      </c>
      <c r="L336" t="s">
        <v>24</v>
      </c>
      <c r="M336" s="4">
        <v>493000000000000</v>
      </c>
      <c r="N336" s="4">
        <v>2350000000000000</v>
      </c>
      <c r="O336" s="4">
        <v>2840000000000000</v>
      </c>
      <c r="P336">
        <v>45.8</v>
      </c>
      <c r="Q336">
        <v>0.84399999999999997</v>
      </c>
      <c r="R336">
        <v>0.156</v>
      </c>
      <c r="S336">
        <v>18.52389148</v>
      </c>
      <c r="T336">
        <v>3.4170285250000001</v>
      </c>
      <c r="U336">
        <v>13.515499999999999</v>
      </c>
      <c r="V336">
        <v>62.523699999999998</v>
      </c>
      <c r="W336">
        <v>27.2333</v>
      </c>
      <c r="X336">
        <v>67.907200000000003</v>
      </c>
    </row>
    <row r="337" spans="1:24" x14ac:dyDescent="0.2">
      <c r="A337" t="s">
        <v>32</v>
      </c>
      <c r="B337" t="s">
        <v>3</v>
      </c>
      <c r="C337" t="s">
        <v>8</v>
      </c>
      <c r="D337">
        <v>3</v>
      </c>
      <c r="E337">
        <v>145</v>
      </c>
      <c r="F337">
        <v>21.8</v>
      </c>
      <c r="G337">
        <v>1.3</v>
      </c>
      <c r="H337">
        <v>188</v>
      </c>
      <c r="I337">
        <v>13.5</v>
      </c>
      <c r="J337">
        <v>17.2</v>
      </c>
      <c r="K337">
        <v>65</v>
      </c>
      <c r="L337" t="s">
        <v>24</v>
      </c>
      <c r="M337" s="4">
        <v>320000000000000</v>
      </c>
      <c r="N337" s="4">
        <v>1000000000000000</v>
      </c>
      <c r="O337" s="4">
        <v>1320000000000000</v>
      </c>
      <c r="P337">
        <v>20.98</v>
      </c>
      <c r="Q337">
        <v>0.80300000000000005</v>
      </c>
      <c r="R337">
        <v>0.19700000000000001</v>
      </c>
      <c r="S337">
        <v>6.5454999999999997</v>
      </c>
      <c r="T337">
        <v>1.6054999999999999</v>
      </c>
      <c r="U337">
        <v>15.658300000000001</v>
      </c>
      <c r="V337">
        <v>59.011099999999999</v>
      </c>
      <c r="W337">
        <v>24.0898</v>
      </c>
      <c r="X337">
        <v>60.965499999999999</v>
      </c>
    </row>
    <row r="338" spans="1:24" x14ac:dyDescent="0.2">
      <c r="A338" t="s">
        <v>32</v>
      </c>
      <c r="B338" t="s">
        <v>3</v>
      </c>
      <c r="C338" t="s">
        <v>8</v>
      </c>
      <c r="D338">
        <v>3</v>
      </c>
      <c r="E338">
        <v>145</v>
      </c>
      <c r="F338">
        <v>21.8</v>
      </c>
      <c r="G338">
        <v>1.3</v>
      </c>
      <c r="H338">
        <v>188</v>
      </c>
      <c r="I338">
        <v>13.5</v>
      </c>
      <c r="J338">
        <v>17.2</v>
      </c>
      <c r="K338">
        <v>65</v>
      </c>
      <c r="L338" t="s">
        <v>24</v>
      </c>
      <c r="M338" s="4">
        <v>360000000000000</v>
      </c>
      <c r="N338" s="4">
        <v>1820000000000000</v>
      </c>
      <c r="O338" s="4">
        <v>2180000000000000</v>
      </c>
      <c r="P338">
        <v>24.35</v>
      </c>
      <c r="Q338">
        <v>0.74099999999999999</v>
      </c>
      <c r="R338">
        <v>0.25900000000000001</v>
      </c>
      <c r="S338">
        <v>12.02719347</v>
      </c>
      <c r="T338">
        <v>4.1929665309999997</v>
      </c>
      <c r="U338">
        <v>12.4283</v>
      </c>
      <c r="V338">
        <v>60.036000000000001</v>
      </c>
      <c r="W338">
        <v>25.011600000000001</v>
      </c>
      <c r="X338">
        <v>62.6601</v>
      </c>
    </row>
    <row r="339" spans="1:24" x14ac:dyDescent="0.2">
      <c r="A339" t="s">
        <v>32</v>
      </c>
      <c r="B339" t="s">
        <v>3</v>
      </c>
      <c r="C339" t="s">
        <v>8</v>
      </c>
      <c r="D339">
        <v>2</v>
      </c>
      <c r="E339">
        <v>145</v>
      </c>
      <c r="F339">
        <v>21.8</v>
      </c>
      <c r="G339">
        <v>1.3</v>
      </c>
      <c r="H339">
        <v>188</v>
      </c>
      <c r="I339">
        <v>13.5</v>
      </c>
      <c r="J339">
        <v>17.2</v>
      </c>
      <c r="K339">
        <v>65</v>
      </c>
      <c r="L339" t="s">
        <v>24</v>
      </c>
      <c r="M339" s="4">
        <v>479000000000000</v>
      </c>
      <c r="N339" s="4">
        <v>1830000000000000</v>
      </c>
      <c r="O339" s="4">
        <v>2310000000000000</v>
      </c>
      <c r="P339">
        <v>47.48</v>
      </c>
      <c r="Q339">
        <v>0.77800000000000002</v>
      </c>
      <c r="R339">
        <v>0.222</v>
      </c>
      <c r="S339">
        <v>21.309609869999999</v>
      </c>
      <c r="T339">
        <v>6.0637101270000002</v>
      </c>
      <c r="U339">
        <v>13.8447</v>
      </c>
      <c r="V339">
        <v>66.093000000000004</v>
      </c>
      <c r="W339">
        <v>27.136199999999999</v>
      </c>
      <c r="X339">
        <v>70.608099999999993</v>
      </c>
    </row>
    <row r="340" spans="1:24" x14ac:dyDescent="0.2">
      <c r="A340" t="s">
        <v>32</v>
      </c>
      <c r="B340" t="s">
        <v>3</v>
      </c>
      <c r="C340" t="s">
        <v>8</v>
      </c>
      <c r="D340">
        <v>3</v>
      </c>
      <c r="E340">
        <v>160</v>
      </c>
      <c r="F340">
        <v>21.8</v>
      </c>
      <c r="G340">
        <v>1.3</v>
      </c>
      <c r="H340">
        <v>188</v>
      </c>
      <c r="I340">
        <v>13.5</v>
      </c>
      <c r="J340">
        <v>16.7</v>
      </c>
      <c r="K340">
        <v>65</v>
      </c>
      <c r="L340" t="s">
        <v>24</v>
      </c>
      <c r="M340" s="4">
        <v>320000000000000</v>
      </c>
      <c r="N340" s="4">
        <v>1310000000000000</v>
      </c>
      <c r="O340" s="4">
        <v>1630000000000000</v>
      </c>
      <c r="P340">
        <v>19.75</v>
      </c>
      <c r="Q340">
        <v>0.73699999999999999</v>
      </c>
      <c r="R340">
        <v>0.26300000000000001</v>
      </c>
      <c r="S340">
        <v>6.9138189470000002</v>
      </c>
      <c r="T340">
        <v>2.4692210530000001</v>
      </c>
      <c r="U340">
        <v>15.501099999999999</v>
      </c>
      <c r="V340">
        <v>62.761000000000003</v>
      </c>
      <c r="W340">
        <v>24.513999999999999</v>
      </c>
      <c r="X340">
        <v>60.261899999999997</v>
      </c>
    </row>
    <row r="341" spans="1:24" x14ac:dyDescent="0.2">
      <c r="A341" t="s">
        <v>32</v>
      </c>
      <c r="B341" t="s">
        <v>3</v>
      </c>
      <c r="C341" t="s">
        <v>15</v>
      </c>
      <c r="D341">
        <v>3</v>
      </c>
      <c r="E341">
        <v>200</v>
      </c>
      <c r="F341">
        <v>0.4</v>
      </c>
      <c r="G341">
        <v>0</v>
      </c>
      <c r="H341">
        <v>6</v>
      </c>
      <c r="I341">
        <v>15.3</v>
      </c>
      <c r="J341">
        <v>8.9</v>
      </c>
      <c r="K341">
        <v>65</v>
      </c>
      <c r="L341" t="s">
        <v>24</v>
      </c>
      <c r="M341" s="4">
        <v>79300000000000</v>
      </c>
      <c r="N341" s="4">
        <v>1140000000000000</v>
      </c>
      <c r="O341" s="4">
        <v>1210000000000000</v>
      </c>
      <c r="P341">
        <v>3.18</v>
      </c>
      <c r="Q341">
        <v>0.71899999999999997</v>
      </c>
      <c r="R341">
        <v>0.28100000000000003</v>
      </c>
      <c r="S341">
        <v>2.4617867370000002</v>
      </c>
      <c r="T341">
        <v>0.96069726300000002</v>
      </c>
      <c r="U341">
        <v>10.8528</v>
      </c>
      <c r="V341">
        <v>61.823500000000003</v>
      </c>
      <c r="W341">
        <v>19.790199999999999</v>
      </c>
      <c r="X341">
        <v>82.957099999999997</v>
      </c>
    </row>
    <row r="342" spans="1:24" x14ac:dyDescent="0.2">
      <c r="A342" t="s">
        <v>32</v>
      </c>
      <c r="B342" t="s">
        <v>3</v>
      </c>
      <c r="C342" t="s">
        <v>8</v>
      </c>
      <c r="D342">
        <v>2</v>
      </c>
      <c r="E342">
        <v>140</v>
      </c>
      <c r="F342">
        <v>21.8</v>
      </c>
      <c r="G342">
        <v>1.3</v>
      </c>
      <c r="H342">
        <v>188</v>
      </c>
      <c r="I342">
        <v>13.5</v>
      </c>
      <c r="J342">
        <v>8.9</v>
      </c>
      <c r="K342">
        <v>65</v>
      </c>
      <c r="L342" t="s">
        <v>24</v>
      </c>
      <c r="M342" s="4">
        <v>498000000000000</v>
      </c>
      <c r="N342" s="4">
        <v>4430000000000000</v>
      </c>
      <c r="O342" s="4">
        <v>4920000000000000</v>
      </c>
      <c r="P342">
        <v>44.05</v>
      </c>
      <c r="Q342">
        <v>0.753</v>
      </c>
      <c r="R342">
        <v>0.247</v>
      </c>
      <c r="S342">
        <v>28.155459740000001</v>
      </c>
      <c r="T342">
        <v>9.2233402600000005</v>
      </c>
      <c r="U342">
        <v>13.1416</v>
      </c>
      <c r="V342">
        <v>46.935299999999998</v>
      </c>
      <c r="W342">
        <v>19.605</v>
      </c>
      <c r="X342">
        <v>65.415499999999994</v>
      </c>
    </row>
    <row r="343" spans="1:24" x14ac:dyDescent="0.2">
      <c r="A343" t="s">
        <v>32</v>
      </c>
      <c r="B343" t="s">
        <v>3</v>
      </c>
      <c r="C343" t="s">
        <v>15</v>
      </c>
      <c r="D343">
        <v>3</v>
      </c>
      <c r="E343">
        <v>135</v>
      </c>
      <c r="F343">
        <v>0.4</v>
      </c>
      <c r="G343">
        <v>0</v>
      </c>
      <c r="H343">
        <v>6</v>
      </c>
      <c r="I343">
        <v>15.3</v>
      </c>
      <c r="J343">
        <v>11.1</v>
      </c>
      <c r="K343">
        <v>65</v>
      </c>
      <c r="L343" t="s">
        <v>24</v>
      </c>
      <c r="M343" s="4">
        <v>103000000000000</v>
      </c>
      <c r="N343" s="4">
        <v>665000000000000</v>
      </c>
      <c r="O343" s="4">
        <v>769000000000000</v>
      </c>
      <c r="P343">
        <v>4.6100000000000003</v>
      </c>
      <c r="Q343">
        <v>0.73299999999999998</v>
      </c>
      <c r="R343">
        <v>0.26700000000000002</v>
      </c>
      <c r="S343">
        <v>2.3886191999999999</v>
      </c>
      <c r="T343">
        <v>0.86858880000000005</v>
      </c>
      <c r="U343">
        <v>14.744899999999999</v>
      </c>
      <c r="V343">
        <v>71.949799999999996</v>
      </c>
      <c r="W343">
        <v>19.977499999999999</v>
      </c>
      <c r="X343">
        <v>57.026400000000002</v>
      </c>
    </row>
    <row r="344" spans="1:24" x14ac:dyDescent="0.2">
      <c r="A344" t="s">
        <v>32</v>
      </c>
      <c r="B344" t="s">
        <v>3</v>
      </c>
      <c r="C344" t="s">
        <v>15</v>
      </c>
      <c r="D344">
        <v>3</v>
      </c>
      <c r="E344">
        <v>130</v>
      </c>
      <c r="F344">
        <v>0.4</v>
      </c>
      <c r="G344">
        <v>0</v>
      </c>
      <c r="H344">
        <v>6</v>
      </c>
      <c r="I344">
        <v>15.3</v>
      </c>
      <c r="J344">
        <v>16.7</v>
      </c>
      <c r="K344">
        <v>65</v>
      </c>
      <c r="L344" t="s">
        <v>24</v>
      </c>
      <c r="M344" s="4">
        <v>68400000000000</v>
      </c>
      <c r="N344" s="4">
        <v>612000000000000</v>
      </c>
      <c r="O344" s="4">
        <v>681000000000000</v>
      </c>
      <c r="P344">
        <v>2.4900000000000002</v>
      </c>
      <c r="Q344">
        <v>0.68100000000000005</v>
      </c>
      <c r="R344">
        <v>0.31900000000000001</v>
      </c>
      <c r="S344">
        <v>1.616247443</v>
      </c>
      <c r="T344">
        <v>0.75654135700000003</v>
      </c>
      <c r="U344">
        <v>13.8203</v>
      </c>
      <c r="V344">
        <v>90.757499999999993</v>
      </c>
      <c r="W344">
        <v>19.6631</v>
      </c>
      <c r="X344">
        <v>60.839199999999998</v>
      </c>
    </row>
    <row r="345" spans="1:24" x14ac:dyDescent="0.2">
      <c r="A345" t="s">
        <v>32</v>
      </c>
      <c r="B345" t="s">
        <v>3</v>
      </c>
      <c r="C345" t="s">
        <v>8</v>
      </c>
      <c r="D345">
        <v>2</v>
      </c>
      <c r="E345">
        <v>120</v>
      </c>
      <c r="F345">
        <v>21.8</v>
      </c>
      <c r="G345">
        <v>1.3</v>
      </c>
      <c r="H345">
        <v>188</v>
      </c>
      <c r="I345">
        <v>13.5</v>
      </c>
      <c r="J345">
        <v>17.2</v>
      </c>
      <c r="K345">
        <v>65</v>
      </c>
      <c r="L345" t="s">
        <v>24</v>
      </c>
      <c r="M345" s="4">
        <v>502000000000000</v>
      </c>
      <c r="N345" s="4">
        <v>3210000000000000</v>
      </c>
      <c r="O345" s="4">
        <v>3710000000000000</v>
      </c>
      <c r="P345">
        <v>40.880000000000003</v>
      </c>
      <c r="Q345">
        <v>0.73499999999999999</v>
      </c>
      <c r="R345">
        <v>0.26500000000000001</v>
      </c>
      <c r="S345" t="s">
        <v>24</v>
      </c>
      <c r="T345" t="s">
        <v>24</v>
      </c>
      <c r="U345" t="s">
        <v>24</v>
      </c>
      <c r="V345" t="s">
        <v>24</v>
      </c>
      <c r="W345">
        <v>30.7288</v>
      </c>
      <c r="X345">
        <v>69.844899999999996</v>
      </c>
    </row>
    <row r="346" spans="1:24" x14ac:dyDescent="0.2">
      <c r="A346" t="s">
        <v>32</v>
      </c>
      <c r="B346" t="s">
        <v>3</v>
      </c>
      <c r="C346" t="s">
        <v>15</v>
      </c>
      <c r="D346">
        <v>3</v>
      </c>
      <c r="E346">
        <v>100</v>
      </c>
      <c r="F346">
        <v>0.4</v>
      </c>
      <c r="G346">
        <v>0</v>
      </c>
      <c r="H346">
        <v>6</v>
      </c>
      <c r="I346">
        <v>15.3</v>
      </c>
      <c r="J346">
        <v>18.899999999999999</v>
      </c>
      <c r="K346">
        <v>65</v>
      </c>
      <c r="L346" t="s">
        <v>24</v>
      </c>
      <c r="M346" s="4">
        <v>66300000000000</v>
      </c>
      <c r="N346" s="4">
        <v>114000000000000</v>
      </c>
      <c r="O346" s="4">
        <v>181000000000000</v>
      </c>
      <c r="P346">
        <v>2.64</v>
      </c>
      <c r="Q346">
        <v>0.74099999999999999</v>
      </c>
      <c r="R346">
        <v>0.25900000000000001</v>
      </c>
      <c r="S346">
        <v>1.678806</v>
      </c>
      <c r="T346">
        <v>0.58562999999999998</v>
      </c>
      <c r="U346">
        <v>18.979399999999998</v>
      </c>
      <c r="V346">
        <v>106.864</v>
      </c>
      <c r="W346">
        <v>20.0717</v>
      </c>
      <c r="X346">
        <v>61.880699999999997</v>
      </c>
    </row>
    <row r="347" spans="1:24" x14ac:dyDescent="0.2">
      <c r="A347" t="s">
        <v>32</v>
      </c>
      <c r="B347" t="s">
        <v>3</v>
      </c>
      <c r="C347" t="s">
        <v>15</v>
      </c>
      <c r="D347">
        <v>3</v>
      </c>
      <c r="E347">
        <v>150</v>
      </c>
      <c r="F347">
        <v>0.4</v>
      </c>
      <c r="G347">
        <v>0</v>
      </c>
      <c r="H347">
        <v>6</v>
      </c>
      <c r="I347">
        <v>15.3</v>
      </c>
      <c r="J347">
        <v>22.8</v>
      </c>
      <c r="K347">
        <v>65</v>
      </c>
      <c r="L347" t="s">
        <v>24</v>
      </c>
      <c r="M347" s="4">
        <v>61300000000000</v>
      </c>
      <c r="N347" s="4">
        <v>89800000000000</v>
      </c>
      <c r="O347" s="4">
        <v>151000000000000</v>
      </c>
      <c r="P347">
        <v>2.0699999999999998</v>
      </c>
      <c r="Q347">
        <v>0.752</v>
      </c>
      <c r="R347">
        <v>0.248</v>
      </c>
      <c r="S347">
        <v>1.1458646969999999</v>
      </c>
      <c r="T347">
        <v>0.37761450299999999</v>
      </c>
      <c r="U347">
        <v>18.837</v>
      </c>
      <c r="V347">
        <v>83.565600000000003</v>
      </c>
      <c r="W347">
        <v>19.9375</v>
      </c>
      <c r="X347">
        <v>54.053600000000003</v>
      </c>
    </row>
    <row r="348" spans="1:24" x14ac:dyDescent="0.2">
      <c r="A348" t="s">
        <v>32</v>
      </c>
      <c r="B348" t="s">
        <v>3</v>
      </c>
      <c r="C348" t="s">
        <v>8</v>
      </c>
      <c r="D348">
        <v>2</v>
      </c>
      <c r="E348">
        <v>130</v>
      </c>
      <c r="F348">
        <v>21.8</v>
      </c>
      <c r="G348">
        <v>1.3</v>
      </c>
      <c r="H348">
        <v>188</v>
      </c>
      <c r="I348">
        <v>13.5</v>
      </c>
      <c r="J348">
        <v>22.8</v>
      </c>
      <c r="K348">
        <v>65</v>
      </c>
      <c r="L348" t="s">
        <v>24</v>
      </c>
      <c r="M348" s="4">
        <v>437000000000000</v>
      </c>
      <c r="N348" s="4">
        <v>1450000000000000</v>
      </c>
      <c r="O348" s="4">
        <v>1890000000000000</v>
      </c>
      <c r="P348">
        <v>35.65</v>
      </c>
      <c r="Q348">
        <v>0.76400000000000001</v>
      </c>
      <c r="R348">
        <v>0.23599999999999999</v>
      </c>
      <c r="S348">
        <v>14.71195865</v>
      </c>
      <c r="T348">
        <v>4.5568013509999998</v>
      </c>
      <c r="U348">
        <v>14.6736</v>
      </c>
      <c r="V348">
        <v>67.052700000000002</v>
      </c>
      <c r="W348">
        <v>26.520900000000001</v>
      </c>
      <c r="X348">
        <v>68.2881</v>
      </c>
    </row>
    <row r="349" spans="1:24" x14ac:dyDescent="0.2">
      <c r="A349" t="s">
        <v>32</v>
      </c>
      <c r="B349" t="s">
        <v>3</v>
      </c>
      <c r="C349" t="s">
        <v>15</v>
      </c>
      <c r="D349">
        <v>3</v>
      </c>
      <c r="E349">
        <v>120</v>
      </c>
      <c r="F349">
        <v>0.4</v>
      </c>
      <c r="G349">
        <v>0</v>
      </c>
      <c r="H349">
        <v>6</v>
      </c>
      <c r="I349">
        <v>15.3</v>
      </c>
      <c r="J349">
        <v>23.3</v>
      </c>
      <c r="K349">
        <v>65</v>
      </c>
      <c r="L349" t="s">
        <v>24</v>
      </c>
      <c r="M349" s="4">
        <v>69400000000000</v>
      </c>
      <c r="N349" s="4">
        <v>83700000000000</v>
      </c>
      <c r="O349" s="4">
        <v>153000000000000</v>
      </c>
      <c r="P349">
        <v>3.67</v>
      </c>
      <c r="Q349">
        <v>0.73</v>
      </c>
      <c r="R349">
        <v>0.27</v>
      </c>
      <c r="S349">
        <v>1.0521241800000001</v>
      </c>
      <c r="T349">
        <v>0.38914182000000003</v>
      </c>
      <c r="U349">
        <v>19.478300000000001</v>
      </c>
      <c r="V349">
        <v>75.274000000000001</v>
      </c>
      <c r="W349">
        <v>20.071899999999999</v>
      </c>
      <c r="X349">
        <v>52.036099999999998</v>
      </c>
    </row>
    <row r="350" spans="1:24" x14ac:dyDescent="0.2">
      <c r="A350" t="s">
        <v>32</v>
      </c>
      <c r="B350" t="s">
        <v>3</v>
      </c>
      <c r="C350" t="s">
        <v>17</v>
      </c>
      <c r="D350">
        <v>3</v>
      </c>
      <c r="E350">
        <v>135</v>
      </c>
      <c r="F350">
        <v>1.4</v>
      </c>
      <c r="G350">
        <v>0</v>
      </c>
      <c r="H350">
        <v>4</v>
      </c>
      <c r="I350">
        <v>15</v>
      </c>
      <c r="J350">
        <v>12.2</v>
      </c>
      <c r="K350">
        <v>65</v>
      </c>
      <c r="L350" t="s">
        <v>24</v>
      </c>
      <c r="M350" s="4">
        <v>116000000000000</v>
      </c>
      <c r="N350" s="4">
        <v>323000000000000</v>
      </c>
      <c r="O350" s="4">
        <v>438000000000000</v>
      </c>
      <c r="P350">
        <v>6.4</v>
      </c>
      <c r="Q350">
        <v>0.74399999999999999</v>
      </c>
      <c r="R350">
        <v>0.25600000000000001</v>
      </c>
      <c r="S350">
        <v>3.1074464289999999</v>
      </c>
      <c r="T350">
        <v>1.068961571</v>
      </c>
      <c r="U350">
        <v>17.534199999999998</v>
      </c>
      <c r="V350">
        <v>99.739099999999993</v>
      </c>
      <c r="W350">
        <v>20.246600000000001</v>
      </c>
      <c r="X350">
        <v>67.818899999999999</v>
      </c>
    </row>
    <row r="351" spans="1:24" x14ac:dyDescent="0.2">
      <c r="A351" t="s">
        <v>32</v>
      </c>
      <c r="B351" t="s">
        <v>3</v>
      </c>
      <c r="C351" t="s">
        <v>8</v>
      </c>
      <c r="D351">
        <v>2</v>
      </c>
      <c r="E351">
        <v>145</v>
      </c>
      <c r="F351">
        <v>21.8</v>
      </c>
      <c r="G351">
        <v>1.3</v>
      </c>
      <c r="H351">
        <v>188</v>
      </c>
      <c r="I351">
        <v>13.5</v>
      </c>
      <c r="J351">
        <v>12.8</v>
      </c>
      <c r="K351">
        <v>65</v>
      </c>
      <c r="L351" t="s">
        <v>24</v>
      </c>
      <c r="M351" s="4">
        <v>535000000000000</v>
      </c>
      <c r="N351" s="4">
        <v>3660000000000000</v>
      </c>
      <c r="O351" s="4">
        <v>4200000000000000</v>
      </c>
      <c r="P351">
        <v>54.19</v>
      </c>
      <c r="Q351">
        <v>0.76400000000000001</v>
      </c>
      <c r="R351">
        <v>0.23599999999999999</v>
      </c>
      <c r="S351">
        <v>27.897161539999999</v>
      </c>
      <c r="T351">
        <v>8.597238462</v>
      </c>
      <c r="U351">
        <v>13.1212</v>
      </c>
      <c r="V351">
        <v>64.316299999999998</v>
      </c>
      <c r="W351">
        <v>26.156700000000001</v>
      </c>
      <c r="X351">
        <v>69.193600000000004</v>
      </c>
    </row>
    <row r="352" spans="1:24" x14ac:dyDescent="0.2">
      <c r="A352" t="s">
        <v>32</v>
      </c>
      <c r="B352" t="s">
        <v>3</v>
      </c>
      <c r="C352" t="s">
        <v>17</v>
      </c>
      <c r="D352">
        <v>3</v>
      </c>
      <c r="E352">
        <v>155</v>
      </c>
      <c r="F352">
        <v>1.4</v>
      </c>
      <c r="G352">
        <v>0</v>
      </c>
      <c r="H352">
        <v>4</v>
      </c>
      <c r="I352">
        <v>15</v>
      </c>
      <c r="J352">
        <v>13.9</v>
      </c>
      <c r="K352">
        <v>65</v>
      </c>
      <c r="L352" t="s">
        <v>24</v>
      </c>
      <c r="M352" s="4">
        <v>81600000000000</v>
      </c>
      <c r="N352" s="4">
        <v>83500000000000</v>
      </c>
      <c r="O352" s="4">
        <v>165000000000000</v>
      </c>
      <c r="P352">
        <v>5.34</v>
      </c>
      <c r="Q352">
        <v>0.70499999999999996</v>
      </c>
      <c r="R352">
        <v>0.29499999999999998</v>
      </c>
      <c r="S352">
        <v>1.6699077920000001</v>
      </c>
      <c r="T352">
        <v>0.69807620800000003</v>
      </c>
      <c r="U352">
        <v>19.653099999999998</v>
      </c>
      <c r="V352">
        <v>121.611</v>
      </c>
      <c r="W352">
        <v>23.833400000000001</v>
      </c>
      <c r="X352">
        <v>63.7012</v>
      </c>
    </row>
    <row r="353" spans="1:24" x14ac:dyDescent="0.2">
      <c r="A353" t="s">
        <v>32</v>
      </c>
      <c r="B353" t="s">
        <v>3</v>
      </c>
      <c r="C353" t="s">
        <v>18</v>
      </c>
      <c r="D353">
        <v>3</v>
      </c>
      <c r="E353">
        <v>125</v>
      </c>
      <c r="F353">
        <v>10.199999999999999</v>
      </c>
      <c r="G353">
        <v>0.65</v>
      </c>
      <c r="H353">
        <v>276</v>
      </c>
      <c r="I353">
        <v>14.4</v>
      </c>
      <c r="J353">
        <v>23.3</v>
      </c>
      <c r="K353">
        <v>65</v>
      </c>
      <c r="L353" t="s">
        <v>24</v>
      </c>
      <c r="M353" s="4">
        <v>255000000000000</v>
      </c>
      <c r="N353" s="4">
        <v>2510000000000000</v>
      </c>
      <c r="O353" s="4">
        <v>2770000000000000</v>
      </c>
      <c r="P353">
        <v>11.23</v>
      </c>
      <c r="Q353">
        <v>0.76600000000000001</v>
      </c>
      <c r="R353">
        <v>0.23400000000000001</v>
      </c>
      <c r="S353">
        <v>10.83924766</v>
      </c>
      <c r="T353">
        <v>3.3119923400000002</v>
      </c>
      <c r="U353">
        <v>11.070399999999999</v>
      </c>
      <c r="V353">
        <v>53.009300000000003</v>
      </c>
      <c r="W353">
        <v>22.064399999999999</v>
      </c>
      <c r="X353">
        <v>59.035299999999999</v>
      </c>
    </row>
    <row r="354" spans="1:24" x14ac:dyDescent="0.2">
      <c r="A354" t="s">
        <v>32</v>
      </c>
      <c r="B354" t="s">
        <v>3</v>
      </c>
      <c r="C354" t="s">
        <v>16</v>
      </c>
      <c r="D354">
        <v>3</v>
      </c>
      <c r="E354">
        <v>115</v>
      </c>
      <c r="F354">
        <v>2.1</v>
      </c>
      <c r="G354">
        <v>0</v>
      </c>
      <c r="H354">
        <v>1083</v>
      </c>
      <c r="I354">
        <v>15</v>
      </c>
      <c r="J354">
        <v>12.2</v>
      </c>
      <c r="K354">
        <v>65</v>
      </c>
      <c r="L354" t="s">
        <v>24</v>
      </c>
      <c r="M354" s="4">
        <v>147000000000000</v>
      </c>
      <c r="N354" s="4">
        <v>1.28E+16</v>
      </c>
      <c r="O354" s="4">
        <v>1.29E+16</v>
      </c>
      <c r="P354">
        <v>6.75</v>
      </c>
      <c r="Q354">
        <v>0.71599999999999997</v>
      </c>
      <c r="R354">
        <v>0.28399999999999997</v>
      </c>
      <c r="S354">
        <v>47.738041109999998</v>
      </c>
      <c r="T354">
        <v>18.90615489</v>
      </c>
      <c r="U354">
        <v>15.5396</v>
      </c>
      <c r="V354">
        <v>22.347999999999999</v>
      </c>
      <c r="W354">
        <v>17.779199999999999</v>
      </c>
      <c r="X354">
        <v>70.744600000000005</v>
      </c>
    </row>
    <row r="355" spans="1:24" x14ac:dyDescent="0.2">
      <c r="A355" t="s">
        <v>32</v>
      </c>
      <c r="B355" t="s">
        <v>3</v>
      </c>
      <c r="C355" t="s">
        <v>8</v>
      </c>
      <c r="D355">
        <v>2</v>
      </c>
      <c r="E355">
        <v>115</v>
      </c>
      <c r="F355">
        <v>21.8</v>
      </c>
      <c r="G355">
        <v>1.3</v>
      </c>
      <c r="H355">
        <v>188</v>
      </c>
      <c r="I355">
        <v>13.5</v>
      </c>
      <c r="J355">
        <v>12.2</v>
      </c>
      <c r="K355">
        <v>65</v>
      </c>
      <c r="L355" t="s">
        <v>24</v>
      </c>
      <c r="M355" s="4">
        <v>516000000000000</v>
      </c>
      <c r="N355" s="4">
        <v>3300000000000000</v>
      </c>
      <c r="O355" s="4">
        <v>3820000000000000</v>
      </c>
      <c r="P355">
        <v>42.4</v>
      </c>
      <c r="Q355">
        <v>0.878</v>
      </c>
      <c r="R355">
        <v>0.122</v>
      </c>
      <c r="S355">
        <v>26.103968779999999</v>
      </c>
      <c r="T355">
        <v>3.6255512200000002</v>
      </c>
      <c r="U355">
        <v>13.615500000000001</v>
      </c>
      <c r="V355">
        <v>61.871899999999997</v>
      </c>
      <c r="W355">
        <v>25.829599999999999</v>
      </c>
      <c r="X355">
        <v>67.435900000000004</v>
      </c>
    </row>
    <row r="356" spans="1:24" x14ac:dyDescent="0.2">
      <c r="A356" t="s">
        <v>32</v>
      </c>
      <c r="B356" t="s">
        <v>3</v>
      </c>
      <c r="C356" t="s">
        <v>16</v>
      </c>
      <c r="D356">
        <v>3</v>
      </c>
      <c r="E356">
        <v>145</v>
      </c>
      <c r="F356">
        <v>2.1</v>
      </c>
      <c r="G356">
        <v>0</v>
      </c>
      <c r="H356">
        <v>1083</v>
      </c>
      <c r="I356">
        <v>15</v>
      </c>
      <c r="J356">
        <v>16.100000000000001</v>
      </c>
      <c r="K356">
        <v>65</v>
      </c>
      <c r="L356" t="s">
        <v>24</v>
      </c>
      <c r="M356" s="4">
        <v>107000000000000</v>
      </c>
      <c r="N356" s="4">
        <v>1.23E+16</v>
      </c>
      <c r="O356" s="4">
        <v>1.24E+16</v>
      </c>
      <c r="P356">
        <v>6.18</v>
      </c>
      <c r="Q356">
        <v>0.745</v>
      </c>
      <c r="R356">
        <v>0.255</v>
      </c>
      <c r="S356">
        <v>77.042835299999993</v>
      </c>
      <c r="T356">
        <v>26.375024700000001</v>
      </c>
      <c r="U356">
        <v>15.6196</v>
      </c>
      <c r="V356">
        <v>21.572099999999999</v>
      </c>
      <c r="W356">
        <v>18.010200000000001</v>
      </c>
      <c r="X356">
        <v>97.921300000000002</v>
      </c>
    </row>
    <row r="357" spans="1:24" x14ac:dyDescent="0.2">
      <c r="A357" t="s">
        <v>32</v>
      </c>
      <c r="B357" t="s">
        <v>3</v>
      </c>
      <c r="C357" t="s">
        <v>18</v>
      </c>
      <c r="D357">
        <v>3</v>
      </c>
      <c r="E357">
        <v>140</v>
      </c>
      <c r="F357">
        <v>10.199999999999999</v>
      </c>
      <c r="G357">
        <v>0.65</v>
      </c>
      <c r="H357">
        <v>276</v>
      </c>
      <c r="I357">
        <v>14.4</v>
      </c>
      <c r="J357">
        <v>27.8</v>
      </c>
      <c r="K357">
        <v>65</v>
      </c>
      <c r="L357" t="s">
        <v>24</v>
      </c>
      <c r="M357" s="4">
        <v>218000000000000</v>
      </c>
      <c r="N357" s="4">
        <v>2740000000000000</v>
      </c>
      <c r="O357" s="4">
        <v>2960000000000000</v>
      </c>
      <c r="P357">
        <v>9.5</v>
      </c>
      <c r="Q357">
        <v>0.88500000000000001</v>
      </c>
      <c r="R357">
        <v>0.115</v>
      </c>
      <c r="S357">
        <v>9.9060221540000004</v>
      </c>
      <c r="T357">
        <v>1.2920898460000001</v>
      </c>
      <c r="U357">
        <v>11.151199999999999</v>
      </c>
      <c r="V357">
        <v>33.509399999999999</v>
      </c>
      <c r="W357">
        <v>21.648900000000001</v>
      </c>
      <c r="X357">
        <v>53.985599999999998</v>
      </c>
    </row>
    <row r="358" spans="1:24" x14ac:dyDescent="0.2">
      <c r="A358" t="s">
        <v>32</v>
      </c>
      <c r="B358" t="s">
        <v>3</v>
      </c>
      <c r="C358" t="s">
        <v>8</v>
      </c>
      <c r="D358">
        <v>2</v>
      </c>
      <c r="E358">
        <v>110</v>
      </c>
      <c r="F358">
        <v>21.8</v>
      </c>
      <c r="G358">
        <v>1.3</v>
      </c>
      <c r="H358">
        <v>188</v>
      </c>
      <c r="I358">
        <v>13.5</v>
      </c>
      <c r="J358">
        <v>27.8</v>
      </c>
      <c r="K358">
        <v>65</v>
      </c>
      <c r="L358" t="s">
        <v>24</v>
      </c>
      <c r="M358" s="4">
        <v>302000000000000</v>
      </c>
      <c r="N358" s="4">
        <v>3000000000000000</v>
      </c>
      <c r="O358" s="4">
        <v>3310000000000000</v>
      </c>
      <c r="P358">
        <v>19.23</v>
      </c>
      <c r="Q358">
        <v>0.86699999999999999</v>
      </c>
      <c r="R358">
        <v>0.13300000000000001</v>
      </c>
      <c r="S358">
        <v>12.919766750000001</v>
      </c>
      <c r="T358">
        <v>1.9738532529999999</v>
      </c>
      <c r="U358">
        <v>11.9086</v>
      </c>
      <c r="V358">
        <v>45.382599999999996</v>
      </c>
      <c r="W358">
        <v>23.726400000000002</v>
      </c>
      <c r="X358">
        <v>58.421100000000003</v>
      </c>
    </row>
    <row r="359" spans="1:24" x14ac:dyDescent="0.2">
      <c r="A359" t="s">
        <v>32</v>
      </c>
      <c r="B359" t="s">
        <v>3</v>
      </c>
      <c r="C359" t="s">
        <v>8</v>
      </c>
      <c r="D359">
        <v>3</v>
      </c>
      <c r="E359">
        <v>110</v>
      </c>
      <c r="F359">
        <v>21.8</v>
      </c>
      <c r="G359">
        <v>1.3</v>
      </c>
      <c r="H359">
        <v>188</v>
      </c>
      <c r="I359">
        <v>13.5</v>
      </c>
      <c r="J359">
        <v>29.4</v>
      </c>
      <c r="K359">
        <v>65</v>
      </c>
      <c r="L359" t="s">
        <v>24</v>
      </c>
      <c r="M359" s="4">
        <v>333000000000000</v>
      </c>
      <c r="N359" s="4">
        <v>754000000000000</v>
      </c>
      <c r="O359" s="4">
        <v>1090000000000000</v>
      </c>
      <c r="P359">
        <v>19.170000000000002</v>
      </c>
      <c r="Q359">
        <v>0.89100000000000001</v>
      </c>
      <c r="R359">
        <v>0.109</v>
      </c>
      <c r="S359" t="s">
        <v>24</v>
      </c>
      <c r="T359" t="s">
        <v>24</v>
      </c>
      <c r="U359">
        <v>13.473100000000001</v>
      </c>
      <c r="V359">
        <v>57.124200000000002</v>
      </c>
      <c r="W359" t="s">
        <v>24</v>
      </c>
      <c r="X359" t="s">
        <v>24</v>
      </c>
    </row>
    <row r="360" spans="1:24" x14ac:dyDescent="0.2">
      <c r="A360" t="s">
        <v>32</v>
      </c>
      <c r="B360" t="s">
        <v>4</v>
      </c>
      <c r="C360" t="s">
        <v>19</v>
      </c>
      <c r="D360">
        <v>2</v>
      </c>
      <c r="E360">
        <v>480</v>
      </c>
      <c r="F360">
        <v>8</v>
      </c>
      <c r="G360">
        <v>0.9</v>
      </c>
      <c r="H360">
        <v>500</v>
      </c>
      <c r="I360">
        <v>14.4</v>
      </c>
      <c r="J360">
        <v>18</v>
      </c>
      <c r="K360">
        <v>65</v>
      </c>
      <c r="L360">
        <v>0.57499999999999996</v>
      </c>
      <c r="M360" s="4">
        <v>464000000000000</v>
      </c>
      <c r="N360" s="4">
        <v>6220000000000000</v>
      </c>
      <c r="O360" s="4">
        <v>6690000000000000</v>
      </c>
      <c r="P360">
        <v>35.6</v>
      </c>
      <c r="Q360">
        <v>0.78100000000000003</v>
      </c>
      <c r="R360">
        <v>0.219</v>
      </c>
      <c r="S360">
        <v>12.456433560000001</v>
      </c>
      <c r="T360">
        <v>3.4957664359999998</v>
      </c>
      <c r="U360">
        <v>12.841699999999999</v>
      </c>
      <c r="V360">
        <v>30.298300000000001</v>
      </c>
      <c r="W360">
        <v>19.7151</v>
      </c>
      <c r="X360">
        <v>56.914900000000003</v>
      </c>
    </row>
    <row r="361" spans="1:24" x14ac:dyDescent="0.2">
      <c r="A361" t="s">
        <v>32</v>
      </c>
      <c r="B361" t="s">
        <v>4</v>
      </c>
      <c r="C361" t="s">
        <v>8</v>
      </c>
      <c r="D361">
        <v>2</v>
      </c>
      <c r="E361">
        <v>420</v>
      </c>
      <c r="F361">
        <v>16</v>
      </c>
      <c r="G361">
        <v>1.4</v>
      </c>
      <c r="H361">
        <v>800</v>
      </c>
      <c r="I361">
        <v>13.9</v>
      </c>
      <c r="J361">
        <v>16</v>
      </c>
      <c r="K361">
        <v>65</v>
      </c>
      <c r="L361">
        <v>0.55600000000000005</v>
      </c>
      <c r="M361" s="4">
        <v>534000000000000</v>
      </c>
      <c r="N361" s="4">
        <v>5020000000000000</v>
      </c>
      <c r="O361" s="4">
        <v>5560000000000000</v>
      </c>
      <c r="P361">
        <v>65.930000000000007</v>
      </c>
      <c r="Q361">
        <v>0.69</v>
      </c>
      <c r="R361">
        <v>0.31</v>
      </c>
      <c r="S361">
        <v>10.880950110000001</v>
      </c>
      <c r="T361">
        <v>4.8845298899999996</v>
      </c>
      <c r="U361">
        <v>13.9634</v>
      </c>
      <c r="V361">
        <v>34.760800000000003</v>
      </c>
      <c r="W361">
        <v>23.221800000000002</v>
      </c>
      <c r="X361">
        <v>66.463200000000001</v>
      </c>
    </row>
    <row r="362" spans="1:24" x14ac:dyDescent="0.2">
      <c r="A362" t="s">
        <v>32</v>
      </c>
      <c r="B362" t="s">
        <v>4</v>
      </c>
      <c r="C362" t="s">
        <v>19</v>
      </c>
      <c r="D362">
        <v>3</v>
      </c>
      <c r="E362">
        <v>360</v>
      </c>
      <c r="F362">
        <v>8</v>
      </c>
      <c r="G362">
        <v>0.9</v>
      </c>
      <c r="H362">
        <v>500</v>
      </c>
      <c r="I362">
        <v>14.4</v>
      </c>
      <c r="J362">
        <v>17</v>
      </c>
      <c r="K362">
        <v>65</v>
      </c>
      <c r="L362">
        <v>0.56399999999999995</v>
      </c>
      <c r="M362" s="4">
        <v>1790000000000000</v>
      </c>
      <c r="N362" s="4">
        <v>3180000000000000</v>
      </c>
      <c r="O362" s="4">
        <v>4970000000000000</v>
      </c>
      <c r="P362">
        <v>1.82</v>
      </c>
      <c r="Q362">
        <v>0.91100000000000003</v>
      </c>
      <c r="R362">
        <v>8.8999999999999996E-2</v>
      </c>
      <c r="S362">
        <v>14.106914919999999</v>
      </c>
      <c r="T362">
        <v>1.386381077</v>
      </c>
      <c r="U362">
        <v>17.009499999999999</v>
      </c>
      <c r="V362">
        <v>35.315800000000003</v>
      </c>
      <c r="W362">
        <v>16.641400000000001</v>
      </c>
      <c r="X362">
        <v>94.735699999999994</v>
      </c>
    </row>
    <row r="363" spans="1:24" x14ac:dyDescent="0.2">
      <c r="A363" t="s">
        <v>32</v>
      </c>
      <c r="B363" t="s">
        <v>1</v>
      </c>
      <c r="C363" t="s">
        <v>8</v>
      </c>
      <c r="D363">
        <v>3</v>
      </c>
      <c r="E363">
        <v>161</v>
      </c>
      <c r="F363">
        <v>17.600000000000001</v>
      </c>
      <c r="G363">
        <v>0.93</v>
      </c>
      <c r="H363">
        <v>383</v>
      </c>
      <c r="I363">
        <v>13.69</v>
      </c>
      <c r="J363">
        <v>31</v>
      </c>
      <c r="K363">
        <v>85</v>
      </c>
      <c r="L363">
        <v>0.78500000000000003</v>
      </c>
      <c r="M363" s="4">
        <v>299000000000000</v>
      </c>
      <c r="N363" s="4">
        <v>2390000000000000</v>
      </c>
      <c r="O363" s="4">
        <v>2690000000000000</v>
      </c>
      <c r="P363">
        <v>92.62</v>
      </c>
      <c r="Q363" t="s">
        <v>24</v>
      </c>
      <c r="R363" t="s">
        <v>24</v>
      </c>
      <c r="S363" t="s">
        <v>24</v>
      </c>
      <c r="T363" t="s">
        <v>24</v>
      </c>
      <c r="U363">
        <v>21.906722500000001</v>
      </c>
      <c r="V363">
        <v>69.922229999999999</v>
      </c>
      <c r="W363">
        <v>28.485175000000002</v>
      </c>
      <c r="X363">
        <v>76.800062499999996</v>
      </c>
    </row>
    <row r="364" spans="1:24" x14ac:dyDescent="0.2">
      <c r="A364" t="s">
        <v>32</v>
      </c>
      <c r="B364" t="s">
        <v>1</v>
      </c>
      <c r="C364" t="s">
        <v>8</v>
      </c>
      <c r="D364">
        <v>3</v>
      </c>
      <c r="E364">
        <v>138</v>
      </c>
      <c r="F364">
        <v>17.600000000000001</v>
      </c>
      <c r="G364">
        <v>0.93</v>
      </c>
      <c r="H364">
        <v>383</v>
      </c>
      <c r="I364">
        <v>13.69</v>
      </c>
      <c r="J364">
        <v>24</v>
      </c>
      <c r="K364">
        <v>85</v>
      </c>
      <c r="L364">
        <v>0.78400000000000003</v>
      </c>
      <c r="M364" s="4">
        <v>377000000000000</v>
      </c>
      <c r="N364" s="4">
        <v>3610000000000000</v>
      </c>
      <c r="O364" s="4">
        <v>3990000000000000</v>
      </c>
      <c r="P364">
        <v>116.01300000000001</v>
      </c>
      <c r="Q364">
        <v>0.78956513900000003</v>
      </c>
      <c r="R364">
        <v>0.210434861</v>
      </c>
      <c r="S364">
        <v>69.699205410000005</v>
      </c>
      <c r="T364">
        <v>18.57622873</v>
      </c>
      <c r="U364">
        <v>14.232234999999999</v>
      </c>
      <c r="V364">
        <v>72.755489999999995</v>
      </c>
      <c r="W364">
        <v>27.322234999999999</v>
      </c>
      <c r="X364">
        <v>77.091719999999995</v>
      </c>
    </row>
    <row r="365" spans="1:24" x14ac:dyDescent="0.2">
      <c r="A365" t="s">
        <v>32</v>
      </c>
      <c r="B365" t="s">
        <v>1</v>
      </c>
      <c r="C365" t="s">
        <v>8</v>
      </c>
      <c r="D365">
        <v>3</v>
      </c>
      <c r="E365">
        <v>177</v>
      </c>
      <c r="F365">
        <v>17.600000000000001</v>
      </c>
      <c r="G365">
        <v>0.93</v>
      </c>
      <c r="H365">
        <v>383</v>
      </c>
      <c r="I365">
        <v>13.69</v>
      </c>
      <c r="J365">
        <v>33</v>
      </c>
      <c r="K365">
        <v>85</v>
      </c>
      <c r="L365">
        <v>0.747</v>
      </c>
      <c r="M365" s="4">
        <v>254000000000000</v>
      </c>
      <c r="N365" s="4">
        <v>1340000000000000</v>
      </c>
      <c r="O365" s="4">
        <v>1600000000000000</v>
      </c>
      <c r="P365">
        <v>64.552999999999997</v>
      </c>
      <c r="Q365">
        <v>0.66878724499999997</v>
      </c>
      <c r="R365">
        <v>0.33121275500000003</v>
      </c>
      <c r="S365">
        <v>31.365068860000001</v>
      </c>
      <c r="T365">
        <v>15.53335673</v>
      </c>
      <c r="U365">
        <v>20.040414999999999</v>
      </c>
      <c r="V365">
        <v>72.717622500000004</v>
      </c>
      <c r="W365">
        <v>26.360720000000001</v>
      </c>
      <c r="X365">
        <v>73.640129999999999</v>
      </c>
    </row>
    <row r="366" spans="1:24" x14ac:dyDescent="0.2">
      <c r="A366" t="s">
        <v>32</v>
      </c>
      <c r="B366" t="s">
        <v>1</v>
      </c>
      <c r="C366" t="s">
        <v>8</v>
      </c>
      <c r="D366">
        <v>3</v>
      </c>
      <c r="E366">
        <v>228</v>
      </c>
      <c r="F366">
        <v>17.600000000000001</v>
      </c>
      <c r="G366">
        <v>0.93</v>
      </c>
      <c r="H366">
        <v>383</v>
      </c>
      <c r="I366">
        <v>13.69</v>
      </c>
      <c r="J366">
        <v>23</v>
      </c>
      <c r="K366">
        <v>85</v>
      </c>
      <c r="L366">
        <v>0.78700000000000003</v>
      </c>
      <c r="M366" s="4">
        <v>370000000000000</v>
      </c>
      <c r="N366" s="4">
        <v>8510000000000000</v>
      </c>
      <c r="O366" s="4">
        <v>8880000000000000</v>
      </c>
      <c r="P366">
        <v>81.231999999999999</v>
      </c>
      <c r="Q366" t="s">
        <v>24</v>
      </c>
      <c r="R366" t="s">
        <v>24</v>
      </c>
      <c r="S366" t="s">
        <v>24</v>
      </c>
      <c r="T366" t="s">
        <v>24</v>
      </c>
      <c r="U366">
        <v>12.736012860000001</v>
      </c>
      <c r="V366">
        <v>60.817472860000002</v>
      </c>
      <c r="W366">
        <v>24.277414289999999</v>
      </c>
      <c r="X366">
        <v>74.17045143</v>
      </c>
    </row>
    <row r="367" spans="1:24" x14ac:dyDescent="0.2">
      <c r="A367" t="s">
        <v>32</v>
      </c>
      <c r="B367" t="s">
        <v>1</v>
      </c>
      <c r="C367" t="s">
        <v>9</v>
      </c>
      <c r="D367">
        <v>3</v>
      </c>
      <c r="E367">
        <v>178</v>
      </c>
      <c r="F367">
        <v>17.3</v>
      </c>
      <c r="G367">
        <v>1.31</v>
      </c>
      <c r="H367">
        <v>1595</v>
      </c>
      <c r="I367">
        <v>13.67</v>
      </c>
      <c r="J367">
        <v>32</v>
      </c>
      <c r="K367">
        <v>85</v>
      </c>
      <c r="L367">
        <v>0.753</v>
      </c>
      <c r="M367" s="4">
        <v>298000000000000</v>
      </c>
      <c r="N367" s="4">
        <v>3080000000000000</v>
      </c>
      <c r="O367" s="4">
        <v>3380000000000000</v>
      </c>
      <c r="P367">
        <v>80.671000000000006</v>
      </c>
      <c r="Q367" t="s">
        <v>24</v>
      </c>
      <c r="R367" t="s">
        <v>24</v>
      </c>
      <c r="S367" t="s">
        <v>24</v>
      </c>
      <c r="T367" t="s">
        <v>24</v>
      </c>
      <c r="U367">
        <v>15.352868000000001</v>
      </c>
      <c r="V367">
        <v>66.590468000000001</v>
      </c>
      <c r="W367">
        <v>26.181484000000001</v>
      </c>
      <c r="X367">
        <v>73.966836000000001</v>
      </c>
    </row>
    <row r="368" spans="1:24" x14ac:dyDescent="0.2">
      <c r="A368" t="s">
        <v>32</v>
      </c>
      <c r="B368" t="s">
        <v>1</v>
      </c>
      <c r="C368" t="s">
        <v>9</v>
      </c>
      <c r="D368">
        <v>3</v>
      </c>
      <c r="E368">
        <v>221</v>
      </c>
      <c r="F368">
        <v>17.3</v>
      </c>
      <c r="G368">
        <v>1.31</v>
      </c>
      <c r="H368">
        <v>1595</v>
      </c>
      <c r="I368">
        <v>13.67</v>
      </c>
      <c r="J368">
        <v>25</v>
      </c>
      <c r="K368">
        <v>85</v>
      </c>
      <c r="L368">
        <v>0.75700000000000001</v>
      </c>
      <c r="M368" s="4">
        <v>322000000000000</v>
      </c>
      <c r="N368" s="4">
        <v>1.87E+16</v>
      </c>
      <c r="O368" s="4">
        <v>1.9E+16</v>
      </c>
      <c r="P368">
        <v>75.786000000000001</v>
      </c>
      <c r="Q368">
        <v>0.51122718199999995</v>
      </c>
      <c r="R368">
        <v>0.488772818</v>
      </c>
      <c r="S368">
        <v>52.668889030000003</v>
      </c>
      <c r="T368">
        <v>50.35554097</v>
      </c>
      <c r="U368">
        <v>14.475778330000001</v>
      </c>
      <c r="V368">
        <v>45.825695000000003</v>
      </c>
      <c r="W368">
        <v>22.556278330000001</v>
      </c>
      <c r="X368">
        <v>72.594786670000005</v>
      </c>
    </row>
    <row r="369" spans="1:24" x14ac:dyDescent="0.2">
      <c r="A369" t="s">
        <v>32</v>
      </c>
      <c r="B369" t="s">
        <v>1</v>
      </c>
      <c r="C369" t="s">
        <v>10</v>
      </c>
      <c r="D369">
        <v>3</v>
      </c>
      <c r="E369">
        <v>182</v>
      </c>
      <c r="F369">
        <v>21.8</v>
      </c>
      <c r="G369">
        <v>1.34</v>
      </c>
      <c r="H369">
        <v>530</v>
      </c>
      <c r="I369">
        <v>13.7</v>
      </c>
      <c r="J369">
        <v>28</v>
      </c>
      <c r="K369">
        <v>85</v>
      </c>
      <c r="L369">
        <v>0.748</v>
      </c>
      <c r="M369" s="4">
        <v>292000000000000</v>
      </c>
      <c r="N369" s="4">
        <v>5370000000000000</v>
      </c>
      <c r="O369" s="4">
        <v>5660000000000000</v>
      </c>
      <c r="P369">
        <v>78.623999999999995</v>
      </c>
      <c r="Q369">
        <v>0.69319627500000003</v>
      </c>
      <c r="R369">
        <v>0.30680372500000003</v>
      </c>
      <c r="S369">
        <v>31.104403090000002</v>
      </c>
      <c r="T369">
        <v>13.76658684</v>
      </c>
      <c r="U369">
        <v>12.251010000000001</v>
      </c>
      <c r="V369">
        <v>65.895792</v>
      </c>
      <c r="W369">
        <v>29.520005000000001</v>
      </c>
      <c r="X369">
        <v>75.015822499999999</v>
      </c>
    </row>
    <row r="370" spans="1:24" x14ac:dyDescent="0.2">
      <c r="A370" t="s">
        <v>32</v>
      </c>
      <c r="B370" t="s">
        <v>1</v>
      </c>
      <c r="C370" t="s">
        <v>10</v>
      </c>
      <c r="D370">
        <v>3</v>
      </c>
      <c r="E370">
        <v>260</v>
      </c>
      <c r="F370">
        <v>21.8</v>
      </c>
      <c r="G370">
        <v>1.34</v>
      </c>
      <c r="H370">
        <v>530</v>
      </c>
      <c r="I370">
        <v>13.7</v>
      </c>
      <c r="J370">
        <v>22</v>
      </c>
      <c r="K370">
        <v>85</v>
      </c>
      <c r="L370">
        <v>0.81399999999999995</v>
      </c>
      <c r="M370" s="4">
        <v>414000000000000</v>
      </c>
      <c r="N370" s="4">
        <v>9970000000000000</v>
      </c>
      <c r="O370" s="4">
        <v>1.04E+16</v>
      </c>
      <c r="P370">
        <v>101.35</v>
      </c>
      <c r="Q370">
        <v>0.702499859</v>
      </c>
      <c r="R370">
        <v>0.297500141</v>
      </c>
      <c r="S370">
        <v>65.928059529999999</v>
      </c>
      <c r="T370">
        <v>27.919730850000001</v>
      </c>
      <c r="U370">
        <v>12.977297139999999</v>
      </c>
      <c r="V370">
        <v>61.911888570000002</v>
      </c>
      <c r="W370">
        <v>23.071037140000001</v>
      </c>
      <c r="X370">
        <v>76.735847140000004</v>
      </c>
    </row>
    <row r="371" spans="1:24" x14ac:dyDescent="0.2">
      <c r="A371" t="s">
        <v>32</v>
      </c>
      <c r="B371" t="s">
        <v>1</v>
      </c>
      <c r="C371" t="s">
        <v>9</v>
      </c>
      <c r="D371">
        <v>3</v>
      </c>
      <c r="E371">
        <v>131</v>
      </c>
      <c r="F371">
        <v>17.3</v>
      </c>
      <c r="G371">
        <v>1.31</v>
      </c>
      <c r="H371">
        <v>1595</v>
      </c>
      <c r="I371">
        <v>13.67</v>
      </c>
      <c r="J371">
        <v>24</v>
      </c>
      <c r="K371">
        <v>85</v>
      </c>
      <c r="L371">
        <v>0.78100000000000003</v>
      </c>
      <c r="M371" s="4">
        <v>345000000000000</v>
      </c>
      <c r="N371" s="4">
        <v>1.62E+16</v>
      </c>
      <c r="O371" s="4">
        <v>1.65E+16</v>
      </c>
      <c r="P371">
        <v>108.88</v>
      </c>
      <c r="Q371">
        <v>0.468370966</v>
      </c>
      <c r="R371">
        <v>0.53162903399999994</v>
      </c>
      <c r="S371">
        <v>65.42490248</v>
      </c>
      <c r="T371">
        <v>74.261173720000002</v>
      </c>
      <c r="U371">
        <v>14.231719999999999</v>
      </c>
      <c r="V371">
        <v>55.704234999999997</v>
      </c>
      <c r="W371">
        <v>26.8015325</v>
      </c>
      <c r="X371">
        <v>78.645764999999997</v>
      </c>
    </row>
    <row r="372" spans="1:24" x14ac:dyDescent="0.2">
      <c r="A372" t="s">
        <v>32</v>
      </c>
      <c r="B372" t="s">
        <v>2</v>
      </c>
      <c r="C372" t="s">
        <v>8</v>
      </c>
      <c r="D372">
        <v>2</v>
      </c>
      <c r="E372">
        <v>155</v>
      </c>
      <c r="F372">
        <v>18.600000000000001</v>
      </c>
      <c r="G372">
        <v>1.6</v>
      </c>
      <c r="H372">
        <v>1148</v>
      </c>
      <c r="I372">
        <v>13.6</v>
      </c>
      <c r="J372">
        <v>5.9</v>
      </c>
      <c r="K372">
        <v>85</v>
      </c>
      <c r="L372">
        <v>0.88</v>
      </c>
      <c r="M372" s="4">
        <v>590000000000000</v>
      </c>
      <c r="N372" s="4">
        <v>1.52E+16</v>
      </c>
      <c r="O372" s="4">
        <v>1.6E+16</v>
      </c>
      <c r="P372">
        <v>81.400000000000006</v>
      </c>
      <c r="Q372" t="s">
        <v>24</v>
      </c>
      <c r="R372" t="s">
        <v>24</v>
      </c>
      <c r="S372" t="s">
        <v>24</v>
      </c>
      <c r="T372" t="s">
        <v>24</v>
      </c>
      <c r="U372">
        <v>14.2807</v>
      </c>
      <c r="V372">
        <v>55.843499999999999</v>
      </c>
      <c r="W372">
        <v>22.976600000000001</v>
      </c>
      <c r="X372">
        <v>102.873</v>
      </c>
    </row>
    <row r="373" spans="1:24" x14ac:dyDescent="0.2">
      <c r="A373" t="s">
        <v>32</v>
      </c>
      <c r="B373" t="s">
        <v>2</v>
      </c>
      <c r="C373" t="s">
        <v>8</v>
      </c>
      <c r="D373">
        <v>3</v>
      </c>
      <c r="E373">
        <v>350</v>
      </c>
      <c r="F373">
        <v>18.600000000000001</v>
      </c>
      <c r="G373">
        <v>1.6</v>
      </c>
      <c r="H373">
        <v>1148</v>
      </c>
      <c r="I373">
        <v>13.6</v>
      </c>
      <c r="J373">
        <v>5.9</v>
      </c>
      <c r="K373">
        <v>85</v>
      </c>
      <c r="L373">
        <v>0.88</v>
      </c>
      <c r="M373" s="4">
        <v>530000000000000</v>
      </c>
      <c r="N373" s="4">
        <v>1.6E+16</v>
      </c>
      <c r="O373" s="4">
        <v>1.7E+16</v>
      </c>
      <c r="P373">
        <v>64.2</v>
      </c>
      <c r="Q373" t="s">
        <v>24</v>
      </c>
      <c r="R373" t="s">
        <v>24</v>
      </c>
      <c r="S373" t="s">
        <v>24</v>
      </c>
      <c r="T373" t="s">
        <v>24</v>
      </c>
      <c r="U373">
        <v>12.879099999999999</v>
      </c>
      <c r="V373">
        <v>51.569299999999998</v>
      </c>
      <c r="W373">
        <v>21.243300000000001</v>
      </c>
      <c r="X373">
        <v>103.381</v>
      </c>
    </row>
    <row r="374" spans="1:24" x14ac:dyDescent="0.2">
      <c r="A374" t="s">
        <v>32</v>
      </c>
      <c r="B374" t="s">
        <v>2</v>
      </c>
      <c r="C374" t="s">
        <v>8</v>
      </c>
      <c r="D374">
        <v>3</v>
      </c>
      <c r="E374">
        <v>150</v>
      </c>
      <c r="F374">
        <v>18.600000000000001</v>
      </c>
      <c r="G374">
        <v>1.6</v>
      </c>
      <c r="H374">
        <v>1148</v>
      </c>
      <c r="I374">
        <v>13.6</v>
      </c>
      <c r="J374">
        <v>9.6</v>
      </c>
      <c r="K374">
        <v>85</v>
      </c>
      <c r="L374">
        <v>0.93400000000000005</v>
      </c>
      <c r="M374" s="4">
        <v>940000000000000</v>
      </c>
      <c r="N374" s="4">
        <v>1.76E+16</v>
      </c>
      <c r="O374" s="4">
        <v>1.9E+16</v>
      </c>
      <c r="P374">
        <v>144.6</v>
      </c>
      <c r="Q374">
        <v>0.60342903599999997</v>
      </c>
      <c r="R374">
        <v>0.39657096400000003</v>
      </c>
      <c r="S374">
        <v>65.617838840000005</v>
      </c>
      <c r="T374">
        <v>43.123761160000001</v>
      </c>
      <c r="U374">
        <v>13.367900000000001</v>
      </c>
      <c r="V374">
        <v>64.928600000000003</v>
      </c>
      <c r="W374">
        <v>27.643000000000001</v>
      </c>
      <c r="X374">
        <v>101.794</v>
      </c>
    </row>
    <row r="375" spans="1:24" x14ac:dyDescent="0.2">
      <c r="A375" t="s">
        <v>32</v>
      </c>
      <c r="B375" t="s">
        <v>2</v>
      </c>
      <c r="C375" t="s">
        <v>8</v>
      </c>
      <c r="D375">
        <v>2</v>
      </c>
      <c r="E375">
        <v>190</v>
      </c>
      <c r="F375">
        <v>18.600000000000001</v>
      </c>
      <c r="G375">
        <v>1.6</v>
      </c>
      <c r="H375">
        <v>1148</v>
      </c>
      <c r="I375">
        <v>13.6</v>
      </c>
      <c r="J375">
        <v>9.4</v>
      </c>
      <c r="K375">
        <v>85</v>
      </c>
      <c r="L375">
        <v>0.90600000000000003</v>
      </c>
      <c r="M375" s="4">
        <v>850000000000000</v>
      </c>
      <c r="N375" s="4">
        <v>1.66E+16</v>
      </c>
      <c r="O375" s="4">
        <v>1.7E+16</v>
      </c>
      <c r="P375">
        <v>130</v>
      </c>
      <c r="Q375">
        <v>0.60699021500000006</v>
      </c>
      <c r="R375">
        <v>0.393009785</v>
      </c>
      <c r="S375">
        <v>67.886514030000001</v>
      </c>
      <c r="T375">
        <v>43.95468597</v>
      </c>
      <c r="U375">
        <v>14.791499999999999</v>
      </c>
      <c r="V375">
        <v>63.562399999999997</v>
      </c>
      <c r="W375">
        <v>28.3384</v>
      </c>
      <c r="X375">
        <v>104.065</v>
      </c>
    </row>
    <row r="376" spans="1:24" x14ac:dyDescent="0.2">
      <c r="A376" t="s">
        <v>32</v>
      </c>
      <c r="B376" t="s">
        <v>2</v>
      </c>
      <c r="C376" t="s">
        <v>8</v>
      </c>
      <c r="D376">
        <v>3</v>
      </c>
      <c r="E376">
        <v>90</v>
      </c>
      <c r="F376">
        <v>18.600000000000001</v>
      </c>
      <c r="G376">
        <v>1.6</v>
      </c>
      <c r="H376">
        <v>1148</v>
      </c>
      <c r="I376">
        <v>13.6</v>
      </c>
      <c r="J376">
        <v>9.8000000000000007</v>
      </c>
      <c r="K376">
        <v>85</v>
      </c>
      <c r="L376">
        <v>0.93300000000000005</v>
      </c>
      <c r="M376" s="4">
        <v>1000000000000000</v>
      </c>
      <c r="N376" s="4">
        <v>1.69E+16</v>
      </c>
      <c r="O376" s="4">
        <v>1.8E+16</v>
      </c>
      <c r="P376">
        <v>158.4</v>
      </c>
      <c r="Q376">
        <v>0.54315536799999997</v>
      </c>
      <c r="R376">
        <v>0.45684463199999997</v>
      </c>
      <c r="S376">
        <v>67.666512990000001</v>
      </c>
      <c r="T376">
        <v>56.913887010000003</v>
      </c>
      <c r="U376">
        <v>13.843999999999999</v>
      </c>
      <c r="V376">
        <v>69.423599999999993</v>
      </c>
      <c r="W376">
        <v>28.6676</v>
      </c>
      <c r="X376">
        <v>95.765900000000002</v>
      </c>
    </row>
    <row r="377" spans="1:24" x14ac:dyDescent="0.2">
      <c r="A377" t="s">
        <v>32</v>
      </c>
      <c r="B377" t="s">
        <v>2</v>
      </c>
      <c r="C377" t="s">
        <v>8</v>
      </c>
      <c r="D377">
        <v>3</v>
      </c>
      <c r="E377">
        <v>125</v>
      </c>
      <c r="F377">
        <v>18.600000000000001</v>
      </c>
      <c r="G377">
        <v>1.6</v>
      </c>
      <c r="H377">
        <v>1148</v>
      </c>
      <c r="I377">
        <v>13.6</v>
      </c>
      <c r="J377">
        <v>-3.1</v>
      </c>
      <c r="K377">
        <v>85</v>
      </c>
      <c r="L377">
        <v>0.94699999999999995</v>
      </c>
      <c r="M377" s="4">
        <v>1200000000000000</v>
      </c>
      <c r="N377" s="4">
        <v>2.43E+16</v>
      </c>
      <c r="O377" s="4">
        <v>2.5E+16</v>
      </c>
      <c r="P377">
        <v>148.5</v>
      </c>
      <c r="Q377">
        <v>0.66167548099999995</v>
      </c>
      <c r="R377">
        <v>0.33832451899999999</v>
      </c>
      <c r="S377">
        <v>77.060314570000003</v>
      </c>
      <c r="T377">
        <v>39.40208543</v>
      </c>
      <c r="U377">
        <v>14.2393</v>
      </c>
      <c r="V377">
        <v>57.9679</v>
      </c>
      <c r="W377">
        <v>26.4407</v>
      </c>
      <c r="X377">
        <v>102.627</v>
      </c>
    </row>
    <row r="378" spans="1:24" x14ac:dyDescent="0.2">
      <c r="A378" t="s">
        <v>32</v>
      </c>
      <c r="B378" t="s">
        <v>2</v>
      </c>
      <c r="C378" t="s">
        <v>8</v>
      </c>
      <c r="D378">
        <v>2</v>
      </c>
      <c r="E378">
        <v>137</v>
      </c>
      <c r="F378">
        <v>18.600000000000001</v>
      </c>
      <c r="G378">
        <v>1.6</v>
      </c>
      <c r="H378">
        <v>1148</v>
      </c>
      <c r="I378">
        <v>13.6</v>
      </c>
      <c r="J378">
        <v>-3</v>
      </c>
      <c r="K378">
        <v>85</v>
      </c>
      <c r="L378">
        <v>0.92</v>
      </c>
      <c r="M378" s="4">
        <v>1000000000000000</v>
      </c>
      <c r="N378" s="4">
        <v>1.91E+16</v>
      </c>
      <c r="O378" s="4">
        <v>2E+16</v>
      </c>
      <c r="P378">
        <v>137.9</v>
      </c>
      <c r="Q378">
        <v>0.72353585300000001</v>
      </c>
      <c r="R378">
        <v>0.27646414699999999</v>
      </c>
      <c r="S378">
        <v>81.785019849999998</v>
      </c>
      <c r="T378">
        <v>31.250180149999998</v>
      </c>
      <c r="U378">
        <v>15.178699999999999</v>
      </c>
      <c r="V378">
        <v>59.389499999999998</v>
      </c>
      <c r="W378">
        <v>26.883199999999999</v>
      </c>
      <c r="X378">
        <v>103.566</v>
      </c>
    </row>
    <row r="379" spans="1:24" x14ac:dyDescent="0.2">
      <c r="A379" t="s">
        <v>32</v>
      </c>
      <c r="B379" t="s">
        <v>2</v>
      </c>
      <c r="C379" t="s">
        <v>8</v>
      </c>
      <c r="D379">
        <v>3</v>
      </c>
      <c r="E379">
        <v>123</v>
      </c>
      <c r="F379">
        <v>18.600000000000001</v>
      </c>
      <c r="G379">
        <v>1.6</v>
      </c>
      <c r="H379">
        <v>1148</v>
      </c>
      <c r="I379">
        <v>13.6</v>
      </c>
      <c r="J379">
        <v>1.1000000000000001</v>
      </c>
      <c r="K379">
        <v>85</v>
      </c>
      <c r="L379">
        <v>0.88500000000000001</v>
      </c>
      <c r="M379" s="4">
        <v>5500000000000000</v>
      </c>
      <c r="N379" s="4">
        <v>1.76E+16</v>
      </c>
      <c r="O379" s="4">
        <v>2.3E+16</v>
      </c>
      <c r="P379">
        <v>140.1</v>
      </c>
      <c r="Q379">
        <v>0.73000254600000003</v>
      </c>
      <c r="R379">
        <v>0.26999745400000003</v>
      </c>
      <c r="S379">
        <v>19.512092039999999</v>
      </c>
      <c r="T379">
        <v>7.2167079589999998</v>
      </c>
      <c r="U379">
        <v>14.1408</v>
      </c>
      <c r="V379">
        <v>59.421799999999998</v>
      </c>
      <c r="W379">
        <v>14.227499999999999</v>
      </c>
      <c r="X379">
        <v>71.774100000000004</v>
      </c>
    </row>
    <row r="380" spans="1:24" x14ac:dyDescent="0.2">
      <c r="A380" t="s">
        <v>32</v>
      </c>
      <c r="B380" t="s">
        <v>2</v>
      </c>
      <c r="C380" t="s">
        <v>12</v>
      </c>
      <c r="D380">
        <v>3</v>
      </c>
      <c r="E380">
        <v>160</v>
      </c>
      <c r="F380">
        <v>0</v>
      </c>
      <c r="G380">
        <v>0</v>
      </c>
      <c r="H380">
        <v>19</v>
      </c>
      <c r="I380">
        <v>15.5</v>
      </c>
      <c r="J380">
        <v>14.2</v>
      </c>
      <c r="K380">
        <v>85</v>
      </c>
      <c r="L380">
        <v>0.82</v>
      </c>
      <c r="M380" s="4">
        <v>230000000000000</v>
      </c>
      <c r="N380" s="4">
        <v>262000000000000</v>
      </c>
      <c r="O380" s="4">
        <v>490000000000000</v>
      </c>
      <c r="P380">
        <v>14.3</v>
      </c>
      <c r="Q380">
        <v>0.89997757599999995</v>
      </c>
      <c r="R380">
        <v>0.100022424</v>
      </c>
      <c r="S380">
        <v>23.133239620000001</v>
      </c>
      <c r="T380">
        <v>2.5710003800000001</v>
      </c>
      <c r="U380">
        <v>14.8202</v>
      </c>
      <c r="V380">
        <v>58.954599999999999</v>
      </c>
      <c r="W380">
        <v>26.961200000000002</v>
      </c>
      <c r="X380">
        <v>80.285200000000003</v>
      </c>
    </row>
    <row r="381" spans="1:24" x14ac:dyDescent="0.2">
      <c r="A381" t="s">
        <v>32</v>
      </c>
      <c r="B381" t="s">
        <v>2</v>
      </c>
      <c r="C381" t="s">
        <v>8</v>
      </c>
      <c r="D381">
        <v>2</v>
      </c>
      <c r="E381">
        <v>130</v>
      </c>
      <c r="F381">
        <v>18.600000000000001</v>
      </c>
      <c r="G381">
        <v>1.6</v>
      </c>
      <c r="H381">
        <v>1148</v>
      </c>
      <c r="I381">
        <v>13.6</v>
      </c>
      <c r="J381">
        <v>14</v>
      </c>
      <c r="K381">
        <v>85</v>
      </c>
      <c r="L381">
        <v>0.82</v>
      </c>
      <c r="M381" s="4">
        <v>740000000000000</v>
      </c>
      <c r="N381" s="4">
        <v>1.52E+16</v>
      </c>
      <c r="O381" s="4">
        <v>1.6E+16</v>
      </c>
      <c r="P381">
        <v>104.7</v>
      </c>
      <c r="Q381">
        <v>0.56870524700000002</v>
      </c>
      <c r="R381">
        <v>0.43129475299999998</v>
      </c>
      <c r="S381">
        <v>50.085620839999997</v>
      </c>
      <c r="T381">
        <v>37.983939159999998</v>
      </c>
      <c r="U381">
        <v>14.396599999999999</v>
      </c>
      <c r="V381">
        <v>58.401299999999999</v>
      </c>
      <c r="W381">
        <v>27.458600000000001</v>
      </c>
      <c r="X381">
        <v>85.405199999999994</v>
      </c>
    </row>
    <row r="382" spans="1:24" x14ac:dyDescent="0.2">
      <c r="A382" t="s">
        <v>32</v>
      </c>
      <c r="B382" t="s">
        <v>2</v>
      </c>
      <c r="C382" t="s">
        <v>12</v>
      </c>
      <c r="D382">
        <v>3</v>
      </c>
      <c r="E382">
        <v>120</v>
      </c>
      <c r="F382">
        <v>0</v>
      </c>
      <c r="G382">
        <v>0</v>
      </c>
      <c r="H382">
        <v>19</v>
      </c>
      <c r="I382">
        <v>15.5</v>
      </c>
      <c r="J382">
        <v>14.8</v>
      </c>
      <c r="K382">
        <v>85</v>
      </c>
      <c r="L382">
        <v>0.84799999999999998</v>
      </c>
      <c r="M382" s="4">
        <v>250000000000000</v>
      </c>
      <c r="N382" s="4">
        <v>266000000000000</v>
      </c>
      <c r="O382" s="4">
        <v>520000000000000</v>
      </c>
      <c r="P382">
        <v>15.2</v>
      </c>
      <c r="Q382" t="s">
        <v>24</v>
      </c>
      <c r="R382" t="s">
        <v>24</v>
      </c>
      <c r="S382" t="s">
        <v>24</v>
      </c>
      <c r="T382" t="s">
        <v>24</v>
      </c>
      <c r="U382">
        <v>24.8901</v>
      </c>
      <c r="V382">
        <v>59.813200000000002</v>
      </c>
      <c r="W382">
        <v>25.8081</v>
      </c>
      <c r="X382">
        <v>61.577399999999997</v>
      </c>
    </row>
    <row r="383" spans="1:24" x14ac:dyDescent="0.2">
      <c r="A383" t="s">
        <v>32</v>
      </c>
      <c r="B383" t="s">
        <v>2</v>
      </c>
      <c r="C383" t="s">
        <v>12</v>
      </c>
      <c r="D383">
        <v>3</v>
      </c>
      <c r="E383">
        <v>140</v>
      </c>
      <c r="F383">
        <v>0</v>
      </c>
      <c r="G383">
        <v>0</v>
      </c>
      <c r="H383">
        <v>19</v>
      </c>
      <c r="I383">
        <v>15.5</v>
      </c>
      <c r="J383">
        <v>1</v>
      </c>
      <c r="K383">
        <v>85</v>
      </c>
      <c r="L383">
        <v>0.91600000000000004</v>
      </c>
      <c r="M383" s="4">
        <v>290000000000000</v>
      </c>
      <c r="N383" s="4">
        <v>432000000000000</v>
      </c>
      <c r="O383" s="4">
        <v>720000000000000</v>
      </c>
      <c r="P383">
        <v>17.600000000000001</v>
      </c>
      <c r="Q383" t="s">
        <v>24</v>
      </c>
      <c r="R383" t="s">
        <v>24</v>
      </c>
      <c r="S383" t="s">
        <v>24</v>
      </c>
      <c r="T383" t="s">
        <v>24</v>
      </c>
      <c r="U383">
        <v>17.138300000000001</v>
      </c>
      <c r="V383">
        <v>56.683</v>
      </c>
      <c r="W383">
        <v>26.321300000000001</v>
      </c>
      <c r="X383">
        <v>70.999499999999998</v>
      </c>
    </row>
    <row r="384" spans="1:24" x14ac:dyDescent="0.2">
      <c r="A384" t="s">
        <v>32</v>
      </c>
      <c r="B384" t="s">
        <v>2</v>
      </c>
      <c r="C384" t="s">
        <v>8</v>
      </c>
      <c r="D384">
        <v>2</v>
      </c>
      <c r="E384">
        <v>150</v>
      </c>
      <c r="F384">
        <v>18.600000000000001</v>
      </c>
      <c r="G384">
        <v>1.6</v>
      </c>
      <c r="H384">
        <v>1148</v>
      </c>
      <c r="I384">
        <v>13.6</v>
      </c>
      <c r="J384">
        <v>1</v>
      </c>
      <c r="K384">
        <v>85</v>
      </c>
      <c r="L384">
        <v>0.91600000000000004</v>
      </c>
      <c r="M384" s="4">
        <v>910000000000000</v>
      </c>
      <c r="N384" s="4">
        <v>5490000000000000</v>
      </c>
      <c r="O384" s="4">
        <v>6400000000000000</v>
      </c>
      <c r="P384">
        <v>125.3</v>
      </c>
      <c r="Q384">
        <v>0.52910005100000002</v>
      </c>
      <c r="R384">
        <v>0.47089994899999998</v>
      </c>
      <c r="S384">
        <v>56.651885280000002</v>
      </c>
      <c r="T384">
        <v>50.420274720000002</v>
      </c>
      <c r="U384">
        <v>15.307600000000001</v>
      </c>
      <c r="V384">
        <v>54.495199999999997</v>
      </c>
      <c r="W384">
        <v>25.584</v>
      </c>
      <c r="X384">
        <v>83.228300000000004</v>
      </c>
    </row>
    <row r="385" spans="1:24" x14ac:dyDescent="0.2">
      <c r="A385" t="s">
        <v>32</v>
      </c>
      <c r="B385" t="s">
        <v>2</v>
      </c>
      <c r="C385" t="s">
        <v>12</v>
      </c>
      <c r="D385">
        <v>3</v>
      </c>
      <c r="E385">
        <v>120</v>
      </c>
      <c r="F385">
        <v>0</v>
      </c>
      <c r="G385">
        <v>0</v>
      </c>
      <c r="H385">
        <v>19</v>
      </c>
      <c r="I385">
        <v>15.5</v>
      </c>
      <c r="J385">
        <v>2.2999999999999998</v>
      </c>
      <c r="K385">
        <v>85</v>
      </c>
      <c r="L385">
        <v>0.91200000000000003</v>
      </c>
      <c r="M385" s="4">
        <v>300000000000000</v>
      </c>
      <c r="N385" s="4">
        <v>398000000000000</v>
      </c>
      <c r="O385" s="4">
        <v>700000000000000</v>
      </c>
      <c r="P385">
        <v>21</v>
      </c>
      <c r="Q385">
        <v>0.84983050900000001</v>
      </c>
      <c r="R385">
        <v>0.15016949099999999</v>
      </c>
      <c r="S385">
        <v>8.4675752220000007</v>
      </c>
      <c r="T385">
        <v>1.496264778</v>
      </c>
      <c r="U385">
        <v>25.4541</v>
      </c>
      <c r="V385">
        <v>62.868200000000002</v>
      </c>
      <c r="W385">
        <v>26.953900000000001</v>
      </c>
      <c r="X385">
        <v>65.517600000000002</v>
      </c>
    </row>
    <row r="386" spans="1:24" x14ac:dyDescent="0.2">
      <c r="A386" t="s">
        <v>32</v>
      </c>
      <c r="B386" t="s">
        <v>2</v>
      </c>
      <c r="C386" t="s">
        <v>14</v>
      </c>
      <c r="D386">
        <v>3</v>
      </c>
      <c r="E386">
        <v>130</v>
      </c>
      <c r="F386">
        <v>8</v>
      </c>
      <c r="G386">
        <v>0.8</v>
      </c>
      <c r="H386">
        <v>699</v>
      </c>
      <c r="I386">
        <v>14.5</v>
      </c>
      <c r="J386">
        <v>3.1</v>
      </c>
      <c r="K386">
        <v>85</v>
      </c>
      <c r="L386">
        <v>0.89400000000000002</v>
      </c>
      <c r="M386" s="4">
        <v>580000000000000</v>
      </c>
      <c r="N386" s="4">
        <v>1.09E+16</v>
      </c>
      <c r="O386" s="4">
        <v>1.1E+16</v>
      </c>
      <c r="P386">
        <v>52.7</v>
      </c>
      <c r="Q386" t="s">
        <v>24</v>
      </c>
      <c r="R386" t="s">
        <v>24</v>
      </c>
      <c r="S386" t="s">
        <v>24</v>
      </c>
      <c r="T386" t="s">
        <v>24</v>
      </c>
      <c r="U386">
        <v>12.432600000000001</v>
      </c>
      <c r="V386">
        <v>46.137500000000003</v>
      </c>
      <c r="W386">
        <v>24.063800000000001</v>
      </c>
      <c r="X386">
        <v>75.548500000000004</v>
      </c>
    </row>
    <row r="387" spans="1:24" x14ac:dyDescent="0.2">
      <c r="A387" t="s">
        <v>32</v>
      </c>
      <c r="B387" t="s">
        <v>2</v>
      </c>
      <c r="C387" t="s">
        <v>8</v>
      </c>
      <c r="D387">
        <v>2</v>
      </c>
      <c r="E387">
        <v>160</v>
      </c>
      <c r="F387">
        <v>18.600000000000001</v>
      </c>
      <c r="G387">
        <v>1.6</v>
      </c>
      <c r="H387">
        <v>1148</v>
      </c>
      <c r="I387">
        <v>13.6</v>
      </c>
      <c r="J387">
        <v>3.7</v>
      </c>
      <c r="K387">
        <v>85</v>
      </c>
      <c r="L387">
        <v>0.89400000000000002</v>
      </c>
      <c r="M387" s="4">
        <v>880000000000000</v>
      </c>
      <c r="N387" s="4">
        <v>1.64E+16</v>
      </c>
      <c r="O387" s="4">
        <v>1.7E+16</v>
      </c>
      <c r="P387">
        <v>122.8</v>
      </c>
      <c r="Q387" t="s">
        <v>24</v>
      </c>
      <c r="R387" t="s">
        <v>24</v>
      </c>
      <c r="S387" t="s">
        <v>24</v>
      </c>
      <c r="T387" t="s">
        <v>24</v>
      </c>
      <c r="U387">
        <v>15.243600000000001</v>
      </c>
      <c r="V387">
        <v>57.891500000000001</v>
      </c>
      <c r="W387">
        <v>25.4834</v>
      </c>
      <c r="X387">
        <v>85.681399999999996</v>
      </c>
    </row>
    <row r="388" spans="1:24" x14ac:dyDescent="0.2">
      <c r="A388" t="s">
        <v>32</v>
      </c>
      <c r="B388" t="s">
        <v>2</v>
      </c>
      <c r="C388" t="s">
        <v>14</v>
      </c>
      <c r="D388">
        <v>3</v>
      </c>
      <c r="E388">
        <v>140</v>
      </c>
      <c r="F388">
        <v>8</v>
      </c>
      <c r="G388">
        <v>0.8</v>
      </c>
      <c r="H388">
        <v>699</v>
      </c>
      <c r="I388">
        <v>14.5</v>
      </c>
      <c r="J388">
        <v>7.6</v>
      </c>
      <c r="K388">
        <v>85</v>
      </c>
      <c r="L388">
        <v>0.90600000000000003</v>
      </c>
      <c r="M388" s="4">
        <v>560000000000000</v>
      </c>
      <c r="N388" s="4">
        <v>1.09E+16</v>
      </c>
      <c r="O388" s="4">
        <v>1.1E+16</v>
      </c>
      <c r="P388">
        <v>51.9</v>
      </c>
      <c r="Q388" t="s">
        <v>24</v>
      </c>
      <c r="R388" t="s">
        <v>24</v>
      </c>
      <c r="S388" t="s">
        <v>24</v>
      </c>
      <c r="T388" t="s">
        <v>24</v>
      </c>
      <c r="U388">
        <v>12.592599999999999</v>
      </c>
      <c r="V388">
        <v>54.802999999999997</v>
      </c>
      <c r="W388">
        <v>27.081900000000001</v>
      </c>
      <c r="X388">
        <v>70.037899999999993</v>
      </c>
    </row>
    <row r="389" spans="1:24" x14ac:dyDescent="0.2">
      <c r="A389" t="s">
        <v>32</v>
      </c>
      <c r="B389" t="s">
        <v>2</v>
      </c>
      <c r="C389" t="s">
        <v>11</v>
      </c>
      <c r="D389">
        <v>3</v>
      </c>
      <c r="E389">
        <v>140</v>
      </c>
      <c r="F389">
        <v>0.6</v>
      </c>
      <c r="G389">
        <v>0</v>
      </c>
      <c r="H389">
        <v>22</v>
      </c>
      <c r="I389">
        <v>15.1</v>
      </c>
      <c r="J389">
        <v>17</v>
      </c>
      <c r="K389">
        <v>85</v>
      </c>
      <c r="L389">
        <v>0.86899999999999999</v>
      </c>
      <c r="M389" s="4">
        <v>350000000000000</v>
      </c>
      <c r="N389" s="4">
        <v>414000000000000</v>
      </c>
      <c r="O389" s="4">
        <v>770000000000000</v>
      </c>
      <c r="P389">
        <v>26.3</v>
      </c>
      <c r="Q389">
        <v>0.68901474600000001</v>
      </c>
      <c r="R389">
        <v>0.31098525399999999</v>
      </c>
      <c r="S389">
        <v>8.9473250090000001</v>
      </c>
      <c r="T389">
        <v>4.0383549910000003</v>
      </c>
      <c r="U389">
        <v>19.019400000000001</v>
      </c>
      <c r="V389">
        <v>62.264499999999998</v>
      </c>
      <c r="W389">
        <v>28.775700000000001</v>
      </c>
      <c r="X389">
        <v>71.146100000000004</v>
      </c>
    </row>
    <row r="390" spans="1:24" x14ac:dyDescent="0.2">
      <c r="A390" t="s">
        <v>32</v>
      </c>
      <c r="B390" t="s">
        <v>2</v>
      </c>
      <c r="C390" t="s">
        <v>8</v>
      </c>
      <c r="D390">
        <v>2</v>
      </c>
      <c r="E390">
        <v>200</v>
      </c>
      <c r="F390">
        <v>18.600000000000001</v>
      </c>
      <c r="G390">
        <v>1.6</v>
      </c>
      <c r="H390">
        <v>1148</v>
      </c>
      <c r="I390">
        <v>13.6</v>
      </c>
      <c r="J390">
        <v>17</v>
      </c>
      <c r="K390">
        <v>85</v>
      </c>
      <c r="L390">
        <v>0.86899999999999999</v>
      </c>
      <c r="M390" s="4">
        <v>690000000000000</v>
      </c>
      <c r="N390" s="4">
        <v>1.19E+16</v>
      </c>
      <c r="O390" s="4">
        <v>1.3E+16</v>
      </c>
      <c r="P390">
        <v>96.8</v>
      </c>
      <c r="Q390">
        <v>0.55705837499999999</v>
      </c>
      <c r="R390">
        <v>0.44294162500000001</v>
      </c>
      <c r="S390">
        <v>43.15762969</v>
      </c>
      <c r="T390">
        <v>34.316530309999997</v>
      </c>
      <c r="U390">
        <v>14.1935</v>
      </c>
      <c r="V390">
        <v>58.299799999999998</v>
      </c>
      <c r="W390">
        <v>27.976600000000001</v>
      </c>
      <c r="X390">
        <v>83.748999999999995</v>
      </c>
    </row>
    <row r="391" spans="1:24" x14ac:dyDescent="0.2">
      <c r="A391" t="s">
        <v>32</v>
      </c>
      <c r="B391" t="s">
        <v>2</v>
      </c>
      <c r="C391" t="s">
        <v>11</v>
      </c>
      <c r="D391">
        <v>3</v>
      </c>
      <c r="E391">
        <v>150</v>
      </c>
      <c r="F391">
        <v>0.6</v>
      </c>
      <c r="G391">
        <v>0</v>
      </c>
      <c r="H391">
        <v>22</v>
      </c>
      <c r="I391">
        <v>15.1</v>
      </c>
      <c r="J391">
        <v>18</v>
      </c>
      <c r="K391">
        <v>85</v>
      </c>
      <c r="L391">
        <v>0.92300000000000004</v>
      </c>
      <c r="M391" s="4">
        <v>330000000000000</v>
      </c>
      <c r="N391" s="4">
        <v>386000000000000</v>
      </c>
      <c r="O391" s="4">
        <v>720000000000000</v>
      </c>
      <c r="P391">
        <v>27.2</v>
      </c>
      <c r="Q391" t="s">
        <v>24</v>
      </c>
      <c r="R391" t="s">
        <v>24</v>
      </c>
      <c r="S391" t="s">
        <v>24</v>
      </c>
      <c r="T391" t="s">
        <v>24</v>
      </c>
      <c r="U391">
        <v>25.905200000000001</v>
      </c>
      <c r="V391">
        <v>61.377699999999997</v>
      </c>
      <c r="W391">
        <v>27.770499999999998</v>
      </c>
      <c r="X391">
        <v>65.2393</v>
      </c>
    </row>
    <row r="392" spans="1:24" x14ac:dyDescent="0.2">
      <c r="A392" t="s">
        <v>32</v>
      </c>
      <c r="B392" t="s">
        <v>2</v>
      </c>
      <c r="C392" t="s">
        <v>11</v>
      </c>
      <c r="D392">
        <v>3</v>
      </c>
      <c r="E392">
        <v>150</v>
      </c>
      <c r="F392">
        <v>0.6</v>
      </c>
      <c r="G392">
        <v>0</v>
      </c>
      <c r="H392">
        <v>22</v>
      </c>
      <c r="I392">
        <v>15.1</v>
      </c>
      <c r="J392">
        <v>-1.4</v>
      </c>
      <c r="K392">
        <v>85</v>
      </c>
      <c r="L392">
        <v>0.90900000000000003</v>
      </c>
      <c r="M392" s="4">
        <v>330000000000000</v>
      </c>
      <c r="N392" s="4">
        <v>429000000000000</v>
      </c>
      <c r="O392" s="4">
        <v>750000000000000</v>
      </c>
      <c r="P392">
        <v>21.5</v>
      </c>
      <c r="Q392">
        <v>0.91775140200000005</v>
      </c>
      <c r="R392">
        <v>8.2248598000000006E-2</v>
      </c>
      <c r="S392">
        <v>21.451264290000001</v>
      </c>
      <c r="T392">
        <v>1.9224557069999999</v>
      </c>
      <c r="U392">
        <v>16.945799999999998</v>
      </c>
      <c r="V392">
        <v>57.659399999999998</v>
      </c>
      <c r="W392">
        <v>26.687000000000001</v>
      </c>
      <c r="X392">
        <v>72.522900000000007</v>
      </c>
    </row>
    <row r="393" spans="1:24" x14ac:dyDescent="0.2">
      <c r="A393" t="s">
        <v>32</v>
      </c>
      <c r="B393" t="s">
        <v>2</v>
      </c>
      <c r="C393" t="s">
        <v>8</v>
      </c>
      <c r="D393">
        <v>2</v>
      </c>
      <c r="E393">
        <v>120</v>
      </c>
      <c r="F393">
        <v>18.600000000000001</v>
      </c>
      <c r="G393">
        <v>1.6</v>
      </c>
      <c r="H393">
        <v>1148</v>
      </c>
      <c r="I393">
        <v>13.6</v>
      </c>
      <c r="J393">
        <v>-1.2</v>
      </c>
      <c r="K393">
        <v>85</v>
      </c>
      <c r="L393">
        <v>0.90900000000000003</v>
      </c>
      <c r="M393" s="4">
        <v>920000000000000</v>
      </c>
      <c r="N393" s="4">
        <v>1.74E+16</v>
      </c>
      <c r="O393" s="4">
        <v>1.8E+16</v>
      </c>
      <c r="P393">
        <v>114.6</v>
      </c>
      <c r="Q393">
        <v>0.68235790299999999</v>
      </c>
      <c r="R393">
        <v>0.31764209700000001</v>
      </c>
      <c r="S393">
        <v>89.597714159999995</v>
      </c>
      <c r="T393">
        <v>41.708325840000001</v>
      </c>
      <c r="U393">
        <v>15.2714</v>
      </c>
      <c r="V393">
        <v>52.917200000000001</v>
      </c>
      <c r="W393">
        <v>25.561800000000002</v>
      </c>
      <c r="X393">
        <v>82.462599999999995</v>
      </c>
    </row>
    <row r="394" spans="1:24" x14ac:dyDescent="0.2">
      <c r="A394" t="s">
        <v>32</v>
      </c>
      <c r="B394" t="s">
        <v>2</v>
      </c>
      <c r="C394" t="s">
        <v>13</v>
      </c>
      <c r="D394">
        <v>3</v>
      </c>
      <c r="E394">
        <v>160</v>
      </c>
      <c r="F394">
        <v>9.1</v>
      </c>
      <c r="G394">
        <v>0.8</v>
      </c>
      <c r="H394">
        <v>658</v>
      </c>
      <c r="I394">
        <v>14.3</v>
      </c>
      <c r="J394">
        <v>10.7</v>
      </c>
      <c r="K394">
        <v>85</v>
      </c>
      <c r="L394">
        <v>1.014</v>
      </c>
      <c r="M394" s="4">
        <v>530000000000000</v>
      </c>
      <c r="N394" s="4">
        <v>6700000000000000</v>
      </c>
      <c r="O394" s="4">
        <v>7200000000000000</v>
      </c>
      <c r="P394">
        <v>50.3</v>
      </c>
      <c r="Q394">
        <v>0.68642789900000001</v>
      </c>
      <c r="R394">
        <v>0.31357210099999999</v>
      </c>
      <c r="S394">
        <v>35.18689818</v>
      </c>
      <c r="T394">
        <v>16.07398182</v>
      </c>
      <c r="U394">
        <v>12.5893</v>
      </c>
      <c r="V394">
        <v>53.086300000000001</v>
      </c>
      <c r="W394">
        <v>21.772400000000001</v>
      </c>
      <c r="X394">
        <v>77.282300000000006</v>
      </c>
    </row>
    <row r="395" spans="1:24" x14ac:dyDescent="0.2">
      <c r="A395" t="s">
        <v>32</v>
      </c>
      <c r="B395" t="s">
        <v>2</v>
      </c>
      <c r="C395" t="s">
        <v>8</v>
      </c>
      <c r="D395">
        <v>2</v>
      </c>
      <c r="E395">
        <v>140</v>
      </c>
      <c r="F395">
        <v>18.600000000000001</v>
      </c>
      <c r="G395">
        <v>1.6</v>
      </c>
      <c r="H395">
        <v>1148</v>
      </c>
      <c r="I395">
        <v>13.6</v>
      </c>
      <c r="J395">
        <v>10.8</v>
      </c>
      <c r="K395">
        <v>85</v>
      </c>
      <c r="L395">
        <v>1.014</v>
      </c>
      <c r="M395" s="4">
        <v>800000000000000</v>
      </c>
      <c r="N395" s="4">
        <v>1.51E+16</v>
      </c>
      <c r="O395" s="4">
        <v>1.6E+16</v>
      </c>
      <c r="P395">
        <v>110.9</v>
      </c>
      <c r="Q395">
        <v>0.59708561000000004</v>
      </c>
      <c r="R395">
        <v>0.40291439000000001</v>
      </c>
      <c r="S395">
        <v>62.71147174</v>
      </c>
      <c r="T395">
        <v>42.31780826</v>
      </c>
      <c r="U395">
        <v>14.5708</v>
      </c>
      <c r="V395">
        <v>56.700200000000002</v>
      </c>
      <c r="W395">
        <v>25.165700000000001</v>
      </c>
      <c r="X395">
        <v>84.462500000000006</v>
      </c>
    </row>
    <row r="396" spans="1:24" x14ac:dyDescent="0.2">
      <c r="A396" t="s">
        <v>32</v>
      </c>
      <c r="B396" t="s">
        <v>2</v>
      </c>
      <c r="C396" t="s">
        <v>13</v>
      </c>
      <c r="D396">
        <v>3</v>
      </c>
      <c r="E396">
        <v>170</v>
      </c>
      <c r="F396">
        <v>9.1</v>
      </c>
      <c r="G396">
        <v>0.8</v>
      </c>
      <c r="H396">
        <v>658</v>
      </c>
      <c r="I396">
        <v>14.3</v>
      </c>
      <c r="J396">
        <v>12</v>
      </c>
      <c r="K396">
        <v>85</v>
      </c>
      <c r="L396">
        <v>0.34200000000000003</v>
      </c>
      <c r="M396" s="4">
        <v>530000000000000</v>
      </c>
      <c r="N396" s="4">
        <v>5980000000000000</v>
      </c>
      <c r="O396" s="4">
        <v>6500000000000000</v>
      </c>
      <c r="P396">
        <v>50.6</v>
      </c>
      <c r="Q396" t="s">
        <v>24</v>
      </c>
      <c r="R396" t="s">
        <v>24</v>
      </c>
      <c r="S396" t="s">
        <v>24</v>
      </c>
      <c r="T396" t="s">
        <v>24</v>
      </c>
      <c r="U396">
        <v>12.026999999999999</v>
      </c>
      <c r="V396">
        <v>53.6145</v>
      </c>
      <c r="W396">
        <v>24.0625</v>
      </c>
      <c r="X396">
        <v>75.779799999999994</v>
      </c>
    </row>
    <row r="397" spans="1:24" x14ac:dyDescent="0.2">
      <c r="A397" t="s">
        <v>32</v>
      </c>
      <c r="B397" t="s">
        <v>2</v>
      </c>
      <c r="C397" t="s">
        <v>8</v>
      </c>
      <c r="D397">
        <v>3</v>
      </c>
      <c r="E397">
        <v>205</v>
      </c>
      <c r="F397">
        <v>18.600000000000001</v>
      </c>
      <c r="G397">
        <v>1.6</v>
      </c>
      <c r="H397">
        <v>1148</v>
      </c>
      <c r="I397">
        <v>13.6</v>
      </c>
      <c r="J397">
        <v>19.7</v>
      </c>
      <c r="K397">
        <v>85</v>
      </c>
      <c r="L397">
        <v>0.79</v>
      </c>
      <c r="M397" s="4">
        <v>790000000000000</v>
      </c>
      <c r="N397" s="4">
        <v>8790000000000000</v>
      </c>
      <c r="O397" s="4">
        <v>9600000000000000</v>
      </c>
      <c r="P397">
        <v>99.9</v>
      </c>
      <c r="Q397" t="s">
        <v>24</v>
      </c>
      <c r="R397" t="s">
        <v>24</v>
      </c>
      <c r="S397" t="s">
        <v>24</v>
      </c>
      <c r="T397" t="s">
        <v>24</v>
      </c>
      <c r="U397">
        <v>12.6091</v>
      </c>
      <c r="V397">
        <v>67.860600000000005</v>
      </c>
      <c r="W397">
        <v>28.447199999999999</v>
      </c>
      <c r="X397">
        <v>96.725499999999997</v>
      </c>
    </row>
    <row r="398" spans="1:24" x14ac:dyDescent="0.2">
      <c r="A398" t="s">
        <v>32</v>
      </c>
      <c r="B398" t="s">
        <v>3</v>
      </c>
      <c r="C398" t="s">
        <v>8</v>
      </c>
      <c r="D398">
        <v>3</v>
      </c>
      <c r="E398">
        <v>130</v>
      </c>
      <c r="F398">
        <v>21.8</v>
      </c>
      <c r="G398">
        <v>1.3</v>
      </c>
      <c r="H398">
        <v>188</v>
      </c>
      <c r="I398">
        <v>13.5</v>
      </c>
      <c r="J398">
        <v>17</v>
      </c>
      <c r="K398">
        <v>85</v>
      </c>
      <c r="L398" t="s">
        <v>24</v>
      </c>
      <c r="M398" s="4">
        <v>541000000000000</v>
      </c>
      <c r="N398" s="4">
        <v>781000000000000</v>
      </c>
      <c r="O398" s="4">
        <v>1320000000000000</v>
      </c>
      <c r="P398">
        <v>75.7</v>
      </c>
      <c r="Q398">
        <v>0.81666666700000001</v>
      </c>
      <c r="R398">
        <v>0.18333333299999999</v>
      </c>
      <c r="S398">
        <v>19.149395999999999</v>
      </c>
      <c r="T398">
        <v>4.2988439999999999</v>
      </c>
      <c r="U398">
        <v>24.578900000000001</v>
      </c>
      <c r="V398">
        <v>73.8035</v>
      </c>
      <c r="W398">
        <v>29.568300000000001</v>
      </c>
      <c r="X398">
        <v>74.475800000000007</v>
      </c>
    </row>
    <row r="399" spans="1:24" x14ac:dyDescent="0.2">
      <c r="A399" t="s">
        <v>32</v>
      </c>
      <c r="B399" t="s">
        <v>3</v>
      </c>
      <c r="C399" t="s">
        <v>8</v>
      </c>
      <c r="D399">
        <v>2</v>
      </c>
      <c r="E399">
        <v>140</v>
      </c>
      <c r="F399">
        <v>21.8</v>
      </c>
      <c r="G399">
        <v>1.3</v>
      </c>
      <c r="H399">
        <v>188</v>
      </c>
      <c r="I399">
        <v>13.5</v>
      </c>
      <c r="J399">
        <v>17</v>
      </c>
      <c r="K399">
        <v>85</v>
      </c>
      <c r="L399" t="s">
        <v>24</v>
      </c>
      <c r="M399" s="4">
        <v>449000000000000</v>
      </c>
      <c r="N399" s="4">
        <v>996000000000000</v>
      </c>
      <c r="O399" s="4">
        <v>1440000000000000</v>
      </c>
      <c r="P399">
        <v>72.7</v>
      </c>
      <c r="Q399">
        <v>0.840909091</v>
      </c>
      <c r="R399">
        <v>0.159090909</v>
      </c>
      <c r="S399">
        <v>15.908822730000001</v>
      </c>
      <c r="T399">
        <v>3.0097772730000001</v>
      </c>
      <c r="U399">
        <v>18.392900000000001</v>
      </c>
      <c r="V399">
        <v>75.840199999999996</v>
      </c>
      <c r="W399">
        <v>21.104199999999999</v>
      </c>
      <c r="X399">
        <v>76.762699999999995</v>
      </c>
    </row>
    <row r="400" spans="1:24" x14ac:dyDescent="0.2">
      <c r="A400" t="s">
        <v>32</v>
      </c>
      <c r="B400" t="s">
        <v>3</v>
      </c>
      <c r="C400" t="s">
        <v>8</v>
      </c>
      <c r="D400">
        <v>3</v>
      </c>
      <c r="E400">
        <v>125</v>
      </c>
      <c r="F400">
        <v>21.8</v>
      </c>
      <c r="G400">
        <v>1.3</v>
      </c>
      <c r="H400">
        <v>188</v>
      </c>
      <c r="I400">
        <v>13.5</v>
      </c>
      <c r="J400">
        <v>17</v>
      </c>
      <c r="K400">
        <v>85</v>
      </c>
      <c r="L400" t="s">
        <v>24</v>
      </c>
      <c r="M400" s="4">
        <v>596000000000000</v>
      </c>
      <c r="N400" s="4">
        <v>720000000000000</v>
      </c>
      <c r="O400" s="4">
        <v>1320000000000000</v>
      </c>
      <c r="P400">
        <v>84.5</v>
      </c>
      <c r="Q400">
        <v>0.80800000000000005</v>
      </c>
      <c r="R400">
        <v>0.192</v>
      </c>
      <c r="S400">
        <v>20.483187839999999</v>
      </c>
      <c r="T400">
        <v>4.8672921599999999</v>
      </c>
      <c r="U400">
        <v>28.615500000000001</v>
      </c>
      <c r="V400">
        <v>77.118799999999993</v>
      </c>
      <c r="W400">
        <v>30.472300000000001</v>
      </c>
      <c r="X400">
        <v>79.054100000000005</v>
      </c>
    </row>
    <row r="401" spans="1:24" x14ac:dyDescent="0.2">
      <c r="A401" t="s">
        <v>32</v>
      </c>
      <c r="B401" t="s">
        <v>3</v>
      </c>
      <c r="C401" t="s">
        <v>8</v>
      </c>
      <c r="D401">
        <v>2</v>
      </c>
      <c r="E401">
        <v>135</v>
      </c>
      <c r="F401">
        <v>21.8</v>
      </c>
      <c r="G401">
        <v>1.3</v>
      </c>
      <c r="H401">
        <v>188</v>
      </c>
      <c r="I401">
        <v>13.5</v>
      </c>
      <c r="J401">
        <v>18</v>
      </c>
      <c r="K401">
        <v>85</v>
      </c>
      <c r="L401" t="s">
        <v>24</v>
      </c>
      <c r="M401" s="4">
        <v>533000000000000</v>
      </c>
      <c r="N401" s="4">
        <v>1630000000000000</v>
      </c>
      <c r="O401" s="4">
        <v>2160000000000000</v>
      </c>
      <c r="P401">
        <v>89.9</v>
      </c>
      <c r="Q401">
        <v>0.77108433700000001</v>
      </c>
      <c r="R401">
        <v>0.22891566299999999</v>
      </c>
      <c r="S401">
        <v>26.087386989999999</v>
      </c>
      <c r="T401">
        <v>7.7446930119999999</v>
      </c>
      <c r="U401">
        <v>17.304300000000001</v>
      </c>
      <c r="V401">
        <v>76.148899999999998</v>
      </c>
      <c r="W401">
        <v>31.086500000000001</v>
      </c>
      <c r="X401">
        <v>79.641099999999994</v>
      </c>
    </row>
    <row r="402" spans="1:24" x14ac:dyDescent="0.2">
      <c r="A402" t="s">
        <v>32</v>
      </c>
      <c r="B402" t="s">
        <v>3</v>
      </c>
      <c r="C402" t="s">
        <v>8</v>
      </c>
      <c r="D402">
        <v>3</v>
      </c>
      <c r="E402">
        <v>110</v>
      </c>
      <c r="F402">
        <v>21.8</v>
      </c>
      <c r="G402">
        <v>1.3</v>
      </c>
      <c r="H402">
        <v>188</v>
      </c>
      <c r="I402">
        <v>13.5</v>
      </c>
      <c r="J402">
        <v>17</v>
      </c>
      <c r="K402">
        <v>85</v>
      </c>
      <c r="L402" t="s">
        <v>24</v>
      </c>
      <c r="M402" s="4">
        <v>558000000000000</v>
      </c>
      <c r="N402" s="4">
        <v>1140000000000000</v>
      </c>
      <c r="O402" s="4">
        <v>1690000000000000</v>
      </c>
      <c r="P402">
        <v>79.3</v>
      </c>
      <c r="Q402">
        <v>0.75925925900000002</v>
      </c>
      <c r="R402">
        <v>0.24074074100000001</v>
      </c>
      <c r="S402">
        <v>20.320237779999999</v>
      </c>
      <c r="T402">
        <v>6.4430022219999996</v>
      </c>
      <c r="U402">
        <v>23.282800000000002</v>
      </c>
      <c r="V402">
        <v>75.999899999999997</v>
      </c>
      <c r="W402">
        <v>29.882000000000001</v>
      </c>
      <c r="X402">
        <v>76.624499999999998</v>
      </c>
    </row>
    <row r="403" spans="1:24" x14ac:dyDescent="0.2">
      <c r="A403" t="s">
        <v>32</v>
      </c>
      <c r="B403" t="s">
        <v>3</v>
      </c>
      <c r="C403" t="s">
        <v>8</v>
      </c>
      <c r="D403">
        <v>3</v>
      </c>
      <c r="E403">
        <v>120</v>
      </c>
      <c r="F403">
        <v>21.8</v>
      </c>
      <c r="G403">
        <v>1.3</v>
      </c>
      <c r="H403">
        <v>188</v>
      </c>
      <c r="I403">
        <v>13.5</v>
      </c>
      <c r="J403">
        <v>17</v>
      </c>
      <c r="K403">
        <v>85</v>
      </c>
      <c r="L403" t="s">
        <v>24</v>
      </c>
      <c r="M403" s="4">
        <v>559000000000000</v>
      </c>
      <c r="N403" s="4">
        <v>1120000000000000</v>
      </c>
      <c r="O403" s="4">
        <v>1680000000000000</v>
      </c>
      <c r="P403">
        <v>77.7</v>
      </c>
      <c r="Q403">
        <v>0.75155279500000005</v>
      </c>
      <c r="R403">
        <v>0.248447205</v>
      </c>
      <c r="S403">
        <v>19.342894659999999</v>
      </c>
      <c r="T403">
        <v>6.3943453420000003</v>
      </c>
      <c r="U403">
        <v>23.203099999999999</v>
      </c>
      <c r="V403">
        <v>75.651600000000002</v>
      </c>
      <c r="W403">
        <v>29.9467</v>
      </c>
      <c r="X403">
        <v>78.043099999999995</v>
      </c>
    </row>
    <row r="404" spans="1:24" x14ac:dyDescent="0.2">
      <c r="A404" t="s">
        <v>32</v>
      </c>
      <c r="B404" t="s">
        <v>3</v>
      </c>
      <c r="C404" t="s">
        <v>8</v>
      </c>
      <c r="D404">
        <v>2</v>
      </c>
      <c r="E404">
        <v>120</v>
      </c>
      <c r="F404">
        <v>21.8</v>
      </c>
      <c r="G404">
        <v>1.3</v>
      </c>
      <c r="H404">
        <v>188</v>
      </c>
      <c r="I404">
        <v>13.5</v>
      </c>
      <c r="J404">
        <v>9</v>
      </c>
      <c r="K404">
        <v>85</v>
      </c>
      <c r="L404" t="s">
        <v>24</v>
      </c>
      <c r="M404" s="4">
        <v>614000000000000</v>
      </c>
      <c r="N404" s="4">
        <v>2740000000000000</v>
      </c>
      <c r="O404" s="4">
        <v>3350000000000000</v>
      </c>
      <c r="P404">
        <v>85.5</v>
      </c>
      <c r="Q404">
        <v>0.79354838699999997</v>
      </c>
      <c r="R404">
        <v>0.20645161300000001</v>
      </c>
      <c r="S404">
        <v>31.55345187</v>
      </c>
      <c r="T404">
        <v>8.209028129</v>
      </c>
      <c r="U404">
        <v>14.8895</v>
      </c>
      <c r="V404">
        <v>71.861000000000004</v>
      </c>
      <c r="W404">
        <v>30.3398</v>
      </c>
      <c r="X404">
        <v>75.8352</v>
      </c>
    </row>
    <row r="405" spans="1:24" x14ac:dyDescent="0.2">
      <c r="A405" t="s">
        <v>32</v>
      </c>
      <c r="B405" t="s">
        <v>3</v>
      </c>
      <c r="C405" t="s">
        <v>15</v>
      </c>
      <c r="D405">
        <v>3</v>
      </c>
      <c r="E405">
        <v>138</v>
      </c>
      <c r="F405">
        <v>0.4</v>
      </c>
      <c r="G405">
        <v>0</v>
      </c>
      <c r="H405">
        <v>6</v>
      </c>
      <c r="I405">
        <v>15.3</v>
      </c>
      <c r="J405">
        <v>10</v>
      </c>
      <c r="K405">
        <v>85</v>
      </c>
      <c r="L405" t="s">
        <v>24</v>
      </c>
      <c r="M405" s="4">
        <v>214000000000000</v>
      </c>
      <c r="N405" s="4">
        <v>436000000000000</v>
      </c>
      <c r="O405" s="4">
        <v>651000000000000</v>
      </c>
      <c r="P405">
        <v>15.3</v>
      </c>
      <c r="Q405">
        <v>0.77450980400000002</v>
      </c>
      <c r="R405">
        <v>0.225490196</v>
      </c>
      <c r="S405">
        <v>3.353791647</v>
      </c>
      <c r="T405">
        <v>0.97642035299999996</v>
      </c>
      <c r="U405">
        <v>22.5077</v>
      </c>
      <c r="V405">
        <v>66.056799999999996</v>
      </c>
      <c r="W405">
        <v>24.0183</v>
      </c>
      <c r="X405">
        <v>59.767499999999998</v>
      </c>
    </row>
    <row r="406" spans="1:24" x14ac:dyDescent="0.2">
      <c r="A406" t="s">
        <v>32</v>
      </c>
      <c r="B406" t="s">
        <v>3</v>
      </c>
      <c r="C406" t="s">
        <v>15</v>
      </c>
      <c r="D406">
        <v>3</v>
      </c>
      <c r="E406">
        <v>130</v>
      </c>
      <c r="F406">
        <v>0.4</v>
      </c>
      <c r="G406">
        <v>0</v>
      </c>
      <c r="H406">
        <v>6</v>
      </c>
      <c r="I406">
        <v>15.3</v>
      </c>
      <c r="J406">
        <v>11</v>
      </c>
      <c r="K406">
        <v>85</v>
      </c>
      <c r="L406" t="s">
        <v>24</v>
      </c>
      <c r="M406" s="4">
        <v>242000000000000</v>
      </c>
      <c r="N406" s="4">
        <v>647000000000000</v>
      </c>
      <c r="O406" s="4">
        <v>888000000000000</v>
      </c>
      <c r="P406">
        <v>16.600000000000001</v>
      </c>
      <c r="Q406">
        <v>0.73873873899999998</v>
      </c>
      <c r="R406">
        <v>0.26126126100000002</v>
      </c>
      <c r="S406">
        <v>4.1523292969999996</v>
      </c>
      <c r="T406">
        <v>1.4685067030000001</v>
      </c>
      <c r="U406">
        <v>21.0562</v>
      </c>
      <c r="V406">
        <v>67.637900000000002</v>
      </c>
      <c r="W406">
        <v>24.444900000000001</v>
      </c>
      <c r="X406">
        <v>63.7547</v>
      </c>
    </row>
    <row r="407" spans="1:24" x14ac:dyDescent="0.2">
      <c r="A407" t="s">
        <v>32</v>
      </c>
      <c r="B407" t="s">
        <v>3</v>
      </c>
      <c r="C407" t="s">
        <v>8</v>
      </c>
      <c r="D407">
        <v>2</v>
      </c>
      <c r="E407">
        <v>150</v>
      </c>
      <c r="F407">
        <v>21.8</v>
      </c>
      <c r="G407">
        <v>1.3</v>
      </c>
      <c r="H407">
        <v>188</v>
      </c>
      <c r="I407">
        <v>13.5</v>
      </c>
      <c r="J407">
        <v>17</v>
      </c>
      <c r="K407">
        <v>85</v>
      </c>
      <c r="L407" t="s">
        <v>24</v>
      </c>
      <c r="M407" s="4">
        <v>609000000000000</v>
      </c>
      <c r="N407" s="4">
        <v>1930000000000000</v>
      </c>
      <c r="O407" s="4">
        <v>2540000000000000</v>
      </c>
      <c r="P407">
        <v>49.2</v>
      </c>
      <c r="Q407">
        <v>0.75862068999999999</v>
      </c>
      <c r="R407">
        <v>0.24137931000000001</v>
      </c>
      <c r="S407">
        <v>29.112372409999999</v>
      </c>
      <c r="T407">
        <v>9.2630275859999998</v>
      </c>
      <c r="U407">
        <v>16.791499999999999</v>
      </c>
      <c r="V407">
        <v>78.168999999999997</v>
      </c>
      <c r="W407">
        <v>31.777899999999999</v>
      </c>
      <c r="X407">
        <v>81.186499999999995</v>
      </c>
    </row>
    <row r="408" spans="1:24" x14ac:dyDescent="0.2">
      <c r="A408" t="s">
        <v>32</v>
      </c>
      <c r="B408" t="s">
        <v>3</v>
      </c>
      <c r="C408" t="s">
        <v>15</v>
      </c>
      <c r="D408">
        <v>3</v>
      </c>
      <c r="E408">
        <v>120</v>
      </c>
      <c r="F408">
        <v>0.4</v>
      </c>
      <c r="G408">
        <v>0</v>
      </c>
      <c r="H408">
        <v>6</v>
      </c>
      <c r="I408">
        <v>15.3</v>
      </c>
      <c r="J408">
        <v>17</v>
      </c>
      <c r="K408">
        <v>85</v>
      </c>
      <c r="L408" t="s">
        <v>24</v>
      </c>
      <c r="M408" s="4">
        <v>227000000000000</v>
      </c>
      <c r="N408" s="4">
        <v>421000000000000</v>
      </c>
      <c r="O408" s="4">
        <v>648000000000000</v>
      </c>
      <c r="P408">
        <v>13.9</v>
      </c>
      <c r="Q408">
        <v>0.71311475400000002</v>
      </c>
      <c r="R408">
        <v>0.28688524599999998</v>
      </c>
      <c r="S408">
        <v>3.4718819019999998</v>
      </c>
      <c r="T408">
        <v>1.396734098</v>
      </c>
      <c r="U408">
        <v>22.2806</v>
      </c>
      <c r="V408">
        <v>68.4636</v>
      </c>
      <c r="W408">
        <v>25.0395</v>
      </c>
      <c r="X408">
        <v>59.701700000000002</v>
      </c>
    </row>
    <row r="409" spans="1:24" x14ac:dyDescent="0.2">
      <c r="A409" t="s">
        <v>32</v>
      </c>
      <c r="B409" t="s">
        <v>3</v>
      </c>
      <c r="C409" t="s">
        <v>15</v>
      </c>
      <c r="D409">
        <v>3</v>
      </c>
      <c r="E409">
        <v>155</v>
      </c>
      <c r="F409">
        <v>0.4</v>
      </c>
      <c r="G409">
        <v>0</v>
      </c>
      <c r="H409">
        <v>6</v>
      </c>
      <c r="I409">
        <v>15.3</v>
      </c>
      <c r="J409">
        <v>18</v>
      </c>
      <c r="K409">
        <v>85</v>
      </c>
      <c r="L409" t="s">
        <v>24</v>
      </c>
      <c r="M409" s="4">
        <v>228000000000000</v>
      </c>
      <c r="N409" s="4">
        <v>298000000000000</v>
      </c>
      <c r="O409" s="4">
        <v>526000000000000</v>
      </c>
      <c r="P409">
        <v>15.3</v>
      </c>
      <c r="Q409">
        <v>0.76785714299999996</v>
      </c>
      <c r="R409">
        <v>0.23214285700000001</v>
      </c>
      <c r="S409">
        <v>3.197016214</v>
      </c>
      <c r="T409">
        <v>0.96653978600000001</v>
      </c>
      <c r="U409">
        <v>23.6081</v>
      </c>
      <c r="V409">
        <v>65.947800000000001</v>
      </c>
      <c r="W409">
        <v>25.247299999999999</v>
      </c>
      <c r="X409">
        <v>61.709299999999999</v>
      </c>
    </row>
    <row r="410" spans="1:24" x14ac:dyDescent="0.2">
      <c r="A410" t="s">
        <v>32</v>
      </c>
      <c r="B410" t="s">
        <v>3</v>
      </c>
      <c r="C410" t="s">
        <v>8</v>
      </c>
      <c r="D410">
        <v>2</v>
      </c>
      <c r="E410">
        <v>97</v>
      </c>
      <c r="F410">
        <v>21.8</v>
      </c>
      <c r="G410">
        <v>1.3</v>
      </c>
      <c r="H410">
        <v>188</v>
      </c>
      <c r="I410">
        <v>13.5</v>
      </c>
      <c r="J410">
        <v>23</v>
      </c>
      <c r="K410">
        <v>85</v>
      </c>
      <c r="L410" t="s">
        <v>24</v>
      </c>
      <c r="M410" s="4">
        <v>506000000000000</v>
      </c>
      <c r="N410" s="4">
        <v>838000000000000</v>
      </c>
      <c r="O410" s="4">
        <v>1340000000000000</v>
      </c>
      <c r="P410">
        <v>70.900000000000006</v>
      </c>
      <c r="Q410">
        <v>0.79865771799999996</v>
      </c>
      <c r="R410">
        <v>0.20134228200000001</v>
      </c>
      <c r="S410">
        <v>21.852521070000002</v>
      </c>
      <c r="T410">
        <v>5.5090389259999997</v>
      </c>
      <c r="U410">
        <v>29.6084</v>
      </c>
      <c r="V410">
        <v>77.886499999999998</v>
      </c>
      <c r="W410">
        <v>32.810299999999998</v>
      </c>
      <c r="X410">
        <v>77.413399999999996</v>
      </c>
    </row>
    <row r="411" spans="1:24" x14ac:dyDescent="0.2">
      <c r="A411" t="s">
        <v>32</v>
      </c>
      <c r="B411" t="s">
        <v>3</v>
      </c>
      <c r="C411" t="s">
        <v>15</v>
      </c>
      <c r="D411">
        <v>3</v>
      </c>
      <c r="E411">
        <v>145</v>
      </c>
      <c r="F411">
        <v>0.4</v>
      </c>
      <c r="G411">
        <v>0</v>
      </c>
      <c r="H411">
        <v>6</v>
      </c>
      <c r="I411">
        <v>15.3</v>
      </c>
      <c r="J411">
        <v>23</v>
      </c>
      <c r="K411">
        <v>85</v>
      </c>
      <c r="L411" t="s">
        <v>24</v>
      </c>
      <c r="M411" s="4">
        <v>198000000000000</v>
      </c>
      <c r="N411" s="4">
        <v>201000000000000</v>
      </c>
      <c r="O411" s="4">
        <v>399000000000000</v>
      </c>
      <c r="P411">
        <v>12.8</v>
      </c>
      <c r="Q411">
        <v>0.78947368399999995</v>
      </c>
      <c r="R411">
        <v>0.21052631599999999</v>
      </c>
      <c r="S411">
        <v>2.9851294739999998</v>
      </c>
      <c r="T411">
        <v>0.79603452600000002</v>
      </c>
      <c r="U411">
        <v>21.4224</v>
      </c>
      <c r="V411">
        <v>62.63</v>
      </c>
      <c r="W411">
        <v>24.531700000000001</v>
      </c>
      <c r="X411">
        <v>59.610700000000001</v>
      </c>
    </row>
    <row r="412" spans="1:24" x14ac:dyDescent="0.2">
      <c r="A412" t="s">
        <v>32</v>
      </c>
      <c r="B412" t="s">
        <v>3</v>
      </c>
      <c r="C412" t="s">
        <v>15</v>
      </c>
      <c r="D412">
        <v>3</v>
      </c>
      <c r="E412">
        <v>125</v>
      </c>
      <c r="F412">
        <v>0.4</v>
      </c>
      <c r="G412">
        <v>0</v>
      </c>
      <c r="H412">
        <v>6</v>
      </c>
      <c r="I412">
        <v>15.3</v>
      </c>
      <c r="J412">
        <v>24</v>
      </c>
      <c r="K412">
        <v>85</v>
      </c>
      <c r="L412" t="s">
        <v>24</v>
      </c>
      <c r="M412" s="4">
        <v>204000000000000</v>
      </c>
      <c r="N412" s="4">
        <v>229000000000000</v>
      </c>
      <c r="O412" s="4">
        <v>432000000000000</v>
      </c>
      <c r="P412">
        <v>12.7</v>
      </c>
      <c r="Q412">
        <v>0.79591836699999996</v>
      </c>
      <c r="R412">
        <v>0.20408163300000001</v>
      </c>
      <c r="S412">
        <v>2.9334144489999998</v>
      </c>
      <c r="T412">
        <v>0.75215755100000004</v>
      </c>
      <c r="U412">
        <v>23.622299999999999</v>
      </c>
      <c r="V412">
        <v>61.892400000000002</v>
      </c>
      <c r="W412">
        <v>24.7395</v>
      </c>
      <c r="X412">
        <v>59.305399999999999</v>
      </c>
    </row>
    <row r="413" spans="1:24" x14ac:dyDescent="0.2">
      <c r="A413" t="s">
        <v>32</v>
      </c>
      <c r="B413" t="s">
        <v>3</v>
      </c>
      <c r="C413" t="s">
        <v>8</v>
      </c>
      <c r="D413">
        <v>2</v>
      </c>
      <c r="E413">
        <v>150</v>
      </c>
      <c r="F413">
        <v>21.8</v>
      </c>
      <c r="G413">
        <v>1.3</v>
      </c>
      <c r="H413">
        <v>188</v>
      </c>
      <c r="I413">
        <v>13.5</v>
      </c>
      <c r="J413">
        <v>13</v>
      </c>
      <c r="K413">
        <v>85</v>
      </c>
      <c r="L413" t="s">
        <v>24</v>
      </c>
      <c r="M413" s="4">
        <v>605000000000000</v>
      </c>
      <c r="N413" s="4">
        <v>1940000000000000</v>
      </c>
      <c r="O413" s="4">
        <v>2540000000000000</v>
      </c>
      <c r="P413">
        <v>92.8</v>
      </c>
      <c r="Q413">
        <v>0.77435897399999998</v>
      </c>
      <c r="R413">
        <v>0.22564102599999999</v>
      </c>
      <c r="S413">
        <v>36.519140919999998</v>
      </c>
      <c r="T413">
        <v>10.64133908</v>
      </c>
      <c r="U413">
        <v>15.182600000000001</v>
      </c>
      <c r="V413">
        <v>75.785200000000003</v>
      </c>
      <c r="W413">
        <v>29.077300000000001</v>
      </c>
      <c r="X413">
        <v>75.6648</v>
      </c>
    </row>
    <row r="414" spans="1:24" x14ac:dyDescent="0.2">
      <c r="A414" t="s">
        <v>32</v>
      </c>
      <c r="B414" t="s">
        <v>3</v>
      </c>
      <c r="C414" t="s">
        <v>17</v>
      </c>
      <c r="D414">
        <v>3</v>
      </c>
      <c r="E414">
        <v>170</v>
      </c>
      <c r="F414">
        <v>1.4</v>
      </c>
      <c r="G414">
        <v>0</v>
      </c>
      <c r="H414">
        <v>4</v>
      </c>
      <c r="I414">
        <v>15</v>
      </c>
      <c r="J414">
        <v>14</v>
      </c>
      <c r="K414">
        <v>85</v>
      </c>
      <c r="L414" t="s">
        <v>24</v>
      </c>
      <c r="M414" s="4">
        <v>231000000000000</v>
      </c>
      <c r="N414" s="4">
        <v>232000000000000</v>
      </c>
      <c r="O414" s="4">
        <v>463000000000000</v>
      </c>
      <c r="P414">
        <v>16.5</v>
      </c>
      <c r="Q414">
        <v>0.75524475499999999</v>
      </c>
      <c r="R414">
        <v>0.24475524500000001</v>
      </c>
      <c r="S414">
        <v>4.8860287549999999</v>
      </c>
      <c r="T414">
        <v>1.583435245</v>
      </c>
      <c r="U414">
        <v>23.253900000000002</v>
      </c>
      <c r="V414">
        <v>73.5411</v>
      </c>
      <c r="W414">
        <v>24.585000000000001</v>
      </c>
      <c r="X414">
        <v>59.1526</v>
      </c>
    </row>
    <row r="415" spans="1:24" x14ac:dyDescent="0.2">
      <c r="A415" t="s">
        <v>32</v>
      </c>
      <c r="B415" t="s">
        <v>3</v>
      </c>
      <c r="C415" t="s">
        <v>17</v>
      </c>
      <c r="D415">
        <v>3</v>
      </c>
      <c r="E415">
        <v>200</v>
      </c>
      <c r="F415">
        <v>1.4</v>
      </c>
      <c r="G415">
        <v>0</v>
      </c>
      <c r="H415">
        <v>4</v>
      </c>
      <c r="I415">
        <v>15</v>
      </c>
      <c r="J415">
        <v>14</v>
      </c>
      <c r="K415">
        <v>85</v>
      </c>
      <c r="L415" t="s">
        <v>24</v>
      </c>
      <c r="M415" s="4">
        <v>249000000000000</v>
      </c>
      <c r="N415" s="4">
        <v>236000000000000</v>
      </c>
      <c r="O415" s="4">
        <v>485000000000000</v>
      </c>
      <c r="P415">
        <v>18</v>
      </c>
      <c r="Q415">
        <v>0.72903225800000004</v>
      </c>
      <c r="R415">
        <v>0.27096774200000001</v>
      </c>
      <c r="S415">
        <v>4.9159111739999997</v>
      </c>
      <c r="T415">
        <v>1.8271528260000001</v>
      </c>
      <c r="U415">
        <v>23.7041</v>
      </c>
      <c r="V415">
        <v>72.209900000000005</v>
      </c>
      <c r="W415">
        <v>24.9069</v>
      </c>
      <c r="X415">
        <v>59.318399999999997</v>
      </c>
    </row>
    <row r="416" spans="1:24" x14ac:dyDescent="0.2">
      <c r="A416" t="s">
        <v>32</v>
      </c>
      <c r="B416" t="s">
        <v>3</v>
      </c>
      <c r="C416" t="s">
        <v>18</v>
      </c>
      <c r="D416">
        <v>3</v>
      </c>
      <c r="E416">
        <v>110</v>
      </c>
      <c r="F416">
        <v>10.199999999999999</v>
      </c>
      <c r="G416">
        <v>0.65</v>
      </c>
      <c r="H416">
        <v>276</v>
      </c>
      <c r="I416">
        <v>14.4</v>
      </c>
      <c r="J416">
        <v>23</v>
      </c>
      <c r="K416">
        <v>85</v>
      </c>
      <c r="L416" t="s">
        <v>24</v>
      </c>
      <c r="M416" s="4">
        <v>430000000000000</v>
      </c>
      <c r="N416" s="4">
        <v>1160000000000000</v>
      </c>
      <c r="O416" s="4">
        <v>1590000000000000</v>
      </c>
      <c r="P416">
        <v>45</v>
      </c>
      <c r="Q416">
        <v>0.74074074099999998</v>
      </c>
      <c r="R416">
        <v>0.25925925900000002</v>
      </c>
      <c r="S416">
        <v>17.84764444</v>
      </c>
      <c r="T416">
        <v>6.2466755559999996</v>
      </c>
      <c r="U416">
        <v>14.654400000000001</v>
      </c>
      <c r="V416">
        <v>69.109200000000001</v>
      </c>
      <c r="W416">
        <v>27.192499999999999</v>
      </c>
      <c r="X416">
        <v>68.365200000000002</v>
      </c>
    </row>
    <row r="417" spans="1:24" x14ac:dyDescent="0.2">
      <c r="A417" t="s">
        <v>32</v>
      </c>
      <c r="B417" t="s">
        <v>3</v>
      </c>
      <c r="C417" t="s">
        <v>8</v>
      </c>
      <c r="D417">
        <v>2</v>
      </c>
      <c r="E417">
        <v>148</v>
      </c>
      <c r="F417">
        <v>21.8</v>
      </c>
      <c r="G417">
        <v>1.3</v>
      </c>
      <c r="H417">
        <v>188</v>
      </c>
      <c r="I417">
        <v>13.5</v>
      </c>
      <c r="J417">
        <v>14</v>
      </c>
      <c r="K417">
        <v>85</v>
      </c>
      <c r="L417" t="s">
        <v>24</v>
      </c>
      <c r="M417" s="4">
        <v>568000000000000</v>
      </c>
      <c r="N417" s="4">
        <v>1740000000000000</v>
      </c>
      <c r="O417" s="4">
        <v>2300000000000000</v>
      </c>
      <c r="P417">
        <v>72.5</v>
      </c>
      <c r="Q417">
        <v>0.87074829899999995</v>
      </c>
      <c r="R417">
        <v>0.129251701</v>
      </c>
      <c r="S417">
        <v>30.284591020000001</v>
      </c>
      <c r="T417">
        <v>4.4953689800000003</v>
      </c>
      <c r="U417">
        <v>16.489799999999999</v>
      </c>
      <c r="V417">
        <v>75.907899999999998</v>
      </c>
      <c r="W417">
        <v>29.898800000000001</v>
      </c>
      <c r="X417">
        <v>77.658299999999997</v>
      </c>
    </row>
    <row r="418" spans="1:24" x14ac:dyDescent="0.2">
      <c r="A418" t="s">
        <v>32</v>
      </c>
      <c r="B418" t="s">
        <v>3</v>
      </c>
      <c r="C418" t="s">
        <v>16</v>
      </c>
      <c r="D418">
        <v>3</v>
      </c>
      <c r="E418">
        <v>170</v>
      </c>
      <c r="F418">
        <v>2.1</v>
      </c>
      <c r="G418">
        <v>0</v>
      </c>
      <c r="H418">
        <v>1083</v>
      </c>
      <c r="I418">
        <v>15</v>
      </c>
      <c r="J418">
        <v>14</v>
      </c>
      <c r="K418">
        <v>85</v>
      </c>
      <c r="L418" t="s">
        <v>24</v>
      </c>
      <c r="M418" s="4">
        <v>254000000000000</v>
      </c>
      <c r="N418" s="4">
        <v>9980000000000000</v>
      </c>
      <c r="O418" s="4">
        <v>1.02E+16</v>
      </c>
      <c r="P418">
        <v>16</v>
      </c>
      <c r="Q418">
        <v>0.69343065699999995</v>
      </c>
      <c r="R418">
        <v>0.30656934299999999</v>
      </c>
      <c r="S418">
        <v>37.599596499999997</v>
      </c>
      <c r="T418">
        <v>16.6229795</v>
      </c>
      <c r="U418">
        <v>14.7966</v>
      </c>
      <c r="V418">
        <v>28.0732</v>
      </c>
      <c r="W418">
        <v>21.950199999999999</v>
      </c>
      <c r="X418">
        <v>61.116100000000003</v>
      </c>
    </row>
    <row r="419" spans="1:24" x14ac:dyDescent="0.2">
      <c r="A419" t="s">
        <v>32</v>
      </c>
      <c r="B419" t="s">
        <v>3</v>
      </c>
      <c r="C419" t="s">
        <v>16</v>
      </c>
      <c r="D419">
        <v>3</v>
      </c>
      <c r="E419">
        <v>150</v>
      </c>
      <c r="F419">
        <v>2.1</v>
      </c>
      <c r="G419">
        <v>0</v>
      </c>
      <c r="H419">
        <v>1083</v>
      </c>
      <c r="I419">
        <v>15</v>
      </c>
      <c r="J419">
        <v>16</v>
      </c>
      <c r="K419">
        <v>85</v>
      </c>
      <c r="L419" t="s">
        <v>24</v>
      </c>
      <c r="M419" s="4">
        <v>252000000000000</v>
      </c>
      <c r="N419" s="4">
        <v>1.04E+16</v>
      </c>
      <c r="O419" s="4">
        <v>1.06E+16</v>
      </c>
      <c r="P419">
        <v>16.600000000000001</v>
      </c>
      <c r="Q419">
        <v>0.70700636900000002</v>
      </c>
      <c r="R419">
        <v>0.29299363099999998</v>
      </c>
      <c r="S419">
        <v>43.894312280000001</v>
      </c>
      <c r="T419">
        <v>18.19043572</v>
      </c>
      <c r="U419">
        <v>14.388299999999999</v>
      </c>
      <c r="V419">
        <v>27.6707</v>
      </c>
      <c r="W419">
        <v>21.971900000000002</v>
      </c>
      <c r="X419">
        <v>65.3874</v>
      </c>
    </row>
    <row r="420" spans="1:24" x14ac:dyDescent="0.2">
      <c r="A420" t="s">
        <v>32</v>
      </c>
      <c r="B420" t="s">
        <v>3</v>
      </c>
      <c r="C420" t="s">
        <v>18</v>
      </c>
      <c r="D420">
        <v>3</v>
      </c>
      <c r="E420">
        <v>80</v>
      </c>
      <c r="F420">
        <v>10.199999999999999</v>
      </c>
      <c r="G420">
        <v>0.65</v>
      </c>
      <c r="H420">
        <v>276</v>
      </c>
      <c r="I420">
        <v>14.4</v>
      </c>
      <c r="J420">
        <v>25</v>
      </c>
      <c r="K420">
        <v>85</v>
      </c>
      <c r="L420" t="s">
        <v>24</v>
      </c>
      <c r="M420" s="4">
        <v>447000000000000</v>
      </c>
      <c r="N420" s="4">
        <v>1290000000000000</v>
      </c>
      <c r="O420" s="4">
        <v>1740000000000000</v>
      </c>
      <c r="P420">
        <v>51.4</v>
      </c>
      <c r="Q420" t="s">
        <v>24</v>
      </c>
      <c r="R420" t="s">
        <v>24</v>
      </c>
      <c r="S420" t="s">
        <v>24</v>
      </c>
      <c r="T420" t="s">
        <v>24</v>
      </c>
      <c r="U420">
        <v>13.635899999999999</v>
      </c>
      <c r="V420">
        <v>68.112799999999993</v>
      </c>
      <c r="W420">
        <v>27.347100000000001</v>
      </c>
      <c r="X420">
        <v>68.943299999999994</v>
      </c>
    </row>
    <row r="421" spans="1:24" x14ac:dyDescent="0.2">
      <c r="A421" t="s">
        <v>32</v>
      </c>
      <c r="B421" t="s">
        <v>3</v>
      </c>
      <c r="C421" t="s">
        <v>18</v>
      </c>
      <c r="D421">
        <v>2</v>
      </c>
      <c r="E421">
        <v>100</v>
      </c>
      <c r="F421">
        <v>10.199999999999999</v>
      </c>
      <c r="G421">
        <v>0.65</v>
      </c>
      <c r="H421">
        <v>276</v>
      </c>
      <c r="I421">
        <v>14.4</v>
      </c>
      <c r="J421">
        <v>25</v>
      </c>
      <c r="K421">
        <v>85</v>
      </c>
      <c r="L421" t="s">
        <v>24</v>
      </c>
      <c r="M421" s="4">
        <v>403000000000000</v>
      </c>
      <c r="N421" s="4">
        <v>1750000000000000</v>
      </c>
      <c r="O421" s="4">
        <v>2150000000000000</v>
      </c>
      <c r="P421">
        <v>51.9</v>
      </c>
      <c r="Q421" t="s">
        <v>24</v>
      </c>
      <c r="R421" t="s">
        <v>24</v>
      </c>
      <c r="S421" t="s">
        <v>24</v>
      </c>
      <c r="T421" t="s">
        <v>24</v>
      </c>
      <c r="U421">
        <v>13.338100000000001</v>
      </c>
      <c r="V421">
        <v>70.015600000000006</v>
      </c>
      <c r="W421">
        <v>28.427600000000002</v>
      </c>
      <c r="X421">
        <v>73.961299999999994</v>
      </c>
    </row>
    <row r="422" spans="1:24" x14ac:dyDescent="0.2">
      <c r="A422" t="s">
        <v>32</v>
      </c>
      <c r="B422" t="s">
        <v>3</v>
      </c>
      <c r="C422" t="s">
        <v>8</v>
      </c>
      <c r="D422">
        <v>2</v>
      </c>
      <c r="E422">
        <v>140</v>
      </c>
      <c r="F422">
        <v>21.8</v>
      </c>
      <c r="G422">
        <v>1.3</v>
      </c>
      <c r="H422">
        <v>188</v>
      </c>
      <c r="I422">
        <v>13.5</v>
      </c>
      <c r="J422">
        <v>29</v>
      </c>
      <c r="K422">
        <v>85</v>
      </c>
      <c r="L422" t="s">
        <v>24</v>
      </c>
      <c r="M422" s="4">
        <v>350000000000000</v>
      </c>
      <c r="N422" s="4">
        <v>877000000000000</v>
      </c>
      <c r="O422" s="4">
        <v>1230000000000000</v>
      </c>
      <c r="P422">
        <v>35.200000000000003</v>
      </c>
      <c r="Q422">
        <v>0.93103448300000002</v>
      </c>
      <c r="R422">
        <v>6.8965517000000004E-2</v>
      </c>
      <c r="S422" t="s">
        <v>24</v>
      </c>
      <c r="T422" t="s">
        <v>24</v>
      </c>
      <c r="U422">
        <v>16.213799999999999</v>
      </c>
      <c r="V422">
        <v>67.136899999999997</v>
      </c>
      <c r="W422" t="s">
        <v>24</v>
      </c>
      <c r="X422" t="s">
        <v>24</v>
      </c>
    </row>
    <row r="423" spans="1:24" x14ac:dyDescent="0.2">
      <c r="A423" t="s">
        <v>32</v>
      </c>
      <c r="B423" t="s">
        <v>3</v>
      </c>
      <c r="C423" t="s">
        <v>8</v>
      </c>
      <c r="D423">
        <v>3</v>
      </c>
      <c r="E423">
        <v>120</v>
      </c>
      <c r="F423">
        <v>21.8</v>
      </c>
      <c r="G423">
        <v>1.3</v>
      </c>
      <c r="H423">
        <v>188</v>
      </c>
      <c r="I423">
        <v>13.5</v>
      </c>
      <c r="J423">
        <v>30</v>
      </c>
      <c r="K423">
        <v>85</v>
      </c>
      <c r="L423" t="s">
        <v>24</v>
      </c>
      <c r="M423" s="4">
        <v>545000000000000</v>
      </c>
      <c r="N423" s="4">
        <v>516000000000000</v>
      </c>
      <c r="O423" s="4">
        <v>1060000000000000</v>
      </c>
      <c r="P423">
        <v>64.400000000000006</v>
      </c>
      <c r="Q423">
        <v>0.87096774200000004</v>
      </c>
      <c r="R423">
        <v>0.12903225800000001</v>
      </c>
      <c r="S423" t="s">
        <v>24</v>
      </c>
      <c r="T423" t="s">
        <v>24</v>
      </c>
      <c r="U423">
        <v>28.153400000000001</v>
      </c>
      <c r="V423">
        <v>72.835599999999999</v>
      </c>
      <c r="W423" t="s">
        <v>24</v>
      </c>
      <c r="X423" t="s">
        <v>24</v>
      </c>
    </row>
    <row r="424" spans="1:24" x14ac:dyDescent="0.2">
      <c r="A424" t="s">
        <v>32</v>
      </c>
      <c r="B424" t="s">
        <v>4</v>
      </c>
      <c r="C424" t="s">
        <v>19</v>
      </c>
      <c r="D424">
        <v>2</v>
      </c>
      <c r="E424">
        <v>360</v>
      </c>
      <c r="F424">
        <v>8</v>
      </c>
      <c r="G424">
        <v>0.9</v>
      </c>
      <c r="H424">
        <v>500</v>
      </c>
      <c r="I424">
        <v>14.4</v>
      </c>
      <c r="J424">
        <v>18.13</v>
      </c>
      <c r="K424">
        <v>85</v>
      </c>
      <c r="L424">
        <v>0.76300000000000001</v>
      </c>
      <c r="M424" s="4">
        <v>1310000000000000</v>
      </c>
      <c r="N424" s="4">
        <v>7790000000000000</v>
      </c>
      <c r="O424" s="4">
        <v>9100000000000000</v>
      </c>
      <c r="P424">
        <v>81.12</v>
      </c>
      <c r="Q424">
        <v>0.78115345000000003</v>
      </c>
      <c r="R424">
        <v>0.21884655</v>
      </c>
      <c r="S424">
        <v>21.032556639999999</v>
      </c>
      <c r="T424">
        <v>5.8924433570000003</v>
      </c>
      <c r="U424">
        <v>12.619300000000001</v>
      </c>
      <c r="V424">
        <v>53.1875</v>
      </c>
      <c r="W424">
        <v>23.3916</v>
      </c>
      <c r="X424">
        <v>65.421300000000002</v>
      </c>
    </row>
    <row r="425" spans="1:24" x14ac:dyDescent="0.2">
      <c r="A425" t="s">
        <v>32</v>
      </c>
      <c r="B425" t="s">
        <v>4</v>
      </c>
      <c r="C425" t="s">
        <v>8</v>
      </c>
      <c r="D425">
        <v>2</v>
      </c>
      <c r="E425">
        <v>480</v>
      </c>
      <c r="F425">
        <v>16</v>
      </c>
      <c r="G425">
        <v>1.4</v>
      </c>
      <c r="H425">
        <v>800</v>
      </c>
      <c r="I425">
        <v>13.9</v>
      </c>
      <c r="J425">
        <v>16.809999999999999</v>
      </c>
      <c r="K425">
        <v>85</v>
      </c>
      <c r="L425">
        <v>0.75700000000000001</v>
      </c>
      <c r="M425" s="4">
        <v>1210000000000000</v>
      </c>
      <c r="N425" s="4">
        <v>1.06E+16</v>
      </c>
      <c r="O425" s="4">
        <v>1.18E+16</v>
      </c>
      <c r="P425">
        <v>117.71</v>
      </c>
      <c r="Q425">
        <v>0.71199727300000004</v>
      </c>
      <c r="R425">
        <v>0.28800272700000001</v>
      </c>
      <c r="S425">
        <v>44.458790059999998</v>
      </c>
      <c r="T425">
        <v>17.983569939999999</v>
      </c>
      <c r="U425">
        <v>13.6364</v>
      </c>
      <c r="V425">
        <v>51.158700000000003</v>
      </c>
      <c r="W425">
        <v>21.003299999999999</v>
      </c>
      <c r="X425">
        <v>71.578500000000005</v>
      </c>
    </row>
    <row r="426" spans="1:24" x14ac:dyDescent="0.2">
      <c r="A426" t="s">
        <v>32</v>
      </c>
      <c r="B426" t="s">
        <v>4</v>
      </c>
      <c r="C426" t="s">
        <v>19</v>
      </c>
      <c r="D426">
        <v>3</v>
      </c>
      <c r="E426">
        <v>360</v>
      </c>
      <c r="F426">
        <v>8</v>
      </c>
      <c r="G426">
        <v>0.9</v>
      </c>
      <c r="H426">
        <v>500</v>
      </c>
      <c r="I426">
        <v>14.4</v>
      </c>
      <c r="J426">
        <v>17.05</v>
      </c>
      <c r="K426">
        <v>85</v>
      </c>
      <c r="L426">
        <v>0.76400000000000001</v>
      </c>
      <c r="M426" s="4">
        <v>1420000000000000</v>
      </c>
      <c r="N426" s="4">
        <v>2640000000000000</v>
      </c>
      <c r="O426" s="4">
        <v>4060000000000000</v>
      </c>
      <c r="P426">
        <v>40.395299999999999</v>
      </c>
      <c r="Q426">
        <v>0.87863843900000005</v>
      </c>
      <c r="R426">
        <v>0.12136156100000001</v>
      </c>
      <c r="S426">
        <v>15.74124344</v>
      </c>
      <c r="T426">
        <v>2.1742525590000001</v>
      </c>
      <c r="U426">
        <v>14.601699999999999</v>
      </c>
      <c r="V426">
        <v>60.874600000000001</v>
      </c>
      <c r="W426">
        <v>14.3177</v>
      </c>
      <c r="X426">
        <v>60.8093</v>
      </c>
    </row>
    <row r="427" spans="1:24" x14ac:dyDescent="0.2">
      <c r="A427" t="s">
        <v>32</v>
      </c>
      <c r="B427" t="s">
        <v>1</v>
      </c>
      <c r="C427" t="s">
        <v>8</v>
      </c>
      <c r="D427">
        <v>3</v>
      </c>
      <c r="E427">
        <v>26</v>
      </c>
      <c r="F427">
        <v>17.600000000000001</v>
      </c>
      <c r="G427">
        <v>0.93</v>
      </c>
      <c r="H427">
        <v>383</v>
      </c>
      <c r="I427">
        <v>13.69</v>
      </c>
      <c r="J427" t="s">
        <v>24</v>
      </c>
      <c r="K427">
        <v>100</v>
      </c>
      <c r="L427" t="s">
        <v>24</v>
      </c>
      <c r="M427" s="4">
        <v>535000000000000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  <c r="W427" t="s">
        <v>24</v>
      </c>
      <c r="X427" t="s">
        <v>24</v>
      </c>
    </row>
    <row r="428" spans="1:24" x14ac:dyDescent="0.2">
      <c r="A428" t="s">
        <v>32</v>
      </c>
      <c r="B428" t="s">
        <v>1</v>
      </c>
      <c r="C428" t="s">
        <v>8</v>
      </c>
      <c r="D428">
        <v>3</v>
      </c>
      <c r="E428">
        <v>53</v>
      </c>
      <c r="F428">
        <v>17.600000000000001</v>
      </c>
      <c r="G428">
        <v>0.93</v>
      </c>
      <c r="H428">
        <v>383</v>
      </c>
      <c r="I428">
        <v>13.69</v>
      </c>
      <c r="J428">
        <v>33</v>
      </c>
      <c r="K428">
        <v>100</v>
      </c>
      <c r="L428">
        <v>0.79600000000000004</v>
      </c>
      <c r="M428" s="4">
        <v>276000000000000</v>
      </c>
      <c r="N428" s="4">
        <v>4080000000000000</v>
      </c>
      <c r="O428" s="4">
        <v>4360000000000000</v>
      </c>
      <c r="P428">
        <v>78.900000000000006</v>
      </c>
      <c r="Q428" t="s">
        <v>24</v>
      </c>
      <c r="R428" t="s">
        <v>24</v>
      </c>
      <c r="S428" t="s">
        <v>24</v>
      </c>
      <c r="T428" t="s">
        <v>24</v>
      </c>
      <c r="U428">
        <v>19.113489999999999</v>
      </c>
      <c r="V428">
        <v>75.427859999999995</v>
      </c>
      <c r="W428">
        <v>18.760680000000001</v>
      </c>
      <c r="X428">
        <v>81.517169999999993</v>
      </c>
    </row>
    <row r="429" spans="1:24" x14ac:dyDescent="0.2">
      <c r="A429" t="s">
        <v>32</v>
      </c>
      <c r="B429" t="s">
        <v>1</v>
      </c>
      <c r="C429" t="s">
        <v>8</v>
      </c>
      <c r="D429">
        <v>3</v>
      </c>
      <c r="E429">
        <v>73</v>
      </c>
      <c r="F429">
        <v>17.600000000000001</v>
      </c>
      <c r="G429">
        <v>0.93</v>
      </c>
      <c r="H429">
        <v>383</v>
      </c>
      <c r="I429">
        <v>13.69</v>
      </c>
      <c r="J429">
        <v>24</v>
      </c>
      <c r="K429">
        <v>100</v>
      </c>
      <c r="L429">
        <v>0.871</v>
      </c>
      <c r="M429" s="4">
        <v>465000000000000</v>
      </c>
      <c r="N429" s="4">
        <v>6900000000000000</v>
      </c>
      <c r="O429" s="4">
        <v>7360000000000000</v>
      </c>
      <c r="P429">
        <v>128.69999999999999</v>
      </c>
      <c r="Q429" t="s">
        <v>24</v>
      </c>
      <c r="R429" t="s">
        <v>24</v>
      </c>
      <c r="S429" t="s">
        <v>24</v>
      </c>
      <c r="T429" t="s">
        <v>24</v>
      </c>
      <c r="U429">
        <v>13.617175</v>
      </c>
      <c r="V429">
        <v>67.559635</v>
      </c>
      <c r="W429">
        <v>22.520534999999999</v>
      </c>
      <c r="X429">
        <v>77.481425000000002</v>
      </c>
    </row>
    <row r="430" spans="1:24" x14ac:dyDescent="0.2">
      <c r="A430" t="s">
        <v>32</v>
      </c>
      <c r="B430" t="s">
        <v>1</v>
      </c>
      <c r="C430" t="s">
        <v>8</v>
      </c>
      <c r="D430">
        <v>3</v>
      </c>
      <c r="E430">
        <v>129</v>
      </c>
      <c r="F430">
        <v>17.600000000000001</v>
      </c>
      <c r="G430">
        <v>0.93</v>
      </c>
      <c r="H430">
        <v>383</v>
      </c>
      <c r="I430">
        <v>13.69</v>
      </c>
      <c r="J430">
        <v>33</v>
      </c>
      <c r="K430">
        <v>100</v>
      </c>
      <c r="L430">
        <v>0.80600000000000005</v>
      </c>
      <c r="M430" s="4">
        <v>374000000000000</v>
      </c>
      <c r="N430" s="4">
        <v>2340000000000000</v>
      </c>
      <c r="O430" s="4">
        <v>2710000000000000</v>
      </c>
      <c r="P430">
        <v>95.7</v>
      </c>
      <c r="Q430">
        <v>0.73</v>
      </c>
      <c r="R430">
        <v>0.27</v>
      </c>
      <c r="S430">
        <v>54.296312669999999</v>
      </c>
      <c r="T430">
        <v>20.130861360000001</v>
      </c>
      <c r="U430">
        <v>19.353455</v>
      </c>
      <c r="V430">
        <v>74.207445000000007</v>
      </c>
      <c r="W430">
        <v>24.753025000000001</v>
      </c>
      <c r="X430">
        <v>76.565640000000002</v>
      </c>
    </row>
    <row r="431" spans="1:24" x14ac:dyDescent="0.2">
      <c r="A431" t="s">
        <v>32</v>
      </c>
      <c r="B431" t="s">
        <v>1</v>
      </c>
      <c r="C431" t="s">
        <v>8</v>
      </c>
      <c r="D431">
        <v>3</v>
      </c>
      <c r="E431">
        <v>61</v>
      </c>
      <c r="F431">
        <v>17.600000000000001</v>
      </c>
      <c r="G431">
        <v>0.93</v>
      </c>
      <c r="H431">
        <v>383</v>
      </c>
      <c r="I431">
        <v>13.69</v>
      </c>
      <c r="J431">
        <v>23</v>
      </c>
      <c r="K431">
        <v>100</v>
      </c>
      <c r="L431">
        <v>0.84799999999999998</v>
      </c>
      <c r="M431" s="4">
        <v>425000000000000</v>
      </c>
      <c r="N431" s="4">
        <v>9710000000000000</v>
      </c>
      <c r="O431" s="4">
        <v>1.01E+16</v>
      </c>
      <c r="P431">
        <v>31.7</v>
      </c>
      <c r="Q431" t="s">
        <v>24</v>
      </c>
      <c r="R431" t="s">
        <v>24</v>
      </c>
      <c r="S431" t="s">
        <v>24</v>
      </c>
      <c r="T431" t="s">
        <v>24</v>
      </c>
      <c r="U431">
        <v>12.5175</v>
      </c>
      <c r="V431">
        <v>56.94023</v>
      </c>
      <c r="W431">
        <v>29.433949999999999</v>
      </c>
      <c r="X431">
        <v>76.636160000000004</v>
      </c>
    </row>
    <row r="432" spans="1:24" x14ac:dyDescent="0.2">
      <c r="A432" t="s">
        <v>32</v>
      </c>
      <c r="B432" t="s">
        <v>1</v>
      </c>
      <c r="C432" t="s">
        <v>9</v>
      </c>
      <c r="D432">
        <v>3</v>
      </c>
      <c r="E432">
        <v>130</v>
      </c>
      <c r="F432">
        <v>17.3</v>
      </c>
      <c r="G432">
        <v>1.31</v>
      </c>
      <c r="H432">
        <v>1595</v>
      </c>
      <c r="I432">
        <v>13.67</v>
      </c>
      <c r="J432">
        <v>34</v>
      </c>
      <c r="K432">
        <v>100</v>
      </c>
      <c r="L432">
        <v>0.83799999999999997</v>
      </c>
      <c r="M432" s="4">
        <v>482000000000000</v>
      </c>
      <c r="N432" s="4">
        <v>5140000000000000</v>
      </c>
      <c r="O432" s="4">
        <v>5620000000000000</v>
      </c>
      <c r="P432">
        <v>102.7</v>
      </c>
      <c r="Q432">
        <v>0.55700000000000005</v>
      </c>
      <c r="R432">
        <v>0.443</v>
      </c>
      <c r="S432">
        <v>53.939990010000002</v>
      </c>
      <c r="T432">
        <v>42.872179010000004</v>
      </c>
      <c r="U432">
        <v>15.246536669999999</v>
      </c>
      <c r="V432">
        <v>67.263196669999999</v>
      </c>
      <c r="W432">
        <v>21.585486670000002</v>
      </c>
      <c r="X432">
        <v>76.675799999999995</v>
      </c>
    </row>
    <row r="433" spans="1:24" x14ac:dyDescent="0.2">
      <c r="A433" t="s">
        <v>32</v>
      </c>
      <c r="B433" t="s">
        <v>1</v>
      </c>
      <c r="C433" t="s">
        <v>9</v>
      </c>
      <c r="D433">
        <v>3</v>
      </c>
      <c r="E433">
        <v>98</v>
      </c>
      <c r="F433">
        <v>17.3</v>
      </c>
      <c r="G433">
        <v>1.31</v>
      </c>
      <c r="H433">
        <v>1595</v>
      </c>
      <c r="I433">
        <v>13.67</v>
      </c>
      <c r="J433">
        <v>25</v>
      </c>
      <c r="K433">
        <v>100</v>
      </c>
      <c r="L433">
        <v>0.83499999999999996</v>
      </c>
      <c r="M433" s="4">
        <v>678000000000000</v>
      </c>
      <c r="N433" s="4">
        <v>2.01E+16</v>
      </c>
      <c r="O433" s="4">
        <v>2.07E+16</v>
      </c>
      <c r="P433">
        <v>109.3</v>
      </c>
      <c r="Q433">
        <v>0.58799999999999997</v>
      </c>
      <c r="R433">
        <v>0.41199999999999998</v>
      </c>
      <c r="S433">
        <v>74.861356509999993</v>
      </c>
      <c r="T433">
        <v>52.416656119999999</v>
      </c>
      <c r="U433">
        <v>13.491044670000001</v>
      </c>
      <c r="V433">
        <v>43.481606669999998</v>
      </c>
      <c r="W433">
        <v>15.16128333</v>
      </c>
      <c r="X433">
        <v>70.55986</v>
      </c>
    </row>
    <row r="434" spans="1:24" x14ac:dyDescent="0.2">
      <c r="A434" t="s">
        <v>32</v>
      </c>
      <c r="B434" t="s">
        <v>1</v>
      </c>
      <c r="C434" t="s">
        <v>10</v>
      </c>
      <c r="D434">
        <v>3</v>
      </c>
      <c r="E434">
        <v>102</v>
      </c>
      <c r="F434">
        <v>21.8</v>
      </c>
      <c r="G434">
        <v>1.34</v>
      </c>
      <c r="H434">
        <v>530</v>
      </c>
      <c r="I434">
        <v>13.7</v>
      </c>
      <c r="J434">
        <v>29</v>
      </c>
      <c r="K434">
        <v>100</v>
      </c>
      <c r="L434">
        <v>0.82799999999999996</v>
      </c>
      <c r="M434" s="4">
        <v>391000000000000</v>
      </c>
      <c r="N434" s="4">
        <v>7260000000000000</v>
      </c>
      <c r="O434" s="4">
        <v>7650000000000000</v>
      </c>
      <c r="P434">
        <v>115.3</v>
      </c>
      <c r="Q434">
        <v>0.69199999999999995</v>
      </c>
      <c r="R434">
        <v>0.308</v>
      </c>
      <c r="S434">
        <v>49.831866949999998</v>
      </c>
      <c r="T434">
        <v>22.209234210000002</v>
      </c>
      <c r="U434">
        <v>12.595935000000001</v>
      </c>
      <c r="V434">
        <v>70.477279999999993</v>
      </c>
      <c r="W434">
        <v>23.515170000000001</v>
      </c>
      <c r="X434">
        <v>76.915914999999998</v>
      </c>
    </row>
    <row r="435" spans="1:24" x14ac:dyDescent="0.2">
      <c r="A435" t="s">
        <v>32</v>
      </c>
      <c r="B435" t="s">
        <v>1</v>
      </c>
      <c r="C435" t="s">
        <v>10</v>
      </c>
      <c r="D435">
        <v>3</v>
      </c>
      <c r="E435">
        <v>104</v>
      </c>
      <c r="F435">
        <v>21.8</v>
      </c>
      <c r="G435">
        <v>1.34</v>
      </c>
      <c r="H435">
        <v>530</v>
      </c>
      <c r="I435">
        <v>13.7</v>
      </c>
      <c r="J435">
        <v>22</v>
      </c>
      <c r="K435">
        <v>100</v>
      </c>
      <c r="L435">
        <v>0.85699999999999998</v>
      </c>
      <c r="M435" s="4">
        <v>970000000000000</v>
      </c>
      <c r="N435" s="4">
        <v>1.29E+16</v>
      </c>
      <c r="O435" s="4">
        <v>1.39E+16</v>
      </c>
      <c r="P435">
        <v>152.9</v>
      </c>
      <c r="Q435">
        <v>0.77800000000000002</v>
      </c>
      <c r="R435">
        <v>0.222</v>
      </c>
      <c r="S435">
        <v>86.558847409999998</v>
      </c>
      <c r="T435">
        <v>24.645689600000001</v>
      </c>
      <c r="U435">
        <v>14.161110000000001</v>
      </c>
      <c r="V435">
        <v>65.711375000000004</v>
      </c>
      <c r="W435">
        <v>19.517914999999999</v>
      </c>
      <c r="X435">
        <v>77.726500000000001</v>
      </c>
    </row>
    <row r="436" spans="1:24" x14ac:dyDescent="0.2">
      <c r="A436" t="s">
        <v>32</v>
      </c>
      <c r="B436" t="s">
        <v>1</v>
      </c>
      <c r="C436" t="s">
        <v>9</v>
      </c>
      <c r="D436">
        <v>3</v>
      </c>
      <c r="E436">
        <v>70</v>
      </c>
      <c r="F436">
        <v>17.3</v>
      </c>
      <c r="G436">
        <v>1.31</v>
      </c>
      <c r="H436">
        <v>1595</v>
      </c>
      <c r="I436">
        <v>13.67</v>
      </c>
      <c r="J436">
        <v>24</v>
      </c>
      <c r="K436">
        <v>100</v>
      </c>
      <c r="L436">
        <v>0.86299999999999999</v>
      </c>
      <c r="M436" s="4">
        <v>388000000000000</v>
      </c>
      <c r="N436" s="4">
        <v>2.05E+16</v>
      </c>
      <c r="O436" s="4">
        <v>2.09E+16</v>
      </c>
      <c r="P436">
        <v>108.2</v>
      </c>
      <c r="Q436" t="s">
        <v>24</v>
      </c>
      <c r="R436" t="s">
        <v>24</v>
      </c>
      <c r="S436" t="s">
        <v>24</v>
      </c>
      <c r="T436" t="s">
        <v>24</v>
      </c>
      <c r="U436">
        <v>14.44727</v>
      </c>
      <c r="V436">
        <v>53.77084</v>
      </c>
      <c r="W436">
        <v>30.862670000000001</v>
      </c>
      <c r="X436">
        <v>82.960710000000006</v>
      </c>
    </row>
    <row r="437" spans="1:24" x14ac:dyDescent="0.2">
      <c r="A437" t="s">
        <v>32</v>
      </c>
      <c r="B437" t="s">
        <v>2</v>
      </c>
      <c r="C437" t="s">
        <v>8</v>
      </c>
      <c r="D437">
        <v>3</v>
      </c>
      <c r="E437">
        <v>120</v>
      </c>
      <c r="F437">
        <v>18.600000000000001</v>
      </c>
      <c r="G437">
        <v>1.6</v>
      </c>
      <c r="H437">
        <v>1148</v>
      </c>
      <c r="I437">
        <v>13.6</v>
      </c>
      <c r="J437">
        <v>6</v>
      </c>
      <c r="K437">
        <v>100</v>
      </c>
      <c r="L437">
        <v>0.99</v>
      </c>
      <c r="M437" s="4">
        <v>580000000000000</v>
      </c>
      <c r="N437" s="4">
        <v>1.46E+16</v>
      </c>
      <c r="O437" s="4">
        <v>1.51E+16</v>
      </c>
      <c r="P437">
        <v>86.3</v>
      </c>
      <c r="Q437" t="s">
        <v>24</v>
      </c>
      <c r="R437" t="s">
        <v>24</v>
      </c>
      <c r="S437" t="s">
        <v>24</v>
      </c>
      <c r="T437" t="s">
        <v>24</v>
      </c>
      <c r="U437">
        <v>12.907299999999999</v>
      </c>
      <c r="V437">
        <v>59.921900000000001</v>
      </c>
      <c r="W437">
        <v>23.059000000000001</v>
      </c>
      <c r="X437">
        <v>104.922</v>
      </c>
    </row>
    <row r="438" spans="1:24" x14ac:dyDescent="0.2">
      <c r="A438" t="s">
        <v>32</v>
      </c>
      <c r="B438" t="s">
        <v>2</v>
      </c>
      <c r="C438" t="s">
        <v>8</v>
      </c>
      <c r="D438">
        <v>3</v>
      </c>
      <c r="E438">
        <v>132</v>
      </c>
      <c r="F438">
        <v>18.600000000000001</v>
      </c>
      <c r="G438">
        <v>1.6</v>
      </c>
      <c r="H438">
        <v>1148</v>
      </c>
      <c r="I438">
        <v>13.6</v>
      </c>
      <c r="J438">
        <v>9.9</v>
      </c>
      <c r="K438">
        <v>100</v>
      </c>
      <c r="L438">
        <v>1.0429999999999999</v>
      </c>
      <c r="M438" s="4">
        <v>1250000000000000</v>
      </c>
      <c r="N438" s="4">
        <v>1.62E+16</v>
      </c>
      <c r="O438" s="4">
        <v>1.74E+16</v>
      </c>
      <c r="P438">
        <v>246.4</v>
      </c>
      <c r="Q438">
        <v>0.55200000000000005</v>
      </c>
      <c r="R438">
        <v>0.44800000000000001</v>
      </c>
      <c r="S438">
        <v>86.144998009999995</v>
      </c>
      <c r="T438">
        <v>69.844201990000002</v>
      </c>
      <c r="U438">
        <v>14.2157</v>
      </c>
      <c r="V438">
        <v>76.125600000000006</v>
      </c>
      <c r="W438">
        <v>31.766999999999999</v>
      </c>
      <c r="X438">
        <v>104.548</v>
      </c>
    </row>
    <row r="439" spans="1:24" x14ac:dyDescent="0.2">
      <c r="A439" t="s">
        <v>32</v>
      </c>
      <c r="B439" t="s">
        <v>2</v>
      </c>
      <c r="C439" t="s">
        <v>8</v>
      </c>
      <c r="D439">
        <v>3</v>
      </c>
      <c r="E439">
        <v>118</v>
      </c>
      <c r="F439">
        <v>18.600000000000001</v>
      </c>
      <c r="G439">
        <v>1.6</v>
      </c>
      <c r="H439">
        <v>1148</v>
      </c>
      <c r="I439">
        <v>13.6</v>
      </c>
      <c r="J439">
        <v>0.9</v>
      </c>
      <c r="K439">
        <v>100</v>
      </c>
      <c r="L439">
        <v>0.996</v>
      </c>
      <c r="M439" s="4">
        <v>5000000000000000</v>
      </c>
      <c r="N439" s="4">
        <v>1.79E+16</v>
      </c>
      <c r="O439" s="4">
        <v>2.29E+16</v>
      </c>
      <c r="P439">
        <v>202.3</v>
      </c>
      <c r="Q439">
        <v>0.70299999999999996</v>
      </c>
      <c r="R439">
        <v>0.29699999999999999</v>
      </c>
      <c r="S439">
        <v>25.538075790000001</v>
      </c>
      <c r="T439">
        <v>10.808724209999999</v>
      </c>
      <c r="U439">
        <v>14.7484</v>
      </c>
      <c r="V439">
        <v>69.038899999999998</v>
      </c>
      <c r="W439">
        <v>14.5932</v>
      </c>
      <c r="X439">
        <v>81.914900000000003</v>
      </c>
    </row>
    <row r="440" spans="1:24" x14ac:dyDescent="0.2">
      <c r="A440" t="s">
        <v>32</v>
      </c>
      <c r="B440" t="s">
        <v>2</v>
      </c>
      <c r="C440" t="s">
        <v>12</v>
      </c>
      <c r="D440">
        <v>3</v>
      </c>
      <c r="E440">
        <v>120</v>
      </c>
      <c r="F440">
        <v>0</v>
      </c>
      <c r="G440">
        <v>0</v>
      </c>
      <c r="H440">
        <v>19</v>
      </c>
      <c r="I440">
        <v>15.5</v>
      </c>
      <c r="J440">
        <v>14.7</v>
      </c>
      <c r="K440">
        <v>100</v>
      </c>
      <c r="L440">
        <v>0.97099999999999997</v>
      </c>
      <c r="M440" s="4">
        <v>447000000000000</v>
      </c>
      <c r="N440" s="4">
        <v>608000000000000</v>
      </c>
      <c r="O440" s="4">
        <v>1060000000000000</v>
      </c>
      <c r="P440">
        <v>49.6</v>
      </c>
      <c r="Q440">
        <v>0.92200000000000004</v>
      </c>
      <c r="R440">
        <v>7.8E-2</v>
      </c>
      <c r="S440">
        <v>15.721884210000001</v>
      </c>
      <c r="T440">
        <v>1.333835791</v>
      </c>
      <c r="U440">
        <v>28.361899999999999</v>
      </c>
      <c r="V440">
        <v>70.740200000000002</v>
      </c>
      <c r="W440">
        <v>30.080400000000001</v>
      </c>
      <c r="X440">
        <v>74.405500000000004</v>
      </c>
    </row>
    <row r="441" spans="1:24" x14ac:dyDescent="0.2">
      <c r="A441" t="s">
        <v>32</v>
      </c>
      <c r="B441" t="s">
        <v>2</v>
      </c>
      <c r="C441" t="s">
        <v>12</v>
      </c>
      <c r="D441">
        <v>3</v>
      </c>
      <c r="E441">
        <v>120</v>
      </c>
      <c r="F441">
        <v>0</v>
      </c>
      <c r="G441">
        <v>0</v>
      </c>
      <c r="H441">
        <v>19</v>
      </c>
      <c r="I441">
        <v>15.5</v>
      </c>
      <c r="J441">
        <v>2.1</v>
      </c>
      <c r="K441">
        <v>100</v>
      </c>
      <c r="L441">
        <v>0.995</v>
      </c>
      <c r="M441" s="4">
        <v>497000000000000</v>
      </c>
      <c r="N441" s="4">
        <v>822000000000000</v>
      </c>
      <c r="O441" s="4">
        <v>1320000000000000</v>
      </c>
      <c r="P441">
        <v>52.4</v>
      </c>
      <c r="Q441">
        <v>0.874</v>
      </c>
      <c r="R441">
        <v>0.126</v>
      </c>
      <c r="S441">
        <v>16.648444810000001</v>
      </c>
      <c r="T441">
        <v>2.3973551940000002</v>
      </c>
      <c r="U441">
        <v>25.963100000000001</v>
      </c>
      <c r="V441">
        <v>67.159000000000006</v>
      </c>
      <c r="W441">
        <v>28.6235</v>
      </c>
      <c r="X441">
        <v>70.916499999999999</v>
      </c>
    </row>
    <row r="442" spans="1:24" x14ac:dyDescent="0.2">
      <c r="A442" t="s">
        <v>32</v>
      </c>
      <c r="B442" t="s">
        <v>2</v>
      </c>
      <c r="C442" t="s">
        <v>14</v>
      </c>
      <c r="D442">
        <v>3</v>
      </c>
      <c r="E442">
        <v>110</v>
      </c>
      <c r="F442">
        <v>8</v>
      </c>
      <c r="G442">
        <v>0.8</v>
      </c>
      <c r="H442">
        <v>699</v>
      </c>
      <c r="I442">
        <v>14.5</v>
      </c>
      <c r="J442">
        <v>7.4</v>
      </c>
      <c r="K442">
        <v>100</v>
      </c>
      <c r="L442">
        <v>1.03</v>
      </c>
      <c r="M442" s="4">
        <v>871000000000000</v>
      </c>
      <c r="N442" s="4">
        <v>9440000000000000</v>
      </c>
      <c r="O442" s="4">
        <v>1.03E+16</v>
      </c>
      <c r="P442">
        <v>115.4</v>
      </c>
      <c r="Q442" t="s">
        <v>24</v>
      </c>
      <c r="R442" t="s">
        <v>24</v>
      </c>
      <c r="S442" t="s">
        <v>24</v>
      </c>
      <c r="T442" t="s">
        <v>24</v>
      </c>
      <c r="U442">
        <v>13.6272</v>
      </c>
      <c r="V442">
        <v>64.419700000000006</v>
      </c>
      <c r="W442">
        <v>29.095400000000001</v>
      </c>
      <c r="X442">
        <v>84.397800000000004</v>
      </c>
    </row>
    <row r="443" spans="1:24" x14ac:dyDescent="0.2">
      <c r="A443" t="s">
        <v>32</v>
      </c>
      <c r="B443" t="s">
        <v>2</v>
      </c>
      <c r="C443" t="s">
        <v>11</v>
      </c>
      <c r="D443">
        <v>3</v>
      </c>
      <c r="E443">
        <v>120</v>
      </c>
      <c r="F443">
        <v>0.6</v>
      </c>
      <c r="G443">
        <v>0</v>
      </c>
      <c r="H443">
        <v>22</v>
      </c>
      <c r="I443">
        <v>15.1</v>
      </c>
      <c r="J443">
        <v>17.8</v>
      </c>
      <c r="K443">
        <v>100</v>
      </c>
      <c r="L443">
        <v>1.0589999999999999</v>
      </c>
      <c r="M443" s="4">
        <v>584000000000000</v>
      </c>
      <c r="N443" s="4">
        <v>738000000000000</v>
      </c>
      <c r="O443" s="4">
        <v>1320000000000000</v>
      </c>
      <c r="P443">
        <v>81</v>
      </c>
      <c r="Q443">
        <v>0.86799999999999999</v>
      </c>
      <c r="R443">
        <v>0.13200000000000001</v>
      </c>
      <c r="S443">
        <v>29.108799189999999</v>
      </c>
      <c r="T443">
        <v>4.4150008129999998</v>
      </c>
      <c r="U443">
        <v>30.300599999999999</v>
      </c>
      <c r="V443">
        <v>72.776899999999998</v>
      </c>
      <c r="W443">
        <v>32.041400000000003</v>
      </c>
      <c r="X443">
        <v>78.442800000000005</v>
      </c>
    </row>
    <row r="444" spans="1:24" x14ac:dyDescent="0.2">
      <c r="A444" t="s">
        <v>32</v>
      </c>
      <c r="B444" t="s">
        <v>2</v>
      </c>
      <c r="C444" t="s">
        <v>13</v>
      </c>
      <c r="D444">
        <v>3</v>
      </c>
      <c r="E444">
        <v>110</v>
      </c>
      <c r="F444">
        <v>9.1</v>
      </c>
      <c r="G444">
        <v>0.8</v>
      </c>
      <c r="H444">
        <v>658</v>
      </c>
      <c r="I444">
        <v>14.3</v>
      </c>
      <c r="J444">
        <v>11.8</v>
      </c>
      <c r="K444">
        <v>100</v>
      </c>
      <c r="L444">
        <v>0.46500000000000002</v>
      </c>
      <c r="M444" s="4">
        <v>783000000000000</v>
      </c>
      <c r="N444" s="4">
        <v>5980000000000000</v>
      </c>
      <c r="O444" s="4">
        <v>6760000000000000</v>
      </c>
      <c r="P444">
        <v>106.2</v>
      </c>
      <c r="Q444" t="s">
        <v>24</v>
      </c>
      <c r="R444" t="s">
        <v>24</v>
      </c>
      <c r="S444" t="s">
        <v>24</v>
      </c>
      <c r="T444" t="s">
        <v>24</v>
      </c>
      <c r="U444">
        <v>12.781000000000001</v>
      </c>
      <c r="V444">
        <v>63.942799999999998</v>
      </c>
      <c r="W444">
        <v>28.553000000000001</v>
      </c>
      <c r="X444">
        <v>83.156599999999997</v>
      </c>
    </row>
    <row r="445" spans="1:24" x14ac:dyDescent="0.2">
      <c r="A445" t="s">
        <v>32</v>
      </c>
      <c r="B445" t="s">
        <v>2</v>
      </c>
      <c r="C445" t="s">
        <v>8</v>
      </c>
      <c r="D445">
        <v>3</v>
      </c>
      <c r="E445">
        <v>180</v>
      </c>
      <c r="F445">
        <v>18.600000000000001</v>
      </c>
      <c r="G445">
        <v>1.6</v>
      </c>
      <c r="H445">
        <v>1148</v>
      </c>
      <c r="I445">
        <v>13.6</v>
      </c>
      <c r="J445">
        <v>19.5</v>
      </c>
      <c r="K445">
        <v>100</v>
      </c>
      <c r="L445">
        <v>1.008</v>
      </c>
      <c r="M445" s="4">
        <v>888000000000000</v>
      </c>
      <c r="N445" s="4">
        <v>5490000000000000</v>
      </c>
      <c r="O445" s="4">
        <v>6370000000000000</v>
      </c>
      <c r="P445">
        <v>151.80000000000001</v>
      </c>
      <c r="Q445" t="s">
        <v>24</v>
      </c>
      <c r="R445" t="s">
        <v>24</v>
      </c>
      <c r="S445" t="s">
        <v>24</v>
      </c>
      <c r="T445" t="s">
        <v>24</v>
      </c>
      <c r="U445">
        <v>13.487299999999999</v>
      </c>
      <c r="V445">
        <v>75.725099999999998</v>
      </c>
      <c r="W445">
        <v>26.8978</v>
      </c>
      <c r="X445">
        <v>98.427800000000005</v>
      </c>
    </row>
    <row r="446" spans="1:24" x14ac:dyDescent="0.2">
      <c r="A446" t="s">
        <v>32</v>
      </c>
      <c r="B446" t="s">
        <v>3</v>
      </c>
      <c r="C446" t="s">
        <v>8</v>
      </c>
      <c r="D446">
        <v>3</v>
      </c>
      <c r="E446">
        <v>58</v>
      </c>
      <c r="F446">
        <v>21.8</v>
      </c>
      <c r="G446">
        <v>1.3</v>
      </c>
      <c r="H446">
        <v>188</v>
      </c>
      <c r="I446">
        <v>13.5</v>
      </c>
      <c r="J446">
        <v>17.2</v>
      </c>
      <c r="K446">
        <v>100</v>
      </c>
      <c r="L446" t="s">
        <v>24</v>
      </c>
      <c r="M446" s="4">
        <v>770000000000000</v>
      </c>
      <c r="N446" s="4">
        <v>1020000000000000</v>
      </c>
      <c r="O446" s="4">
        <v>1790000000000000</v>
      </c>
      <c r="P446">
        <v>159.4</v>
      </c>
      <c r="Q446">
        <v>0.83499999999999996</v>
      </c>
      <c r="R446">
        <v>0.16500000000000001</v>
      </c>
      <c r="S446">
        <v>41.769249879999997</v>
      </c>
      <c r="T446">
        <v>8.2361901179999997</v>
      </c>
      <c r="U446">
        <v>29.697600000000001</v>
      </c>
      <c r="V446">
        <v>88.861800000000002</v>
      </c>
      <c r="W446">
        <v>34.255099999999999</v>
      </c>
      <c r="X446">
        <v>90.863699999999994</v>
      </c>
    </row>
    <row r="447" spans="1:24" x14ac:dyDescent="0.2">
      <c r="A447" t="s">
        <v>32</v>
      </c>
      <c r="B447" t="s">
        <v>3</v>
      </c>
      <c r="C447" t="s">
        <v>8</v>
      </c>
      <c r="D447">
        <v>3</v>
      </c>
      <c r="E447">
        <v>120</v>
      </c>
      <c r="F447">
        <v>21.8</v>
      </c>
      <c r="G447">
        <v>1.3</v>
      </c>
      <c r="H447">
        <v>188</v>
      </c>
      <c r="I447">
        <v>13.5</v>
      </c>
      <c r="J447">
        <v>17.8</v>
      </c>
      <c r="K447">
        <v>100</v>
      </c>
      <c r="L447" t="s">
        <v>24</v>
      </c>
      <c r="M447" s="4">
        <v>643000000000000</v>
      </c>
      <c r="N447" s="4">
        <v>1060000000000000</v>
      </c>
      <c r="O447" s="4">
        <v>1700000000000000</v>
      </c>
      <c r="P447">
        <v>136</v>
      </c>
      <c r="Q447">
        <v>0.78100000000000003</v>
      </c>
      <c r="R447">
        <v>0.219</v>
      </c>
      <c r="S447">
        <v>36.967096849999997</v>
      </c>
      <c r="T447">
        <v>10.372063150000001</v>
      </c>
      <c r="U447">
        <v>29.003499999999999</v>
      </c>
      <c r="V447">
        <v>86.896799999999999</v>
      </c>
      <c r="W447">
        <v>33.357700000000001</v>
      </c>
      <c r="X447">
        <v>88.243200000000002</v>
      </c>
    </row>
    <row r="448" spans="1:24" x14ac:dyDescent="0.2">
      <c r="A448" t="s">
        <v>32</v>
      </c>
      <c r="B448" t="s">
        <v>3</v>
      </c>
      <c r="C448" t="s">
        <v>15</v>
      </c>
      <c r="D448">
        <v>3</v>
      </c>
      <c r="E448">
        <v>120</v>
      </c>
      <c r="F448">
        <v>0.4</v>
      </c>
      <c r="G448">
        <v>0</v>
      </c>
      <c r="H448">
        <v>6</v>
      </c>
      <c r="I448">
        <v>15.3</v>
      </c>
      <c r="J448">
        <v>10</v>
      </c>
      <c r="K448">
        <v>100</v>
      </c>
      <c r="L448" t="s">
        <v>24</v>
      </c>
      <c r="M448" s="4">
        <v>271000000000000</v>
      </c>
      <c r="N448" s="4">
        <v>568000000000000</v>
      </c>
      <c r="O448" s="4">
        <v>839000000000000</v>
      </c>
      <c r="P448">
        <v>25.5</v>
      </c>
      <c r="Q448">
        <v>0.8</v>
      </c>
      <c r="R448">
        <v>0.2</v>
      </c>
      <c r="S448">
        <v>2.902752</v>
      </c>
      <c r="T448">
        <v>0.725688</v>
      </c>
      <c r="U448">
        <v>24.3645</v>
      </c>
      <c r="V448">
        <v>68.799400000000006</v>
      </c>
      <c r="W448">
        <v>26.116199999999999</v>
      </c>
      <c r="X448">
        <v>80.174499999999995</v>
      </c>
    </row>
    <row r="449" spans="1:24" x14ac:dyDescent="0.2">
      <c r="A449" t="s">
        <v>32</v>
      </c>
      <c r="B449" t="s">
        <v>3</v>
      </c>
      <c r="C449" t="s">
        <v>15</v>
      </c>
      <c r="D449">
        <v>3</v>
      </c>
      <c r="E449">
        <v>130</v>
      </c>
      <c r="F449">
        <v>0.4</v>
      </c>
      <c r="G449">
        <v>0</v>
      </c>
      <c r="H449">
        <v>6</v>
      </c>
      <c r="I449">
        <v>15.3</v>
      </c>
      <c r="J449">
        <v>17.2</v>
      </c>
      <c r="K449">
        <v>100</v>
      </c>
      <c r="L449" t="s">
        <v>24</v>
      </c>
      <c r="M449" s="4">
        <v>354000000000000</v>
      </c>
      <c r="N449" s="4">
        <v>654000000000000</v>
      </c>
      <c r="O449" s="4">
        <v>1010000000000000</v>
      </c>
      <c r="P449">
        <v>40.799999999999997</v>
      </c>
      <c r="Q449">
        <v>0.76400000000000001</v>
      </c>
      <c r="R449">
        <v>0.23599999999999999</v>
      </c>
      <c r="S449">
        <v>7.9288563779999999</v>
      </c>
      <c r="T449">
        <v>2.452223622</v>
      </c>
      <c r="U449">
        <v>27.4178</v>
      </c>
      <c r="V449">
        <v>71.770600000000002</v>
      </c>
      <c r="W449">
        <v>29.566400000000002</v>
      </c>
      <c r="X449">
        <v>73.283299999999997</v>
      </c>
    </row>
    <row r="450" spans="1:24" x14ac:dyDescent="0.2">
      <c r="A450" t="s">
        <v>32</v>
      </c>
      <c r="B450" t="s">
        <v>3</v>
      </c>
      <c r="C450" t="s">
        <v>15</v>
      </c>
      <c r="D450">
        <v>3</v>
      </c>
      <c r="E450">
        <v>115</v>
      </c>
      <c r="F450">
        <v>0.4</v>
      </c>
      <c r="G450">
        <v>0</v>
      </c>
      <c r="H450">
        <v>6</v>
      </c>
      <c r="I450">
        <v>15.3</v>
      </c>
      <c r="J450">
        <v>23.9</v>
      </c>
      <c r="K450">
        <v>100</v>
      </c>
      <c r="L450" t="s">
        <v>24</v>
      </c>
      <c r="M450" s="4">
        <v>324000000000000</v>
      </c>
      <c r="N450" s="4">
        <v>404000000000000</v>
      </c>
      <c r="O450" s="4">
        <v>727000000000000</v>
      </c>
      <c r="P450">
        <v>38.200000000000003</v>
      </c>
      <c r="Q450">
        <v>0.82699999999999996</v>
      </c>
      <c r="R450">
        <v>0.17299999999999999</v>
      </c>
      <c r="S450">
        <v>8.48949</v>
      </c>
      <c r="T450">
        <v>1.7768699999999999</v>
      </c>
      <c r="U450">
        <v>27.648299999999999</v>
      </c>
      <c r="V450">
        <v>72.073999999999998</v>
      </c>
      <c r="W450">
        <v>29.222000000000001</v>
      </c>
      <c r="X450">
        <v>73.318299999999994</v>
      </c>
    </row>
    <row r="451" spans="1:24" x14ac:dyDescent="0.2">
      <c r="A451" t="s">
        <v>32</v>
      </c>
      <c r="B451" t="s">
        <v>3</v>
      </c>
      <c r="C451" t="s">
        <v>17</v>
      </c>
      <c r="D451">
        <v>3</v>
      </c>
      <c r="E451">
        <v>135</v>
      </c>
      <c r="F451">
        <v>1.4</v>
      </c>
      <c r="G451">
        <v>0</v>
      </c>
      <c r="H451">
        <v>4</v>
      </c>
      <c r="I451">
        <v>15</v>
      </c>
      <c r="J451">
        <v>13.3</v>
      </c>
      <c r="K451">
        <v>100</v>
      </c>
      <c r="L451" t="s">
        <v>24</v>
      </c>
      <c r="M451" s="4">
        <v>314000000000000</v>
      </c>
      <c r="N451" s="4">
        <v>346000000000000</v>
      </c>
      <c r="O451" s="4">
        <v>660000000000000</v>
      </c>
      <c r="P451">
        <v>32.700000000000003</v>
      </c>
      <c r="Q451">
        <v>0.77900000000000003</v>
      </c>
      <c r="R451">
        <v>0.221</v>
      </c>
      <c r="S451">
        <v>7.7503348970000001</v>
      </c>
      <c r="T451">
        <v>2.1947851030000001</v>
      </c>
      <c r="U451">
        <v>25.617899999999999</v>
      </c>
      <c r="V451">
        <v>70.797499999999999</v>
      </c>
      <c r="W451">
        <v>26.936900000000001</v>
      </c>
      <c r="X451">
        <v>65.790300000000002</v>
      </c>
    </row>
    <row r="452" spans="1:24" x14ac:dyDescent="0.2">
      <c r="A452" t="s">
        <v>32</v>
      </c>
      <c r="B452" t="s">
        <v>3</v>
      </c>
      <c r="C452" t="s">
        <v>16</v>
      </c>
      <c r="D452">
        <v>3</v>
      </c>
      <c r="E452">
        <v>120</v>
      </c>
      <c r="F452">
        <v>2.1</v>
      </c>
      <c r="G452">
        <v>0</v>
      </c>
      <c r="H452">
        <v>1083</v>
      </c>
      <c r="I452">
        <v>15</v>
      </c>
      <c r="J452">
        <v>13.9</v>
      </c>
      <c r="K452">
        <v>100</v>
      </c>
      <c r="L452" t="s">
        <v>24</v>
      </c>
      <c r="M452" s="4">
        <v>332000000000000</v>
      </c>
      <c r="N452" s="4">
        <v>9010000000000000</v>
      </c>
      <c r="O452" s="4">
        <v>9340000000000000</v>
      </c>
      <c r="P452">
        <v>27.6</v>
      </c>
      <c r="Q452">
        <v>0.66700000000000004</v>
      </c>
      <c r="R452">
        <v>0.33300000000000002</v>
      </c>
      <c r="S452">
        <v>44.713039999999999</v>
      </c>
      <c r="T452">
        <v>22.35652</v>
      </c>
      <c r="U452">
        <v>15.1591</v>
      </c>
      <c r="V452">
        <v>33.906199999999998</v>
      </c>
      <c r="W452">
        <v>24.279399999999999</v>
      </c>
      <c r="X452">
        <v>62.973700000000001</v>
      </c>
    </row>
    <row r="453" spans="1:24" x14ac:dyDescent="0.2">
      <c r="A453" t="s">
        <v>32</v>
      </c>
      <c r="B453" t="s">
        <v>3</v>
      </c>
      <c r="C453" t="s">
        <v>18</v>
      </c>
      <c r="D453">
        <v>3</v>
      </c>
      <c r="E453">
        <v>130</v>
      </c>
      <c r="F453">
        <v>10.199999999999999</v>
      </c>
      <c r="G453">
        <v>0.65</v>
      </c>
      <c r="H453">
        <v>276</v>
      </c>
      <c r="I453">
        <v>14.4</v>
      </c>
      <c r="J453">
        <v>25</v>
      </c>
      <c r="K453">
        <v>100</v>
      </c>
      <c r="L453" t="s">
        <v>24</v>
      </c>
      <c r="M453" s="4">
        <v>708000000000000</v>
      </c>
      <c r="N453" s="4">
        <v>1650000000000000</v>
      </c>
      <c r="O453" s="4">
        <v>2360000000000000</v>
      </c>
      <c r="P453">
        <v>116.8</v>
      </c>
      <c r="Q453" t="s">
        <v>24</v>
      </c>
      <c r="R453" t="s">
        <v>24</v>
      </c>
      <c r="S453" t="s">
        <v>24</v>
      </c>
      <c r="T453" t="s">
        <v>24</v>
      </c>
      <c r="U453">
        <v>14.57</v>
      </c>
      <c r="V453">
        <v>75.0291</v>
      </c>
      <c r="W453">
        <v>30.097100000000001</v>
      </c>
      <c r="X453">
        <v>80.183000000000007</v>
      </c>
    </row>
    <row r="454" spans="1:24" x14ac:dyDescent="0.2">
      <c r="A454" t="s">
        <v>32</v>
      </c>
      <c r="B454" t="s">
        <v>3</v>
      </c>
      <c r="C454" t="s">
        <v>8</v>
      </c>
      <c r="D454">
        <v>3</v>
      </c>
      <c r="E454">
        <v>130</v>
      </c>
      <c r="F454">
        <v>21.8</v>
      </c>
      <c r="G454">
        <v>1.3</v>
      </c>
      <c r="H454">
        <v>188</v>
      </c>
      <c r="I454">
        <v>13.5</v>
      </c>
      <c r="J454">
        <v>30.6</v>
      </c>
      <c r="K454">
        <v>100</v>
      </c>
      <c r="L454" t="s">
        <v>24</v>
      </c>
      <c r="M454" s="4">
        <v>637000000000000</v>
      </c>
      <c r="N454" s="4">
        <v>558000000000000</v>
      </c>
      <c r="O454" s="4">
        <v>1200000000000000</v>
      </c>
      <c r="P454">
        <v>98.6</v>
      </c>
      <c r="Q454">
        <v>0.874</v>
      </c>
      <c r="R454">
        <v>0.126</v>
      </c>
      <c r="S454" t="s">
        <v>24</v>
      </c>
      <c r="T454" t="s">
        <v>24</v>
      </c>
      <c r="U454">
        <v>32.200600000000001</v>
      </c>
      <c r="V454">
        <v>86.078100000000006</v>
      </c>
      <c r="W454" t="s">
        <v>24</v>
      </c>
      <c r="X454" t="s">
        <v>24</v>
      </c>
    </row>
  </sheetData>
  <autoFilter ref="B1:B454" xr:uid="{4DC435A1-3B9E-8B48-B3DB-BB0C5421D9E8}"/>
  <phoneticPr fontId="3" type="noConversion"/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6398-AA62-F34E-9463-2F3A9866B2C4}">
  <dimension ref="A1:AZ355"/>
  <sheetViews>
    <sheetView tabSelected="1" topLeftCell="AU290" zoomScale="63" zoomScaleNormal="32" workbookViewId="0">
      <selection activeCell="BD322" sqref="BD322"/>
    </sheetView>
  </sheetViews>
  <sheetFormatPr baseColWidth="10" defaultRowHeight="16" x14ac:dyDescent="0.2"/>
  <cols>
    <col min="1" max="1" width="14.5" bestFit="1" customWidth="1"/>
    <col min="2" max="2" width="22.33203125" bestFit="1" customWidth="1"/>
    <col min="3" max="3" width="18.83203125" customWidth="1"/>
    <col min="4" max="4" width="13" bestFit="1" customWidth="1"/>
    <col min="5" max="5" width="16.5" bestFit="1" customWidth="1"/>
    <col min="6" max="6" width="16.5" customWidth="1"/>
    <col min="7" max="8" width="28.83203125" customWidth="1"/>
    <col min="9" max="10" width="11" bestFit="1" customWidth="1"/>
    <col min="11" max="11" width="11" customWidth="1"/>
    <col min="12" max="12" width="10.6640625" customWidth="1"/>
    <col min="13" max="14" width="12.1640625" bestFit="1" customWidth="1"/>
    <col min="15" max="15" width="11" bestFit="1" customWidth="1"/>
    <col min="16" max="16" width="11" customWidth="1"/>
    <col min="17" max="18" width="12.5" customWidth="1"/>
    <col min="19" max="19" width="13.83203125" bestFit="1" customWidth="1"/>
    <col min="20" max="24" width="11" customWidth="1"/>
    <col min="25" max="25" width="26.33203125" customWidth="1"/>
    <col min="26" max="26" width="32.5" customWidth="1"/>
    <col min="27" max="27" width="15.6640625" customWidth="1"/>
    <col min="28" max="28" width="14.5" customWidth="1"/>
    <col min="29" max="29" width="18.1640625" customWidth="1"/>
    <col min="30" max="30" width="62" bestFit="1" customWidth="1"/>
    <col min="31" max="31" width="15.83203125" style="13" bestFit="1" customWidth="1"/>
    <col min="32" max="36" width="10.83203125" style="13"/>
    <col min="37" max="37" width="10.83203125" style="13" customWidth="1"/>
    <col min="38" max="38" width="10.83203125" style="13"/>
    <col min="39" max="39" width="15" bestFit="1" customWidth="1"/>
    <col min="40" max="40" width="14.5" bestFit="1" customWidth="1"/>
    <col min="41" max="41" width="17.33203125" bestFit="1" customWidth="1"/>
    <col min="42" max="42" width="11.6640625" customWidth="1"/>
    <col min="46" max="46" width="12.5" bestFit="1" customWidth="1"/>
    <col min="47" max="47" width="32" bestFit="1" customWidth="1"/>
    <col min="48" max="48" width="38.83203125" bestFit="1" customWidth="1"/>
    <col min="49" max="49" width="30.33203125" bestFit="1" customWidth="1"/>
    <col min="50" max="50" width="33.1640625" bestFit="1" customWidth="1"/>
    <col min="51" max="51" width="22.83203125" bestFit="1" customWidth="1"/>
  </cols>
  <sheetData>
    <row r="1" spans="1:52" x14ac:dyDescent="0.2">
      <c r="A1" t="s">
        <v>6</v>
      </c>
      <c r="B1" t="s">
        <v>5</v>
      </c>
      <c r="C1" t="s">
        <v>109</v>
      </c>
      <c r="D1" t="s">
        <v>20</v>
      </c>
      <c r="E1" t="s">
        <v>111</v>
      </c>
      <c r="F1" t="s">
        <v>188</v>
      </c>
      <c r="G1" t="s">
        <v>7</v>
      </c>
      <c r="H1" t="s">
        <v>185</v>
      </c>
      <c r="I1" t="s">
        <v>21</v>
      </c>
      <c r="J1" t="s">
        <v>22</v>
      </c>
      <c r="K1" t="s">
        <v>9</v>
      </c>
      <c r="L1" t="s">
        <v>25</v>
      </c>
      <c r="M1" t="s">
        <v>155</v>
      </c>
      <c r="N1" t="s">
        <v>154</v>
      </c>
      <c r="O1" t="s">
        <v>26</v>
      </c>
      <c r="P1" t="s">
        <v>31</v>
      </c>
      <c r="Q1" t="s">
        <v>28</v>
      </c>
      <c r="R1" t="s">
        <v>180</v>
      </c>
      <c r="S1" t="s">
        <v>181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135</v>
      </c>
      <c r="Z1" s="1" t="s">
        <v>172</v>
      </c>
      <c r="AA1" t="s">
        <v>116</v>
      </c>
      <c r="AB1" t="s">
        <v>117</v>
      </c>
      <c r="AC1" t="s">
        <v>118</v>
      </c>
      <c r="AD1" t="s">
        <v>186</v>
      </c>
      <c r="AE1" s="13" t="s">
        <v>157</v>
      </c>
      <c r="AF1" s="13" t="s">
        <v>158</v>
      </c>
      <c r="AG1" s="13" t="s">
        <v>159</v>
      </c>
      <c r="AH1" s="14" t="s">
        <v>198</v>
      </c>
      <c r="AI1" s="13" t="s">
        <v>160</v>
      </c>
      <c r="AJ1" s="13" t="s">
        <v>161</v>
      </c>
      <c r="AK1" s="13" t="s">
        <v>162</v>
      </c>
      <c r="AL1" s="13" t="s">
        <v>163</v>
      </c>
      <c r="AM1" t="s">
        <v>164</v>
      </c>
      <c r="AN1" t="s">
        <v>165</v>
      </c>
      <c r="AO1" t="s">
        <v>166</v>
      </c>
      <c r="AP1" t="s">
        <v>156</v>
      </c>
      <c r="AQ1" t="s">
        <v>168</v>
      </c>
      <c r="AR1" t="s">
        <v>169</v>
      </c>
      <c r="AS1" t="s">
        <v>140</v>
      </c>
      <c r="AT1" t="s">
        <v>167</v>
      </c>
      <c r="AU1" t="s">
        <v>170</v>
      </c>
      <c r="AV1" t="s">
        <v>171</v>
      </c>
      <c r="AW1" t="s">
        <v>199</v>
      </c>
      <c r="AX1" t="s">
        <v>200</v>
      </c>
      <c r="AY1" t="s">
        <v>229</v>
      </c>
      <c r="AZ1" t="s">
        <v>230</v>
      </c>
    </row>
    <row r="2" spans="1:52" x14ac:dyDescent="0.2">
      <c r="A2" t="s">
        <v>33</v>
      </c>
      <c r="B2" t="s">
        <v>228</v>
      </c>
      <c r="C2" t="s">
        <v>36</v>
      </c>
      <c r="D2" t="s">
        <v>35</v>
      </c>
      <c r="E2">
        <v>50</v>
      </c>
      <c r="F2" t="s">
        <v>187</v>
      </c>
      <c r="G2" t="s">
        <v>40</v>
      </c>
      <c r="I2">
        <v>13.4</v>
      </c>
      <c r="J2">
        <v>0.35</v>
      </c>
      <c r="K2">
        <v>211</v>
      </c>
      <c r="L2">
        <v>14.08</v>
      </c>
      <c r="M2" s="2">
        <v>213.3</v>
      </c>
      <c r="N2" s="2">
        <v>213.3</v>
      </c>
      <c r="O2" s="5">
        <v>57.5</v>
      </c>
      <c r="P2" s="6">
        <f>2700</f>
        <v>2700</v>
      </c>
      <c r="Q2">
        <f>9.5*10^14</f>
        <v>950000000000000</v>
      </c>
      <c r="Y2">
        <v>24.279399999999999</v>
      </c>
      <c r="Z2">
        <v>15.1591</v>
      </c>
      <c r="AA2">
        <f>(0.3)*10^15</f>
        <v>300000000000000</v>
      </c>
      <c r="AD2" t="str">
        <f t="shared" ref="AD2:AD15" si="0">A2 &amp; "|" &amp; B2 &amp; "|" &amp; C2 &amp; "|" &amp; D2 &amp; "|" &amp; E2 &amp;"|" &amp; F2</f>
        <v>Markl (2024)|ECLIF3|Cruise|XWB-84|50|Climb</v>
      </c>
      <c r="AZ2" t="s">
        <v>231</v>
      </c>
    </row>
    <row r="3" spans="1:52" x14ac:dyDescent="0.2">
      <c r="A3" t="s">
        <v>33</v>
      </c>
      <c r="B3" t="s">
        <v>228</v>
      </c>
      <c r="C3" t="s">
        <v>36</v>
      </c>
      <c r="D3" t="s">
        <v>35</v>
      </c>
      <c r="E3">
        <v>50</v>
      </c>
      <c r="F3" t="s">
        <v>187</v>
      </c>
      <c r="G3" t="s">
        <v>41</v>
      </c>
      <c r="H3" t="s">
        <v>40</v>
      </c>
      <c r="I3">
        <v>0.41</v>
      </c>
      <c r="J3">
        <v>2E-3</v>
      </c>
      <c r="K3">
        <v>7</v>
      </c>
      <c r="L3">
        <v>15.11</v>
      </c>
      <c r="M3" s="2">
        <v>213.8</v>
      </c>
      <c r="N3" s="2">
        <v>213.8</v>
      </c>
      <c r="O3" s="5">
        <v>57.5</v>
      </c>
      <c r="P3" s="6">
        <f>2751.3</f>
        <v>2751.3</v>
      </c>
      <c r="Q3">
        <f>6.1*10^14</f>
        <v>610000000000000</v>
      </c>
      <c r="Y3">
        <v>30.097100000000001</v>
      </c>
      <c r="Z3">
        <v>14.57</v>
      </c>
      <c r="AA3">
        <f>(0.07)*10^15</f>
        <v>70000000000000.008</v>
      </c>
      <c r="AD3" t="str">
        <f t="shared" si="0"/>
        <v>Markl (2024)|ECLIF3|Cruise|XWB-84|50|Climb</v>
      </c>
      <c r="AE3" s="13" cm="1">
        <f t="array" ref="AE3">I3 / _xlfn.XLOOKUP($AD3 &amp; "|" &amp; $H3, $AD:$AD &amp; "|" &amp; $G:$G, I:I)</f>
        <v>3.0597014925373131E-2</v>
      </c>
      <c r="AF3" s="13" cm="1">
        <f t="array" ref="AF3">J3 / _xlfn.XLOOKUP($AD3 &amp; "|" &amp; $H3, $AD:$AD &amp; "|" &amp; $G:$G, J:J)</f>
        <v>5.7142857142857151E-3</v>
      </c>
      <c r="AG3" s="13" cm="1">
        <f t="array" ref="AG3">K3 / _xlfn.XLOOKUP($AD3 &amp; "|" &amp; $H3, $AD:$AD &amp; "|" &amp; $G:$G, K:K)</f>
        <v>3.3175355450236969E-2</v>
      </c>
      <c r="AH3" s="13" cm="1">
        <f t="array" ref="AH3">L3 / _xlfn.XLOOKUP($AD3 &amp; "|" &amp; $H3, $AD:$AD &amp; "|" &amp; $G:$G, L:L)</f>
        <v>1.0731534090909089</v>
      </c>
      <c r="AI3" s="13" cm="1">
        <f t="array" ref="AI3">M3 / _xlfn.XLOOKUP($AD3 &amp; "|" &amp; $H3, $AD:$AD &amp; "|" &amp; $G:$G, M:M)</f>
        <v>1.002344116268167</v>
      </c>
      <c r="AJ3" s="13" cm="1">
        <f t="array" ref="AJ3">N3 / _xlfn.XLOOKUP($AD3 &amp; "|" &amp; $H3, $AD:$AD &amp; "|" &amp; $G:$G, N:N)</f>
        <v>1.002344116268167</v>
      </c>
      <c r="AK3" s="13" cm="1">
        <f t="array" ref="AK3">O3 / _xlfn.XLOOKUP($AD3 &amp; "|" &amp; $H3, $AD:$AD &amp; "|" &amp; $G:$G, O:O)</f>
        <v>1</v>
      </c>
      <c r="AL3" s="13" cm="1">
        <f t="array" ref="AL3">P3 / _xlfn.XLOOKUP($AD3 &amp; "|" &amp; $H3, $AD:$AD &amp; "|" &amp; $G:$G, P:P)</f>
        <v>1.0190000000000001</v>
      </c>
      <c r="AM3" s="13" cm="1">
        <f t="array" ref="AM3">Q3 / _xlfn.XLOOKUP($AD3 &amp; "|" &amp; $H3, $AD:$AD &amp; "|" &amp; $G:$G, Q:Q)</f>
        <v>0.64210526315789473</v>
      </c>
      <c r="AP3" s="13"/>
      <c r="AU3" s="13">
        <f t="shared" ref="AU3" si="1">(Y3)/Y2</f>
        <v>1.2396146527508918</v>
      </c>
      <c r="AW3" s="13" cm="1">
        <f t="array" ref="AW3">_xlfn.XLOOKUP($AD3 &amp; "|" &amp; $H3, $AD:$AD &amp; "|" &amp; $G:$G, L:L)</f>
        <v>14.08</v>
      </c>
      <c r="AY3" s="13"/>
      <c r="AZ3" t="s">
        <v>231</v>
      </c>
    </row>
    <row r="4" spans="1:52" x14ac:dyDescent="0.2">
      <c r="A4" t="s">
        <v>37</v>
      </c>
      <c r="B4" t="s">
        <v>221</v>
      </c>
      <c r="C4" t="s">
        <v>36</v>
      </c>
      <c r="D4" t="s">
        <v>39</v>
      </c>
      <c r="E4">
        <v>24000</v>
      </c>
      <c r="G4" t="s">
        <v>42</v>
      </c>
      <c r="I4">
        <v>18.8</v>
      </c>
      <c r="J4">
        <v>1.51</v>
      </c>
      <c r="K4">
        <v>1170</v>
      </c>
      <c r="L4">
        <v>13.67</v>
      </c>
      <c r="M4" s="2"/>
      <c r="N4" s="2"/>
      <c r="P4" s="6"/>
      <c r="Y4" t="s">
        <v>24</v>
      </c>
      <c r="Z4">
        <v>32.200600000000001</v>
      </c>
      <c r="AD4" t="str">
        <f t="shared" si="0"/>
        <v>Voigt (2021)|ECLIF2/ND-MAX|Cruise|V2527-A5|24000|</v>
      </c>
      <c r="AW4" s="13" t="e" cm="1">
        <f t="array" ref="AW4">_xlfn.XLOOKUP($AD4 &amp; "|" &amp; $H4, $AD:$AD &amp; "|" &amp; $G:$G, L:L)</f>
        <v>#N/A</v>
      </c>
      <c r="AZ4" t="s">
        <v>231</v>
      </c>
    </row>
    <row r="5" spans="1:52" x14ac:dyDescent="0.2">
      <c r="A5" t="s">
        <v>37</v>
      </c>
      <c r="B5" t="s">
        <v>221</v>
      </c>
      <c r="C5" t="s">
        <v>36</v>
      </c>
      <c r="D5" t="s">
        <v>39</v>
      </c>
      <c r="E5">
        <v>24000</v>
      </c>
      <c r="F5" t="s">
        <v>187</v>
      </c>
      <c r="G5" t="s">
        <v>43</v>
      </c>
      <c r="I5">
        <v>17.2</v>
      </c>
      <c r="J5">
        <v>1.83</v>
      </c>
      <c r="K5">
        <v>1350</v>
      </c>
      <c r="L5">
        <v>13.73</v>
      </c>
      <c r="M5" s="2">
        <v>215</v>
      </c>
      <c r="N5" s="2">
        <v>215</v>
      </c>
      <c r="O5">
        <f>81</f>
        <v>81</v>
      </c>
      <c r="P5" s="6">
        <v>1180</v>
      </c>
      <c r="Q5">
        <f>4.9*10^15</f>
        <v>4900000000000000</v>
      </c>
      <c r="AA5">
        <f>(0.6)*10^15</f>
        <v>600000000000000</v>
      </c>
      <c r="AD5" t="str">
        <f t="shared" si="0"/>
        <v>Voigt (2021)|ECLIF2/ND-MAX|Cruise|V2527-A5|24000|Climb</v>
      </c>
      <c r="AW5" s="13" t="e" cm="1">
        <f t="array" ref="AW5">_xlfn.XLOOKUP($AD5 &amp; "|" &amp; $H5, $AD:$AD &amp; "|" &amp; $G:$G, L:L)</f>
        <v>#N/A</v>
      </c>
      <c r="AZ5" t="s">
        <v>231</v>
      </c>
    </row>
    <row r="6" spans="1:52" x14ac:dyDescent="0.2">
      <c r="A6" t="s">
        <v>37</v>
      </c>
      <c r="B6" t="s">
        <v>221</v>
      </c>
      <c r="C6" t="s">
        <v>36</v>
      </c>
      <c r="D6" t="s">
        <v>39</v>
      </c>
      <c r="E6">
        <v>24000</v>
      </c>
      <c r="F6" t="s">
        <v>187</v>
      </c>
      <c r="G6" t="s">
        <v>44</v>
      </c>
      <c r="I6">
        <v>18.600000000000001</v>
      </c>
      <c r="J6">
        <v>1.17</v>
      </c>
      <c r="K6">
        <v>120</v>
      </c>
      <c r="L6">
        <v>13.65</v>
      </c>
      <c r="M6" s="2">
        <v>215</v>
      </c>
      <c r="N6" s="2">
        <v>215</v>
      </c>
      <c r="P6" s="6"/>
      <c r="Q6">
        <f>3.8*10^15</f>
        <v>3800000000000000</v>
      </c>
      <c r="AA6">
        <f>(0.9)*10^15</f>
        <v>900000000000000</v>
      </c>
      <c r="AD6" t="str">
        <f t="shared" si="0"/>
        <v>Voigt (2021)|ECLIF2/ND-MAX|Cruise|V2527-A5|24000|Climb</v>
      </c>
      <c r="AW6" s="13" t="e" cm="1">
        <f t="array" ref="AW6">_xlfn.XLOOKUP($AD6 &amp; "|" &amp; $H6, $AD:$AD &amp; "|" &amp; $G:$G, L:L)</f>
        <v>#N/A</v>
      </c>
      <c r="AZ6" t="s">
        <v>231</v>
      </c>
    </row>
    <row r="7" spans="1:52" x14ac:dyDescent="0.2">
      <c r="A7" t="s">
        <v>37</v>
      </c>
      <c r="B7" t="s">
        <v>221</v>
      </c>
      <c r="C7" t="s">
        <v>36</v>
      </c>
      <c r="D7" t="s">
        <v>39</v>
      </c>
      <c r="E7">
        <v>24000</v>
      </c>
      <c r="F7" t="s">
        <v>187</v>
      </c>
      <c r="G7" t="s">
        <v>45</v>
      </c>
      <c r="I7">
        <v>16.5</v>
      </c>
      <c r="J7">
        <v>0.13</v>
      </c>
      <c r="K7">
        <v>10</v>
      </c>
      <c r="L7">
        <v>14.08</v>
      </c>
      <c r="M7" s="2"/>
      <c r="N7" s="2"/>
      <c r="P7" s="6"/>
      <c r="AD7" t="str">
        <f t="shared" si="0"/>
        <v>Voigt (2021)|ECLIF2/ND-MAX|Cruise|V2527-A5|24000|Climb</v>
      </c>
      <c r="AW7" s="13" t="e" cm="1">
        <f t="array" ref="AW7">_xlfn.XLOOKUP($AD7 &amp; "|" &amp; $H7, $AD:$AD &amp; "|" &amp; $G:$G, L:L)</f>
        <v>#N/A</v>
      </c>
      <c r="AZ7" t="s">
        <v>231</v>
      </c>
    </row>
    <row r="8" spans="1:52" x14ac:dyDescent="0.2">
      <c r="A8" t="s">
        <v>37</v>
      </c>
      <c r="B8" t="s">
        <v>221</v>
      </c>
      <c r="C8" t="s">
        <v>36</v>
      </c>
      <c r="D8" t="s">
        <v>39</v>
      </c>
      <c r="E8">
        <v>24000</v>
      </c>
      <c r="F8" t="s">
        <v>187</v>
      </c>
      <c r="G8" t="s">
        <v>106</v>
      </c>
      <c r="H8" t="s">
        <v>43</v>
      </c>
      <c r="I8">
        <v>11.4</v>
      </c>
      <c r="J8">
        <v>0.82</v>
      </c>
      <c r="K8">
        <v>570</v>
      </c>
      <c r="L8">
        <v>14.36</v>
      </c>
      <c r="M8" s="2">
        <v>220</v>
      </c>
      <c r="N8" s="2">
        <v>220</v>
      </c>
      <c r="O8">
        <v>81</v>
      </c>
      <c r="P8" s="6">
        <v>820</v>
      </c>
      <c r="Q8">
        <f>2.5*10^15</f>
        <v>2500000000000000</v>
      </c>
      <c r="AA8">
        <f>(0.2)*10^15</f>
        <v>200000000000000</v>
      </c>
      <c r="AD8" t="str">
        <f t="shared" si="0"/>
        <v>Voigt (2021)|ECLIF2/ND-MAX|Cruise|V2527-A5|24000|Climb</v>
      </c>
      <c r="AE8" s="13" cm="1">
        <f t="array" ref="AE8">I8 / _xlfn.XLOOKUP($AD8 &amp; "|" &amp; $H8, $AD:$AD &amp; "|" &amp; $G:$G, I:I)</f>
        <v>0.66279069767441867</v>
      </c>
      <c r="AF8" s="13" cm="1">
        <f t="array" ref="AF8">J8 / _xlfn.XLOOKUP($AD8 &amp; "|" &amp; $H8, $AD:$AD &amp; "|" &amp; $G:$G, J:J)</f>
        <v>0.44808743169398901</v>
      </c>
      <c r="AG8" s="13" cm="1">
        <f t="array" ref="AG8">K8 / _xlfn.XLOOKUP($AD8 &amp; "|" &amp; $H8, $AD:$AD &amp; "|" &amp; $G:$G, K:K)</f>
        <v>0.42222222222222222</v>
      </c>
      <c r="AH8" s="13" cm="1">
        <f t="array" ref="AH8">L8 / _xlfn.XLOOKUP($AD8 &amp; "|" &amp; $H8, $AD:$AD &amp; "|" &amp; $G:$G, L:L)</f>
        <v>1.0458849235251273</v>
      </c>
      <c r="AI8" s="13" cm="1">
        <f t="array" ref="AI8">M8 / _xlfn.XLOOKUP($AD8 &amp; "|" &amp; $H8, $AD:$AD &amp; "|" &amp; $G:$G, M:M)</f>
        <v>1.0232558139534884</v>
      </c>
      <c r="AJ8" s="13" cm="1">
        <f t="array" ref="AJ8">N8 / _xlfn.XLOOKUP($AD8 &amp; "|" &amp; $H8, $AD:$AD &amp; "|" &amp; $G:$G, N:N)</f>
        <v>1.0232558139534884</v>
      </c>
      <c r="AK8" s="13" cm="1">
        <f t="array" ref="AK8">O8 / _xlfn.XLOOKUP($AD8 &amp; "|" &amp; $H8, $AD:$AD &amp; "|" &amp; $G:$G, O:O)</f>
        <v>1</v>
      </c>
      <c r="AL8" s="13" cm="1">
        <f t="array" ref="AL8">P8 / _xlfn.XLOOKUP($AD8 &amp; "|" &amp; $H8, $AD:$AD &amp; "|" &amp; $G:$G, P:P)</f>
        <v>0.69491525423728817</v>
      </c>
      <c r="AM8" s="13" cm="1">
        <f t="array" ref="AM8">Q8 / _xlfn.XLOOKUP($AD8 &amp; "|" &amp; $H8, $AD:$AD &amp; "|" &amp; $G:$G, Q:Q)</f>
        <v>0.51020408163265307</v>
      </c>
      <c r="AP8" s="13"/>
      <c r="AU8" s="13"/>
      <c r="AW8" s="13" cm="1">
        <f t="array" ref="AW8">_xlfn.XLOOKUP($AD8 &amp; "|" &amp; $H8, $AD:$AD &amp; "|" &amp; $G:$G, L:L)</f>
        <v>13.73</v>
      </c>
      <c r="AY8" s="13"/>
      <c r="AZ8" t="s">
        <v>231</v>
      </c>
    </row>
    <row r="9" spans="1:52" x14ac:dyDescent="0.2">
      <c r="A9" t="s">
        <v>37</v>
      </c>
      <c r="B9" t="s">
        <v>221</v>
      </c>
      <c r="C9" t="s">
        <v>36</v>
      </c>
      <c r="D9" t="s">
        <v>39</v>
      </c>
      <c r="E9">
        <v>24000</v>
      </c>
      <c r="F9" t="s">
        <v>187</v>
      </c>
      <c r="G9" t="s">
        <v>107</v>
      </c>
      <c r="H9" t="s">
        <v>43</v>
      </c>
      <c r="I9">
        <v>8.4</v>
      </c>
      <c r="J9">
        <v>0.61</v>
      </c>
      <c r="K9">
        <v>70</v>
      </c>
      <c r="L9">
        <v>14.4</v>
      </c>
      <c r="M9" s="2">
        <v>284</v>
      </c>
      <c r="N9" s="2">
        <v>284</v>
      </c>
      <c r="O9">
        <v>81</v>
      </c>
      <c r="P9" s="6">
        <f>1132</f>
        <v>1132</v>
      </c>
      <c r="Q9">
        <f>2.7*10^15</f>
        <v>2700000000000000</v>
      </c>
      <c r="AA9">
        <f>(0.6)*10^15</f>
        <v>600000000000000</v>
      </c>
      <c r="AD9" t="str">
        <f t="shared" si="0"/>
        <v>Voigt (2021)|ECLIF2/ND-MAX|Cruise|V2527-A5|24000|Climb</v>
      </c>
      <c r="AE9" s="13" cm="1">
        <f t="array" ref="AE9">I9 / _xlfn.XLOOKUP($AD9 &amp; "|" &amp; $H9, $AD:$AD &amp; "|" &amp; $G:$G, I:I)</f>
        <v>0.48837209302325585</v>
      </c>
      <c r="AF9" s="13" cm="1">
        <f t="array" ref="AF9">J9 / _xlfn.XLOOKUP($AD9 &amp; "|" &amp; $H9, $AD:$AD &amp; "|" &amp; $G:$G, J:J)</f>
        <v>0.33333333333333331</v>
      </c>
      <c r="AG9" s="13" cm="1">
        <f t="array" ref="AG9">K9 / _xlfn.XLOOKUP($AD9 &amp; "|" &amp; $H9, $AD:$AD &amp; "|" &amp; $G:$G, K:K)</f>
        <v>5.185185185185185E-2</v>
      </c>
      <c r="AH9" s="13" cm="1">
        <f t="array" ref="AH9">L9 / _xlfn.XLOOKUP($AD9 &amp; "|" &amp; $H9, $AD:$AD &amp; "|" &amp; $G:$G, L:L)</f>
        <v>1.0487982520029133</v>
      </c>
      <c r="AI9" s="13" cm="1">
        <f t="array" ref="AI9">M9 / _xlfn.XLOOKUP($AD9 &amp; "|" &amp; $H9, $AD:$AD &amp; "|" &amp; $G:$G, M:M)</f>
        <v>1.3209302325581396</v>
      </c>
      <c r="AJ9" s="13" cm="1">
        <f t="array" ref="AJ9">N9 / _xlfn.XLOOKUP($AD9 &amp; "|" &amp; $H9, $AD:$AD &amp; "|" &amp; $G:$G, N:N)</f>
        <v>1.3209302325581396</v>
      </c>
      <c r="AK9" s="13" cm="1">
        <f t="array" ref="AK9">O9 / _xlfn.XLOOKUP($AD9 &amp; "|" &amp; $H9, $AD:$AD &amp; "|" &amp; $G:$G, O:O)</f>
        <v>1</v>
      </c>
      <c r="AL9" s="13" cm="1">
        <f t="array" ref="AL9">P9 / _xlfn.XLOOKUP($AD9 &amp; "|" &amp; $H9, $AD:$AD &amp; "|" &amp; $G:$G, P:P)</f>
        <v>0.95932203389830506</v>
      </c>
      <c r="AM9" s="13" cm="1">
        <f t="array" ref="AM9">Q9 / _xlfn.XLOOKUP($AD9 &amp; "|" &amp; $H9, $AD:$AD &amp; "|" &amp; $G:$G, Q:Q)</f>
        <v>0.55102040816326525</v>
      </c>
      <c r="AP9" s="13"/>
      <c r="AU9" s="13"/>
      <c r="AW9" s="13" cm="1">
        <f t="array" ref="AW9">_xlfn.XLOOKUP($AD9 &amp; "|" &amp; $H9, $AD:$AD &amp; "|" &amp; $G:$G, L:L)</f>
        <v>13.73</v>
      </c>
      <c r="AY9" s="13"/>
      <c r="AZ9" t="s">
        <v>231</v>
      </c>
    </row>
    <row r="10" spans="1:52" x14ac:dyDescent="0.2">
      <c r="A10" t="s">
        <v>37</v>
      </c>
      <c r="B10" t="s">
        <v>221</v>
      </c>
      <c r="C10" t="s">
        <v>36</v>
      </c>
      <c r="D10" t="s">
        <v>39</v>
      </c>
      <c r="E10">
        <v>24000</v>
      </c>
      <c r="F10" t="s">
        <v>187</v>
      </c>
      <c r="G10" t="s">
        <v>108</v>
      </c>
      <c r="H10" t="s">
        <v>43</v>
      </c>
      <c r="I10">
        <v>9.5</v>
      </c>
      <c r="J10">
        <v>4.4999999999999998E-2</v>
      </c>
      <c r="K10">
        <v>10</v>
      </c>
      <c r="L10">
        <v>14.51</v>
      </c>
      <c r="M10" s="2">
        <v>218</v>
      </c>
      <c r="N10" s="2">
        <v>218</v>
      </c>
      <c r="O10">
        <v>81</v>
      </c>
      <c r="P10" s="6">
        <f>1091</f>
        <v>1091</v>
      </c>
      <c r="Q10">
        <f>2.3*10^15</f>
        <v>2300000000000000</v>
      </c>
      <c r="AA10">
        <f>(0.6)*10^15</f>
        <v>600000000000000</v>
      </c>
      <c r="AD10" t="str">
        <f t="shared" si="0"/>
        <v>Voigt (2021)|ECLIF2/ND-MAX|Cruise|V2527-A5|24000|Climb</v>
      </c>
      <c r="AE10" s="13" cm="1">
        <f t="array" ref="AE10">I10 / _xlfn.XLOOKUP($AD10 &amp; "|" &amp; $H10, $AD:$AD &amp; "|" &amp; $G:$G, I:I)</f>
        <v>0.55232558139534882</v>
      </c>
      <c r="AF10" s="13" cm="1">
        <f t="array" ref="AF10">J10 / _xlfn.XLOOKUP($AD10 &amp; "|" &amp; $H10, $AD:$AD &amp; "|" &amp; $G:$G, J:J)</f>
        <v>2.4590163934426229E-2</v>
      </c>
      <c r="AG10" s="13" cm="1">
        <f t="array" ref="AG10">K10 / _xlfn.XLOOKUP($AD10 &amp; "|" &amp; $H10, $AD:$AD &amp; "|" &amp; $G:$G, K:K)</f>
        <v>7.4074074074074077E-3</v>
      </c>
      <c r="AH10" s="13" cm="1">
        <f t="array" ref="AH10">L10 / _xlfn.XLOOKUP($AD10 &amp; "|" &amp; $H10, $AD:$AD &amp; "|" &amp; $G:$G, L:L)</f>
        <v>1.0568099053168245</v>
      </c>
      <c r="AI10" s="13" cm="1">
        <f t="array" ref="AI10">M10 / _xlfn.XLOOKUP($AD10 &amp; "|" &amp; $H10, $AD:$AD &amp; "|" &amp; $G:$G, M:M)</f>
        <v>1.0139534883720931</v>
      </c>
      <c r="AJ10" s="13" cm="1">
        <f t="array" ref="AJ10">N10 / _xlfn.XLOOKUP($AD10 &amp; "|" &amp; $H10, $AD:$AD &amp; "|" &amp; $G:$G, N:N)</f>
        <v>1.0139534883720931</v>
      </c>
      <c r="AK10" s="13" cm="1">
        <f t="array" ref="AK10">O10 / _xlfn.XLOOKUP($AD10 &amp; "|" &amp; $H10, $AD:$AD &amp; "|" &amp; $G:$G, O:O)</f>
        <v>1</v>
      </c>
      <c r="AL10" s="13" cm="1">
        <f t="array" ref="AL10">P10 / _xlfn.XLOOKUP($AD10 &amp; "|" &amp; $H10, $AD:$AD &amp; "|" &amp; $G:$G, P:P)</f>
        <v>0.9245762711864407</v>
      </c>
      <c r="AM10" s="13" cm="1">
        <f t="array" ref="AM10">Q10 / _xlfn.XLOOKUP($AD10 &amp; "|" &amp; $H10, $AD:$AD &amp; "|" &amp; $G:$G, Q:Q)</f>
        <v>0.46938775510204084</v>
      </c>
      <c r="AP10" s="13"/>
      <c r="AU10" s="13"/>
      <c r="AW10" s="13" cm="1">
        <f t="array" ref="AW10">_xlfn.XLOOKUP($AD10 &amp; "|" &amp; $H10, $AD:$AD &amp; "|" &amp; $G:$G, L:L)</f>
        <v>13.73</v>
      </c>
      <c r="AY10" s="13"/>
      <c r="AZ10" t="s">
        <v>231</v>
      </c>
    </row>
    <row r="11" spans="1:52" x14ac:dyDescent="0.2">
      <c r="A11" t="s">
        <v>48</v>
      </c>
      <c r="B11" t="s">
        <v>49</v>
      </c>
      <c r="C11" t="s">
        <v>110</v>
      </c>
      <c r="D11" t="s">
        <v>55</v>
      </c>
      <c r="E11">
        <v>1</v>
      </c>
      <c r="F11" t="s">
        <v>190</v>
      </c>
      <c r="G11" s="1" t="s">
        <v>50</v>
      </c>
      <c r="H11" s="1"/>
      <c r="I11" s="1">
        <v>18.5</v>
      </c>
      <c r="J11" s="1"/>
      <c r="L11">
        <v>13.8</v>
      </c>
      <c r="M11" s="2">
        <f>4 + 273.15</f>
        <v>277.14999999999998</v>
      </c>
      <c r="N11" s="2">
        <f>4 + 273.15</f>
        <v>277.14999999999998</v>
      </c>
      <c r="O11">
        <v>3</v>
      </c>
      <c r="P11" s="6">
        <v>700</v>
      </c>
      <c r="AD11" t="str">
        <f t="shared" si="0"/>
        <v>Lobo (2011)|ARI &amp; AFRL|Ground|CFM56-7B|1|Idle (min)</v>
      </c>
      <c r="AW11" s="13" t="e" cm="1">
        <f t="array" ref="AW11">_xlfn.XLOOKUP($AD11 &amp; "|" &amp; $H11, $AD:$AD &amp; "|" &amp; $G:$G, L:L)</f>
        <v>#N/A</v>
      </c>
      <c r="AZ11" t="s">
        <v>235</v>
      </c>
    </row>
    <row r="12" spans="1:52" x14ac:dyDescent="0.2">
      <c r="A12" t="s">
        <v>48</v>
      </c>
      <c r="B12" t="s">
        <v>49</v>
      </c>
      <c r="C12" t="s">
        <v>110</v>
      </c>
      <c r="D12" t="s">
        <v>55</v>
      </c>
      <c r="E12">
        <v>1</v>
      </c>
      <c r="F12" t="s">
        <v>190</v>
      </c>
      <c r="G12" s="1" t="s">
        <v>53</v>
      </c>
      <c r="H12" s="1" t="s">
        <v>50</v>
      </c>
      <c r="I12" s="1">
        <v>9.25</v>
      </c>
      <c r="J12" s="1"/>
      <c r="L12">
        <v>14.52</v>
      </c>
      <c r="M12">
        <v>273.14999999999998</v>
      </c>
      <c r="N12">
        <v>273.14999999999998</v>
      </c>
      <c r="O12">
        <v>3</v>
      </c>
      <c r="P12" s="6">
        <v>700</v>
      </c>
      <c r="AD12" t="str">
        <f t="shared" si="0"/>
        <v>Lobo (2011)|ARI &amp; AFRL|Ground|CFM56-7B|1|Idle (min)</v>
      </c>
      <c r="AE12" s="13" cm="1">
        <f t="array" ref="AE12">I12 / _xlfn.XLOOKUP($AD12 &amp; "|" &amp; $H12, $AD:$AD &amp; "|" &amp; $G:$G, I:I)</f>
        <v>0.5</v>
      </c>
      <c r="AF12" s="13" t="e" cm="1">
        <f t="array" ref="AF12">J12 / _xlfn.XLOOKUP($AD12 &amp; "|" &amp; $H12, $AD:$AD &amp; "|" &amp; $G:$G, J:J)</f>
        <v>#DIV/0!</v>
      </c>
      <c r="AG12" s="13" t="e" cm="1">
        <f t="array" ref="AG12">K12 / _xlfn.XLOOKUP($AD12 &amp; "|" &amp; $H12, $AD:$AD &amp; "|" &amp; $G:$G, K:K)</f>
        <v>#DIV/0!</v>
      </c>
      <c r="AH12" s="13" cm="1">
        <f t="array" ref="AH12">L12 / _xlfn.XLOOKUP($AD12 &amp; "|" &amp; $H12, $AD:$AD &amp; "|" &amp; $G:$G, L:L)</f>
        <v>1.0521739130434782</v>
      </c>
      <c r="AI12" s="13" cm="1">
        <f t="array" ref="AI12">M12 / _xlfn.XLOOKUP($AD12 &amp; "|" &amp; $H12, $AD:$AD &amp; "|" &amp; $G:$G, M:M)</f>
        <v>0.98556738228396179</v>
      </c>
      <c r="AJ12" s="13" cm="1">
        <f t="array" ref="AJ12">N12 / _xlfn.XLOOKUP($AD12 &amp; "|" &amp; $H12, $AD:$AD &amp; "|" &amp; $G:$G, N:N)</f>
        <v>0.98556738228396179</v>
      </c>
      <c r="AK12" s="13" cm="1">
        <f t="array" ref="AK12">O12 / _xlfn.XLOOKUP($AD12 &amp; "|" &amp; $H12, $AD:$AD &amp; "|" &amp; $G:$G, O:O)</f>
        <v>1</v>
      </c>
      <c r="AL12" s="13" cm="1">
        <f t="array" ref="AL12">P12 / _xlfn.XLOOKUP($AD12 &amp; "|" &amp; $H12, $AD:$AD &amp; "|" &amp; $G:$G, P:P)</f>
        <v>1</v>
      </c>
      <c r="AM12">
        <f>1-0.85</f>
        <v>0.15000000000000002</v>
      </c>
      <c r="AP12">
        <f>1-0.84</f>
        <v>0.16000000000000003</v>
      </c>
      <c r="AW12" s="13" cm="1">
        <f t="array" ref="AW12">_xlfn.XLOOKUP($AD12 &amp; "|" &amp; $H12, $AD:$AD &amp; "|" &amp; $G:$G, L:L)</f>
        <v>13.8</v>
      </c>
      <c r="AX12" s="13"/>
      <c r="AZ12" t="s">
        <v>235</v>
      </c>
    </row>
    <row r="13" spans="1:52" x14ac:dyDescent="0.2">
      <c r="A13" t="s">
        <v>48</v>
      </c>
      <c r="B13" t="s">
        <v>49</v>
      </c>
      <c r="C13" t="s">
        <v>110</v>
      </c>
      <c r="D13" t="s">
        <v>55</v>
      </c>
      <c r="E13">
        <v>1</v>
      </c>
      <c r="F13" t="s">
        <v>190</v>
      </c>
      <c r="G13" s="1" t="s">
        <v>54</v>
      </c>
      <c r="H13" s="1" t="s">
        <v>50</v>
      </c>
      <c r="I13">
        <v>0.2</v>
      </c>
      <c r="J13" s="1"/>
      <c r="L13">
        <v>15.32</v>
      </c>
      <c r="M13">
        <v>273.14999999999998</v>
      </c>
      <c r="N13">
        <v>273.14999999999998</v>
      </c>
      <c r="O13">
        <v>3</v>
      </c>
      <c r="P13" s="6">
        <v>700</v>
      </c>
      <c r="AD13" t="str">
        <f t="shared" si="0"/>
        <v>Lobo (2011)|ARI &amp; AFRL|Ground|CFM56-7B|1|Idle (min)</v>
      </c>
      <c r="AE13" s="13" cm="1">
        <f t="array" ref="AE13">I13 / _xlfn.XLOOKUP($AD13 &amp; "|" &amp; $H13, $AD:$AD &amp; "|" &amp; $G:$G, I:I)</f>
        <v>1.0810810810810811E-2</v>
      </c>
      <c r="AF13" s="13" t="e" cm="1">
        <f t="array" ref="AF13">J13 / _xlfn.XLOOKUP($AD13 &amp; "|" &amp; $H13, $AD:$AD &amp; "|" &amp; $G:$G, J:J)</f>
        <v>#DIV/0!</v>
      </c>
      <c r="AG13" s="13" t="e" cm="1">
        <f t="array" ref="AG13">K13 / _xlfn.XLOOKUP($AD13 &amp; "|" &amp; $H13, $AD:$AD &amp; "|" &amp; $G:$G, K:K)</f>
        <v>#DIV/0!</v>
      </c>
      <c r="AH13" s="13" cm="1">
        <f t="array" ref="AH13">L13 / _xlfn.XLOOKUP($AD13 &amp; "|" &amp; $H13, $AD:$AD &amp; "|" &amp; $G:$G, L:L)</f>
        <v>1.1101449275362318</v>
      </c>
      <c r="AI13" s="13" cm="1">
        <f t="array" ref="AI13">M13 / _xlfn.XLOOKUP($AD13 &amp; "|" &amp; $H13, $AD:$AD &amp; "|" &amp; $G:$G, M:M)</f>
        <v>0.98556738228396179</v>
      </c>
      <c r="AJ13" s="13" cm="1">
        <f t="array" ref="AJ13">N13 / _xlfn.XLOOKUP($AD13 &amp; "|" &amp; $H13, $AD:$AD &amp; "|" &amp; $G:$G, N:N)</f>
        <v>0.98556738228396179</v>
      </c>
      <c r="AK13" s="13" cm="1">
        <f t="array" ref="AK13">O13 / _xlfn.XLOOKUP($AD13 &amp; "|" &amp; $H13, $AD:$AD &amp; "|" &amp; $G:$G, O:O)</f>
        <v>1</v>
      </c>
      <c r="AL13" s="13" cm="1">
        <f t="array" ref="AL13">P13 / _xlfn.XLOOKUP($AD13 &amp; "|" &amp; $H13, $AD:$AD &amp; "|" &amp; $G:$G, P:P)</f>
        <v>1</v>
      </c>
      <c r="AM13">
        <f>1-0.94</f>
        <v>6.0000000000000053E-2</v>
      </c>
      <c r="AP13">
        <f>1-0.9</f>
        <v>9.9999999999999978E-2</v>
      </c>
      <c r="AW13" s="13" cm="1">
        <f t="array" ref="AW13">_xlfn.XLOOKUP($AD13 &amp; "|" &amp; $H13, $AD:$AD &amp; "|" &amp; $G:$G, L:L)</f>
        <v>13.8</v>
      </c>
      <c r="AX13" s="13"/>
      <c r="AZ13" t="s">
        <v>235</v>
      </c>
    </row>
    <row r="14" spans="1:52" x14ac:dyDescent="0.2">
      <c r="A14" t="s">
        <v>48</v>
      </c>
      <c r="B14" t="s">
        <v>49</v>
      </c>
      <c r="C14" t="s">
        <v>110</v>
      </c>
      <c r="D14" t="s">
        <v>55</v>
      </c>
      <c r="E14">
        <v>1</v>
      </c>
      <c r="F14" t="s">
        <v>191</v>
      </c>
      <c r="G14" s="1" t="s">
        <v>50</v>
      </c>
      <c r="H14" s="1"/>
      <c r="I14" s="1">
        <v>18.5</v>
      </c>
      <c r="J14" s="1"/>
      <c r="L14">
        <v>13.8</v>
      </c>
      <c r="M14">
        <f>4 + 273.15</f>
        <v>277.14999999999998</v>
      </c>
      <c r="N14">
        <f>4 + 273.15</f>
        <v>277.14999999999998</v>
      </c>
      <c r="O14">
        <v>7</v>
      </c>
      <c r="P14" s="6">
        <v>940</v>
      </c>
      <c r="AD14" t="str">
        <f t="shared" si="0"/>
        <v>Lobo (2011)|ARI &amp; AFRL|Ground|CFM56-7B|1|Idle (approach)</v>
      </c>
      <c r="AW14" s="13" t="e" cm="1">
        <f t="array" ref="AW14">_xlfn.XLOOKUP($AD14 &amp; "|" &amp; $H14, $AD:$AD &amp; "|" &amp; $G:$G, L:L)</f>
        <v>#N/A</v>
      </c>
      <c r="AZ14" t="s">
        <v>235</v>
      </c>
    </row>
    <row r="15" spans="1:52" x14ac:dyDescent="0.2">
      <c r="A15" t="s">
        <v>48</v>
      </c>
      <c r="B15" t="s">
        <v>49</v>
      </c>
      <c r="C15" t="s">
        <v>110</v>
      </c>
      <c r="D15" t="s">
        <v>55</v>
      </c>
      <c r="E15">
        <v>1</v>
      </c>
      <c r="F15" t="s">
        <v>191</v>
      </c>
      <c r="G15" s="1" t="s">
        <v>53</v>
      </c>
      <c r="H15" s="1" t="s">
        <v>50</v>
      </c>
      <c r="I15" s="1">
        <v>9.25</v>
      </c>
      <c r="J15" s="1"/>
      <c r="L15">
        <v>14.52</v>
      </c>
      <c r="M15">
        <v>273.14999999999998</v>
      </c>
      <c r="N15">
        <v>273.14999999999998</v>
      </c>
      <c r="O15">
        <v>7</v>
      </c>
      <c r="P15" s="6">
        <v>940</v>
      </c>
      <c r="AD15" t="str">
        <f t="shared" si="0"/>
        <v>Lobo (2011)|ARI &amp; AFRL|Ground|CFM56-7B|1|Idle (approach)</v>
      </c>
      <c r="AE15" s="13" cm="1">
        <f t="array" ref="AE15">I15 / _xlfn.XLOOKUP($AD15 &amp; "|" &amp; $H15, $AD:$AD &amp; "|" &amp; $G:$G, I:I)</f>
        <v>0.5</v>
      </c>
      <c r="AF15" s="13" t="e" cm="1">
        <f t="array" ref="AF15">J15 / _xlfn.XLOOKUP($AD15 &amp; "|" &amp; $H15, $AD:$AD &amp; "|" &amp; $G:$G, J:J)</f>
        <v>#DIV/0!</v>
      </c>
      <c r="AG15" s="13" t="e" cm="1">
        <f t="array" ref="AG15">K15 / _xlfn.XLOOKUP($AD15 &amp; "|" &amp; $H15, $AD:$AD &amp; "|" &amp; $G:$G, K:K)</f>
        <v>#DIV/0!</v>
      </c>
      <c r="AH15" s="13" cm="1">
        <f t="array" ref="AH15">L15 / _xlfn.XLOOKUP($AD15 &amp; "|" &amp; $H15, $AD:$AD &amp; "|" &amp; $G:$G, L:L)</f>
        <v>1.0521739130434782</v>
      </c>
      <c r="AI15" s="13" cm="1">
        <f t="array" ref="AI15">M15 / _xlfn.XLOOKUP($AD15 &amp; "|" &amp; $H15, $AD:$AD &amp; "|" &amp; $G:$G, M:M)</f>
        <v>0.98556738228396179</v>
      </c>
      <c r="AJ15" s="13" cm="1">
        <f t="array" ref="AJ15">N15 / _xlfn.XLOOKUP($AD15 &amp; "|" &amp; $H15, $AD:$AD &amp; "|" &amp; $G:$G, N:N)</f>
        <v>0.98556738228396179</v>
      </c>
      <c r="AK15" s="13" cm="1">
        <f t="array" ref="AK15">O15 / _xlfn.XLOOKUP($AD15 &amp; "|" &amp; $H15, $AD:$AD &amp; "|" &amp; $G:$G, O:O)</f>
        <v>1</v>
      </c>
      <c r="AL15" s="13" cm="1">
        <f t="array" ref="AL15">P15 / _xlfn.XLOOKUP($AD15 &amp; "|" &amp; $H15, $AD:$AD &amp; "|" &amp; $G:$G, P:P)</f>
        <v>1</v>
      </c>
      <c r="AM15">
        <f>1-0.74</f>
        <v>0.26</v>
      </c>
      <c r="AP15">
        <f>1-0.65</f>
        <v>0.35</v>
      </c>
      <c r="AU15">
        <f>0.93</f>
        <v>0.93</v>
      </c>
      <c r="AW15" s="13" cm="1">
        <f t="array" ref="AW15">_xlfn.XLOOKUP($AD15 &amp; "|" &amp; $H15, $AD:$AD &amp; "|" &amp; $G:$G, L:L)</f>
        <v>13.8</v>
      </c>
      <c r="AX15" s="13"/>
      <c r="AZ15" t="s">
        <v>235</v>
      </c>
    </row>
    <row r="16" spans="1:52" x14ac:dyDescent="0.2">
      <c r="A16" t="s">
        <v>48</v>
      </c>
      <c r="B16" t="s">
        <v>49</v>
      </c>
      <c r="C16" t="s">
        <v>110</v>
      </c>
      <c r="D16" t="s">
        <v>55</v>
      </c>
      <c r="E16">
        <v>1</v>
      </c>
      <c r="F16" t="s">
        <v>191</v>
      </c>
      <c r="G16" s="1" t="s">
        <v>54</v>
      </c>
      <c r="H16" s="1" t="s">
        <v>50</v>
      </c>
      <c r="I16">
        <v>0.2</v>
      </c>
      <c r="J16" s="1"/>
      <c r="L16">
        <v>15.32</v>
      </c>
      <c r="M16">
        <v>273.14999999999998</v>
      </c>
      <c r="N16">
        <v>273.14999999999998</v>
      </c>
      <c r="O16">
        <v>7</v>
      </c>
      <c r="P16" s="6">
        <v>940</v>
      </c>
      <c r="AD16" t="str">
        <f t="shared" ref="AD16:AD70" si="2">A16 &amp; "|" &amp; B16 &amp; "|" &amp; C16 &amp; "|" &amp; D16 &amp; "|" &amp; E16 &amp;"|" &amp; F16</f>
        <v>Lobo (2011)|ARI &amp; AFRL|Ground|CFM56-7B|1|Idle (approach)</v>
      </c>
      <c r="AE16" s="13" cm="1">
        <f t="array" ref="AE16">I16 / _xlfn.XLOOKUP($AD16 &amp; "|" &amp; $H16, $AD:$AD &amp; "|" &amp; $G:$G, I:I)</f>
        <v>1.0810810810810811E-2</v>
      </c>
      <c r="AF16" s="13" t="e" cm="1">
        <f t="array" ref="AF16">J16 / _xlfn.XLOOKUP($AD16 &amp; "|" &amp; $H16, $AD:$AD &amp; "|" &amp; $G:$G, J:J)</f>
        <v>#DIV/0!</v>
      </c>
      <c r="AG16" s="13" t="e" cm="1">
        <f t="array" ref="AG16">K16 / _xlfn.XLOOKUP($AD16 &amp; "|" &amp; $H16, $AD:$AD &amp; "|" &amp; $G:$G, K:K)</f>
        <v>#DIV/0!</v>
      </c>
      <c r="AH16" s="13" cm="1">
        <f t="array" ref="AH16">L16 / _xlfn.XLOOKUP($AD16 &amp; "|" &amp; $H16, $AD:$AD &amp; "|" &amp; $G:$G, L:L)</f>
        <v>1.1101449275362318</v>
      </c>
      <c r="AI16" s="13" cm="1">
        <f t="array" ref="AI16">M16 / _xlfn.XLOOKUP($AD16 &amp; "|" &amp; $H16, $AD:$AD &amp; "|" &amp; $G:$G, M:M)</f>
        <v>0.98556738228396179</v>
      </c>
      <c r="AJ16" s="13" cm="1">
        <f t="array" ref="AJ16">N16 / _xlfn.XLOOKUP($AD16 &amp; "|" &amp; $H16, $AD:$AD &amp; "|" &amp; $G:$G, N:N)</f>
        <v>0.98556738228396179</v>
      </c>
      <c r="AK16" s="13" cm="1">
        <f t="array" ref="AK16">O16 / _xlfn.XLOOKUP($AD16 &amp; "|" &amp; $H16, $AD:$AD &amp; "|" &amp; $G:$G, O:O)</f>
        <v>1</v>
      </c>
      <c r="AL16" s="13" cm="1">
        <f t="array" ref="AL16">P16 / _xlfn.XLOOKUP($AD16 &amp; "|" &amp; $H16, $AD:$AD &amp; "|" &amp; $G:$G, P:P)</f>
        <v>1</v>
      </c>
      <c r="AM16">
        <f>1-0.93</f>
        <v>6.9999999999999951E-2</v>
      </c>
      <c r="AP16">
        <f>1-0.67</f>
        <v>0.32999999999999996</v>
      </c>
      <c r="AU16">
        <f>0.8</f>
        <v>0.8</v>
      </c>
      <c r="AW16" s="13" cm="1">
        <f t="array" ref="AW16">_xlfn.XLOOKUP($AD16 &amp; "|" &amp; $H16, $AD:$AD &amp; "|" &amp; $G:$G, L:L)</f>
        <v>13.8</v>
      </c>
      <c r="AX16" s="13"/>
      <c r="AZ16" t="s">
        <v>235</v>
      </c>
    </row>
    <row r="17" spans="1:52" x14ac:dyDescent="0.2">
      <c r="A17" t="s">
        <v>48</v>
      </c>
      <c r="B17" t="s">
        <v>49</v>
      </c>
      <c r="C17" t="s">
        <v>110</v>
      </c>
      <c r="D17" t="s">
        <v>55</v>
      </c>
      <c r="E17">
        <v>1</v>
      </c>
      <c r="F17" t="s">
        <v>192</v>
      </c>
      <c r="G17" s="1" t="s">
        <v>50</v>
      </c>
      <c r="H17" s="1"/>
      <c r="I17" s="1">
        <v>18.5</v>
      </c>
      <c r="J17" s="1"/>
      <c r="L17">
        <v>13.8</v>
      </c>
      <c r="M17">
        <f>4 + 273.15</f>
        <v>277.14999999999998</v>
      </c>
      <c r="N17">
        <f>4 + 273.15</f>
        <v>277.14999999999998</v>
      </c>
      <c r="O17">
        <v>30</v>
      </c>
      <c r="P17" s="6">
        <v>2800</v>
      </c>
      <c r="AD17" t="str">
        <f t="shared" si="2"/>
        <v>Lobo (2011)|ARI &amp; AFRL|Ground|CFM56-7B|1|Intermediate</v>
      </c>
      <c r="AW17" s="13" t="e" cm="1">
        <f t="array" ref="AW17">_xlfn.XLOOKUP($AD17 &amp; "|" &amp; $H17, $AD:$AD &amp; "|" &amp; $G:$G, L:L)</f>
        <v>#N/A</v>
      </c>
      <c r="AZ17" t="s">
        <v>235</v>
      </c>
    </row>
    <row r="18" spans="1:52" x14ac:dyDescent="0.2">
      <c r="A18" t="s">
        <v>48</v>
      </c>
      <c r="B18" t="s">
        <v>49</v>
      </c>
      <c r="C18" t="s">
        <v>110</v>
      </c>
      <c r="D18" t="s">
        <v>55</v>
      </c>
      <c r="E18">
        <v>1</v>
      </c>
      <c r="F18" t="s">
        <v>192</v>
      </c>
      <c r="G18" s="1" t="s">
        <v>53</v>
      </c>
      <c r="H18" s="1" t="s">
        <v>50</v>
      </c>
      <c r="I18" s="1">
        <v>9.25</v>
      </c>
      <c r="J18" s="1"/>
      <c r="L18">
        <v>14.52</v>
      </c>
      <c r="M18">
        <v>273.14999999999998</v>
      </c>
      <c r="N18">
        <v>273.14999999999998</v>
      </c>
      <c r="O18">
        <v>30</v>
      </c>
      <c r="P18" s="6">
        <v>2800</v>
      </c>
      <c r="AD18" t="str">
        <f t="shared" si="2"/>
        <v>Lobo (2011)|ARI &amp; AFRL|Ground|CFM56-7B|1|Intermediate</v>
      </c>
      <c r="AE18" s="13" cm="1">
        <f t="array" ref="AE18">I18 / _xlfn.XLOOKUP($AD18 &amp; "|" &amp; $H18, $AD:$AD &amp; "|" &amp; $G:$G, I:I)</f>
        <v>0.5</v>
      </c>
      <c r="AF18" s="13" t="e" cm="1">
        <f t="array" ref="AF18">J18 / _xlfn.XLOOKUP($AD18 &amp; "|" &amp; $H18, $AD:$AD &amp; "|" &amp; $G:$G, J:J)</f>
        <v>#DIV/0!</v>
      </c>
      <c r="AG18" s="13" t="e" cm="1">
        <f t="array" ref="AG18">K18 / _xlfn.XLOOKUP($AD18 &amp; "|" &amp; $H18, $AD:$AD &amp; "|" &amp; $G:$G, K:K)</f>
        <v>#DIV/0!</v>
      </c>
      <c r="AH18" s="13" cm="1">
        <f t="array" ref="AH18">L18 / _xlfn.XLOOKUP($AD18 &amp; "|" &amp; $H18, $AD:$AD &amp; "|" &amp; $G:$G, L:L)</f>
        <v>1.0521739130434782</v>
      </c>
      <c r="AI18" s="13" cm="1">
        <f t="array" ref="AI18">M18 / _xlfn.XLOOKUP($AD18 &amp; "|" &amp; $H18, $AD:$AD &amp; "|" &amp; $G:$G, M:M)</f>
        <v>0.98556738228396179</v>
      </c>
      <c r="AJ18" s="13" cm="1">
        <f t="array" ref="AJ18">N18 / _xlfn.XLOOKUP($AD18 &amp; "|" &amp; $H18, $AD:$AD &amp; "|" &amp; $G:$G, N:N)</f>
        <v>0.98556738228396179</v>
      </c>
      <c r="AK18" s="13" cm="1">
        <f t="array" ref="AK18">O18 / _xlfn.XLOOKUP($AD18 &amp; "|" &amp; $H18, $AD:$AD &amp; "|" &amp; $G:$G, O:O)</f>
        <v>1</v>
      </c>
      <c r="AL18" s="13" cm="1">
        <f t="array" ref="AL18">P18 / _xlfn.XLOOKUP($AD18 &amp; "|" &amp; $H18, $AD:$AD &amp; "|" &amp; $G:$G, P:P)</f>
        <v>1</v>
      </c>
      <c r="AM18">
        <f>1-0.48</f>
        <v>0.52</v>
      </c>
      <c r="AP18">
        <f>1-0.63</f>
        <v>0.37</v>
      </c>
      <c r="AU18">
        <f>0.94</f>
        <v>0.94</v>
      </c>
      <c r="AW18" s="13" cm="1">
        <f t="array" ref="AW18">_xlfn.XLOOKUP($AD18 &amp; "|" &amp; $H18, $AD:$AD &amp; "|" &amp; $G:$G, L:L)</f>
        <v>13.8</v>
      </c>
      <c r="AX18" s="13"/>
      <c r="AZ18" t="s">
        <v>235</v>
      </c>
    </row>
    <row r="19" spans="1:52" x14ac:dyDescent="0.2">
      <c r="A19" t="s">
        <v>48</v>
      </c>
      <c r="B19" t="s">
        <v>49</v>
      </c>
      <c r="C19" t="s">
        <v>110</v>
      </c>
      <c r="D19" t="s">
        <v>55</v>
      </c>
      <c r="E19">
        <v>1</v>
      </c>
      <c r="F19" t="s">
        <v>192</v>
      </c>
      <c r="G19" s="1" t="s">
        <v>54</v>
      </c>
      <c r="H19" s="1" t="s">
        <v>50</v>
      </c>
      <c r="I19">
        <v>0.2</v>
      </c>
      <c r="J19" s="1"/>
      <c r="L19">
        <v>15.32</v>
      </c>
      <c r="M19">
        <v>273.14999999999998</v>
      </c>
      <c r="N19">
        <v>273.14999999999998</v>
      </c>
      <c r="O19">
        <v>30</v>
      </c>
      <c r="P19" s="6">
        <v>2800</v>
      </c>
      <c r="AD19" t="str">
        <f t="shared" si="2"/>
        <v>Lobo (2011)|ARI &amp; AFRL|Ground|CFM56-7B|1|Intermediate</v>
      </c>
      <c r="AE19" s="13" cm="1">
        <f t="array" ref="AE19">I19 / _xlfn.XLOOKUP($AD19 &amp; "|" &amp; $H19, $AD:$AD &amp; "|" &amp; $G:$G, I:I)</f>
        <v>1.0810810810810811E-2</v>
      </c>
      <c r="AF19" s="13" t="e" cm="1">
        <f t="array" ref="AF19">J19 / _xlfn.XLOOKUP($AD19 &amp; "|" &amp; $H19, $AD:$AD &amp; "|" &amp; $G:$G, J:J)</f>
        <v>#DIV/0!</v>
      </c>
      <c r="AG19" s="13" t="e" cm="1">
        <f t="array" ref="AG19">K19 / _xlfn.XLOOKUP($AD19 &amp; "|" &amp; $H19, $AD:$AD &amp; "|" &amp; $G:$G, K:K)</f>
        <v>#DIV/0!</v>
      </c>
      <c r="AH19" s="13" cm="1">
        <f t="array" ref="AH19">L19 / _xlfn.XLOOKUP($AD19 &amp; "|" &amp; $H19, $AD:$AD &amp; "|" &amp; $G:$G, L:L)</f>
        <v>1.1101449275362318</v>
      </c>
      <c r="AI19" s="13" cm="1">
        <f t="array" ref="AI19">M19 / _xlfn.XLOOKUP($AD19 &amp; "|" &amp; $H19, $AD:$AD &amp; "|" &amp; $G:$G, M:M)</f>
        <v>0.98556738228396179</v>
      </c>
      <c r="AJ19" s="13" cm="1">
        <f t="array" ref="AJ19">N19 / _xlfn.XLOOKUP($AD19 &amp; "|" &amp; $H19, $AD:$AD &amp; "|" &amp; $G:$G, N:N)</f>
        <v>0.98556738228396179</v>
      </c>
      <c r="AK19" s="13" cm="1">
        <f t="array" ref="AK19">O19 / _xlfn.XLOOKUP($AD19 &amp; "|" &amp; $H19, $AD:$AD &amp; "|" &amp; $G:$G, O:O)</f>
        <v>1</v>
      </c>
      <c r="AL19" s="13" cm="1">
        <f t="array" ref="AL19">P19 / _xlfn.XLOOKUP($AD19 &amp; "|" &amp; $H19, $AD:$AD &amp; "|" &amp; $G:$G, P:P)</f>
        <v>1</v>
      </c>
      <c r="AM19">
        <f>1-0.77</f>
        <v>0.22999999999999998</v>
      </c>
      <c r="AP19">
        <f>1-0.89</f>
        <v>0.10999999999999999</v>
      </c>
      <c r="AU19">
        <f>0.84</f>
        <v>0.84</v>
      </c>
      <c r="AW19" s="13" cm="1">
        <f t="array" ref="AW19">_xlfn.XLOOKUP($AD19 &amp; "|" &amp; $H19, $AD:$AD &amp; "|" &amp; $G:$G, L:L)</f>
        <v>13.8</v>
      </c>
      <c r="AX19" s="13"/>
      <c r="AZ19" t="s">
        <v>235</v>
      </c>
    </row>
    <row r="20" spans="1:52" x14ac:dyDescent="0.2">
      <c r="A20" t="s">
        <v>48</v>
      </c>
      <c r="B20" t="s">
        <v>49</v>
      </c>
      <c r="C20" t="s">
        <v>110</v>
      </c>
      <c r="D20" t="s">
        <v>55</v>
      </c>
      <c r="E20">
        <v>1</v>
      </c>
      <c r="F20" t="s">
        <v>193</v>
      </c>
      <c r="G20" s="1" t="s">
        <v>50</v>
      </c>
      <c r="H20" s="1"/>
      <c r="I20" s="1">
        <v>18.5</v>
      </c>
      <c r="J20" s="1"/>
      <c r="L20">
        <v>13.8</v>
      </c>
      <c r="M20">
        <f>4 + 273.15</f>
        <v>277.14999999999998</v>
      </c>
      <c r="N20">
        <f>4 + 273.15</f>
        <v>277.14999999999998</v>
      </c>
      <c r="O20">
        <v>45</v>
      </c>
      <c r="P20" s="6">
        <v>4200</v>
      </c>
      <c r="AD20" t="str">
        <f t="shared" si="2"/>
        <v>Lobo (2011)|ARI &amp; AFRL|Ground|CFM56-7B|1|Mid-power</v>
      </c>
      <c r="AW20" s="13" t="e" cm="1">
        <f t="array" ref="AW20">_xlfn.XLOOKUP($AD20 &amp; "|" &amp; $H20, $AD:$AD &amp; "|" &amp; $G:$G, L:L)</f>
        <v>#N/A</v>
      </c>
      <c r="AZ20" t="s">
        <v>235</v>
      </c>
    </row>
    <row r="21" spans="1:52" x14ac:dyDescent="0.2">
      <c r="A21" t="s">
        <v>48</v>
      </c>
      <c r="B21" t="s">
        <v>49</v>
      </c>
      <c r="C21" t="s">
        <v>110</v>
      </c>
      <c r="D21" t="s">
        <v>55</v>
      </c>
      <c r="E21">
        <v>1</v>
      </c>
      <c r="F21" t="s">
        <v>193</v>
      </c>
      <c r="G21" s="1" t="s">
        <v>53</v>
      </c>
      <c r="H21" s="1" t="s">
        <v>50</v>
      </c>
      <c r="I21" s="1">
        <v>9.25</v>
      </c>
      <c r="J21" s="1"/>
      <c r="L21">
        <v>14.52</v>
      </c>
      <c r="M21">
        <v>273.14999999999998</v>
      </c>
      <c r="N21">
        <v>273.14999999999998</v>
      </c>
      <c r="O21">
        <v>45</v>
      </c>
      <c r="P21" s="6">
        <v>4200</v>
      </c>
      <c r="AD21" t="str">
        <f t="shared" si="2"/>
        <v>Lobo (2011)|ARI &amp; AFRL|Ground|CFM56-7B|1|Mid-power</v>
      </c>
      <c r="AE21" s="13" cm="1">
        <f t="array" ref="AE21">I21 / _xlfn.XLOOKUP($AD21 &amp; "|" &amp; $H21, $AD:$AD &amp; "|" &amp; $G:$G, I:I)</f>
        <v>0.5</v>
      </c>
      <c r="AF21" s="13" t="e" cm="1">
        <f t="array" ref="AF21">J21 / _xlfn.XLOOKUP($AD21 &amp; "|" &amp; $H21, $AD:$AD &amp; "|" &amp; $G:$G, J:J)</f>
        <v>#DIV/0!</v>
      </c>
      <c r="AG21" s="13" t="e" cm="1">
        <f t="array" ref="AG21">K21 / _xlfn.XLOOKUP($AD21 &amp; "|" &amp; $H21, $AD:$AD &amp; "|" &amp; $G:$G, K:K)</f>
        <v>#DIV/0!</v>
      </c>
      <c r="AH21" s="13" cm="1">
        <f t="array" ref="AH21">L21 / _xlfn.XLOOKUP($AD21 &amp; "|" &amp; $H21, $AD:$AD &amp; "|" &amp; $G:$G, L:L)</f>
        <v>1.0521739130434782</v>
      </c>
      <c r="AI21" s="13" cm="1">
        <f t="array" ref="AI21">M21 / _xlfn.XLOOKUP($AD21 &amp; "|" &amp; $H21, $AD:$AD &amp; "|" &amp; $G:$G, M:M)</f>
        <v>0.98556738228396179</v>
      </c>
      <c r="AJ21" s="13" cm="1">
        <f t="array" ref="AJ21">N21 / _xlfn.XLOOKUP($AD21 &amp; "|" &amp; $H21, $AD:$AD &amp; "|" &amp; $G:$G, N:N)</f>
        <v>0.98556738228396179</v>
      </c>
      <c r="AK21" s="13" cm="1">
        <f t="array" ref="AK21">O21 / _xlfn.XLOOKUP($AD21 &amp; "|" &amp; $H21, $AD:$AD &amp; "|" &amp; $G:$G, O:O)</f>
        <v>1</v>
      </c>
      <c r="AL21" s="13" cm="1">
        <f t="array" ref="AL21">P21 / _xlfn.XLOOKUP($AD21 &amp; "|" &amp; $H21, $AD:$AD &amp; "|" &amp; $G:$G, P:P)</f>
        <v>1</v>
      </c>
      <c r="AM21">
        <f>1-0.44</f>
        <v>0.56000000000000005</v>
      </c>
      <c r="AP21">
        <f>1-0.68</f>
        <v>0.31999999999999995</v>
      </c>
      <c r="AW21" s="13" cm="1">
        <f t="array" ref="AW21">_xlfn.XLOOKUP($AD21 &amp; "|" &amp; $H21, $AD:$AD &amp; "|" &amp; $G:$G, L:L)</f>
        <v>13.8</v>
      </c>
      <c r="AX21" s="13"/>
      <c r="AZ21" t="s">
        <v>235</v>
      </c>
    </row>
    <row r="22" spans="1:52" x14ac:dyDescent="0.2">
      <c r="A22" t="s">
        <v>48</v>
      </c>
      <c r="B22" t="s">
        <v>49</v>
      </c>
      <c r="C22" t="s">
        <v>110</v>
      </c>
      <c r="D22" t="s">
        <v>55</v>
      </c>
      <c r="E22">
        <v>1</v>
      </c>
      <c r="F22" t="s">
        <v>193</v>
      </c>
      <c r="G22" s="1" t="s">
        <v>54</v>
      </c>
      <c r="H22" s="1" t="s">
        <v>50</v>
      </c>
      <c r="I22">
        <v>0.2</v>
      </c>
      <c r="J22" s="1"/>
      <c r="L22">
        <v>15.32</v>
      </c>
      <c r="M22">
        <v>273.14999999999998</v>
      </c>
      <c r="N22">
        <v>273.14999999999998</v>
      </c>
      <c r="O22">
        <v>45</v>
      </c>
      <c r="P22" s="6">
        <v>4200</v>
      </c>
      <c r="R22">
        <f>L21-L23</f>
        <v>0.71999999999999886</v>
      </c>
      <c r="AD22" t="str">
        <f t="shared" si="2"/>
        <v>Lobo (2011)|ARI &amp; AFRL|Ground|CFM56-7B|1|Mid-power</v>
      </c>
      <c r="AE22" s="13" cm="1">
        <f t="array" ref="AE22">I22 / _xlfn.XLOOKUP($AD22 &amp; "|" &amp; $H22, $AD:$AD &amp; "|" &amp; $G:$G, I:I)</f>
        <v>1.0810810810810811E-2</v>
      </c>
      <c r="AF22" s="13" t="e" cm="1">
        <f t="array" ref="AF22">J22 / _xlfn.XLOOKUP($AD22 &amp; "|" &amp; $H22, $AD:$AD &amp; "|" &amp; $G:$G, J:J)</f>
        <v>#DIV/0!</v>
      </c>
      <c r="AG22" s="13" t="e" cm="1">
        <f t="array" ref="AG22">K22 / _xlfn.XLOOKUP($AD22 &amp; "|" &amp; $H22, $AD:$AD &amp; "|" &amp; $G:$G, K:K)</f>
        <v>#DIV/0!</v>
      </c>
      <c r="AH22" s="13" cm="1">
        <f t="array" ref="AH22">L22 / _xlfn.XLOOKUP($AD22 &amp; "|" &amp; $H22, $AD:$AD &amp; "|" &amp; $G:$G, L:L)</f>
        <v>1.1101449275362318</v>
      </c>
      <c r="AI22" s="13" cm="1">
        <f t="array" ref="AI22">M22 / _xlfn.XLOOKUP($AD22 &amp; "|" &amp; $H22, $AD:$AD &amp; "|" &amp; $G:$G, M:M)</f>
        <v>0.98556738228396179</v>
      </c>
      <c r="AJ22" s="13" cm="1">
        <f t="array" ref="AJ22">N22 / _xlfn.XLOOKUP($AD22 &amp; "|" &amp; $H22, $AD:$AD &amp; "|" &amp; $G:$G, N:N)</f>
        <v>0.98556738228396179</v>
      </c>
      <c r="AK22" s="13" cm="1">
        <f t="array" ref="AK22">O22 / _xlfn.XLOOKUP($AD22 &amp; "|" &amp; $H22, $AD:$AD &amp; "|" &amp; $G:$G, O:O)</f>
        <v>1</v>
      </c>
      <c r="AL22" s="13" cm="1">
        <f t="array" ref="AL22">P22 / _xlfn.XLOOKUP($AD22 &amp; "|" &amp; $H22, $AD:$AD &amp; "|" &amp; $G:$G, P:P)</f>
        <v>1</v>
      </c>
      <c r="AM22">
        <f>1-0.67</f>
        <v>0.32999999999999996</v>
      </c>
      <c r="AP22">
        <f>1-0.89</f>
        <v>0.10999999999999999</v>
      </c>
      <c r="AW22" s="13" cm="1">
        <f t="array" ref="AW22">_xlfn.XLOOKUP($AD22 &amp; "|" &amp; $H22, $AD:$AD &amp; "|" &amp; $G:$G, L:L)</f>
        <v>13.8</v>
      </c>
      <c r="AX22" s="13"/>
      <c r="AZ22" t="s">
        <v>235</v>
      </c>
    </row>
    <row r="23" spans="1:52" x14ac:dyDescent="0.2">
      <c r="A23" t="s">
        <v>48</v>
      </c>
      <c r="B23" t="s">
        <v>49</v>
      </c>
      <c r="C23" t="s">
        <v>110</v>
      </c>
      <c r="D23" t="s">
        <v>55</v>
      </c>
      <c r="E23">
        <v>1</v>
      </c>
      <c r="F23" t="s">
        <v>194</v>
      </c>
      <c r="G23" s="1" t="s">
        <v>50</v>
      </c>
      <c r="H23" s="1"/>
      <c r="I23" s="1">
        <v>18.5</v>
      </c>
      <c r="J23" s="1"/>
      <c r="L23">
        <v>13.8</v>
      </c>
      <c r="M23">
        <f>4 + 273.15</f>
        <v>277.14999999999998</v>
      </c>
      <c r="N23">
        <f>4 + 273.15</f>
        <v>277.14999999999998</v>
      </c>
      <c r="O23">
        <v>65</v>
      </c>
      <c r="P23" s="6">
        <v>6350</v>
      </c>
      <c r="AD23" t="str">
        <f t="shared" si="2"/>
        <v>Lobo (2011)|ARI &amp; AFRL|Ground|CFM56-7B|1|Mid-high power</v>
      </c>
      <c r="AW23" s="13"/>
      <c r="AX23" s="13"/>
      <c r="AZ23" t="s">
        <v>235</v>
      </c>
    </row>
    <row r="24" spans="1:52" x14ac:dyDescent="0.2">
      <c r="A24" t="s">
        <v>48</v>
      </c>
      <c r="B24" t="s">
        <v>49</v>
      </c>
      <c r="C24" t="s">
        <v>110</v>
      </c>
      <c r="D24" t="s">
        <v>55</v>
      </c>
      <c r="E24">
        <v>1</v>
      </c>
      <c r="F24" t="s">
        <v>194</v>
      </c>
      <c r="G24" s="1" t="s">
        <v>53</v>
      </c>
      <c r="H24" s="1" t="s">
        <v>50</v>
      </c>
      <c r="I24" s="1">
        <v>9.25</v>
      </c>
      <c r="J24" s="1"/>
      <c r="L24">
        <v>14.52</v>
      </c>
      <c r="M24">
        <v>273.14999999999998</v>
      </c>
      <c r="N24">
        <v>273.14999999999998</v>
      </c>
      <c r="O24">
        <v>65</v>
      </c>
      <c r="P24" s="6">
        <v>6350</v>
      </c>
      <c r="AD24" t="str">
        <f t="shared" si="2"/>
        <v>Lobo (2011)|ARI &amp; AFRL|Ground|CFM56-7B|1|Mid-high power</v>
      </c>
      <c r="AE24" s="13" cm="1">
        <f t="array" ref="AE24">I24 / _xlfn.XLOOKUP($AD24 &amp; "|" &amp; $H24, $AD:$AD &amp; "|" &amp; $G:$G, I:I)</f>
        <v>0.5</v>
      </c>
      <c r="AF24" s="13" t="e" cm="1">
        <f t="array" ref="AF24">J24 / _xlfn.XLOOKUP($AD24 &amp; "|" &amp; $H24, $AD:$AD &amp; "|" &amp; $G:$G, J:J)</f>
        <v>#DIV/0!</v>
      </c>
      <c r="AG24" s="13" t="e" cm="1">
        <f t="array" ref="AG24">K24 / _xlfn.XLOOKUP($AD24 &amp; "|" &amp; $H24, $AD:$AD &amp; "|" &amp; $G:$G, K:K)</f>
        <v>#DIV/0!</v>
      </c>
      <c r="AH24" s="13" cm="1">
        <f t="array" ref="AH24">L24 / _xlfn.XLOOKUP($AD24 &amp; "|" &amp; $H24, $AD:$AD &amp; "|" &amp; $G:$G, L:L)</f>
        <v>1.0521739130434782</v>
      </c>
      <c r="AI24" s="13" cm="1">
        <f t="array" ref="AI24">M24 / _xlfn.XLOOKUP($AD24 &amp; "|" &amp; $H24, $AD:$AD &amp; "|" &amp; $G:$G, M:M)</f>
        <v>0.98556738228396179</v>
      </c>
      <c r="AJ24" s="13" cm="1">
        <f t="array" ref="AJ24">N24 / _xlfn.XLOOKUP($AD24 &amp; "|" &amp; $H24, $AD:$AD &amp; "|" &amp; $G:$G, N:N)</f>
        <v>0.98556738228396179</v>
      </c>
      <c r="AK24" s="13" cm="1">
        <f t="array" ref="AK24">O24 / _xlfn.XLOOKUP($AD24 &amp; "|" &amp; $H24, $AD:$AD &amp; "|" &amp; $G:$G, O:O)</f>
        <v>1</v>
      </c>
      <c r="AL24" s="13" cm="1">
        <f t="array" ref="AL24">P24 / _xlfn.XLOOKUP($AD24 &amp; "|" &amp; $H24, $AD:$AD &amp; "|" &amp; $G:$G, P:P)</f>
        <v>1</v>
      </c>
      <c r="AM24">
        <f>1-0.3</f>
        <v>0.7</v>
      </c>
      <c r="AP24">
        <f>1-0.56</f>
        <v>0.43999999999999995</v>
      </c>
      <c r="AW24" s="13" cm="1">
        <f t="array" ref="AW24">_xlfn.XLOOKUP($AD24 &amp; "|" &amp; $H24, $AD:$AD &amp; "|" &amp; $G:$G, L:L)</f>
        <v>13.8</v>
      </c>
      <c r="AX24" s="13"/>
      <c r="AZ24" t="s">
        <v>235</v>
      </c>
    </row>
    <row r="25" spans="1:52" x14ac:dyDescent="0.2">
      <c r="A25" t="s">
        <v>48</v>
      </c>
      <c r="B25" t="s">
        <v>49</v>
      </c>
      <c r="C25" t="s">
        <v>110</v>
      </c>
      <c r="D25" t="s">
        <v>55</v>
      </c>
      <c r="E25">
        <v>1</v>
      </c>
      <c r="F25" t="s">
        <v>194</v>
      </c>
      <c r="G25" s="1" t="s">
        <v>54</v>
      </c>
      <c r="H25" s="1" t="s">
        <v>50</v>
      </c>
      <c r="I25">
        <v>0.2</v>
      </c>
      <c r="J25" s="1"/>
      <c r="L25">
        <v>15.32</v>
      </c>
      <c r="M25">
        <v>273.14999999999998</v>
      </c>
      <c r="N25">
        <v>273.14999999999998</v>
      </c>
      <c r="O25">
        <v>65</v>
      </c>
      <c r="P25" s="6">
        <v>6350</v>
      </c>
      <c r="AD25" t="str">
        <f t="shared" si="2"/>
        <v>Lobo (2011)|ARI &amp; AFRL|Ground|CFM56-7B|1|Mid-high power</v>
      </c>
      <c r="AE25" s="13" cm="1">
        <f t="array" ref="AE25">I25 / _xlfn.XLOOKUP($AD25 &amp; "|" &amp; $H25, $AD:$AD &amp; "|" &amp; $G:$G, I:I)</f>
        <v>1.0810810810810811E-2</v>
      </c>
      <c r="AF25" s="13" t="e" cm="1">
        <f t="array" ref="AF25">J25 / _xlfn.XLOOKUP($AD25 &amp; "|" &amp; $H25, $AD:$AD &amp; "|" &amp; $G:$G, J:J)</f>
        <v>#DIV/0!</v>
      </c>
      <c r="AG25" s="13" t="e" cm="1">
        <f t="array" ref="AG25">K25 / _xlfn.XLOOKUP($AD25 &amp; "|" &amp; $H25, $AD:$AD &amp; "|" &amp; $G:$G, K:K)</f>
        <v>#DIV/0!</v>
      </c>
      <c r="AH25" s="13" cm="1">
        <f t="array" ref="AH25">L25 / _xlfn.XLOOKUP($AD25 &amp; "|" &amp; $H25, $AD:$AD &amp; "|" &amp; $G:$G, L:L)</f>
        <v>1.1101449275362318</v>
      </c>
      <c r="AI25" s="13" cm="1">
        <f t="array" ref="AI25">M25 / _xlfn.XLOOKUP($AD25 &amp; "|" &amp; $H25, $AD:$AD &amp; "|" &amp; $G:$G, M:M)</f>
        <v>0.98556738228396179</v>
      </c>
      <c r="AJ25" s="13" cm="1">
        <f t="array" ref="AJ25">N25 / _xlfn.XLOOKUP($AD25 &amp; "|" &amp; $H25, $AD:$AD &amp; "|" &amp; $G:$G, N:N)</f>
        <v>0.98556738228396179</v>
      </c>
      <c r="AK25" s="13" cm="1">
        <f t="array" ref="AK25">O25 / _xlfn.XLOOKUP($AD25 &amp; "|" &amp; $H25, $AD:$AD &amp; "|" &amp; $G:$G, O:O)</f>
        <v>1</v>
      </c>
      <c r="AL25" s="13" cm="1">
        <f t="array" ref="AL25">P25 / _xlfn.XLOOKUP($AD25 &amp; "|" &amp; $H25, $AD:$AD &amp; "|" &amp; $G:$G, P:P)</f>
        <v>1</v>
      </c>
      <c r="AM25">
        <f>1-0.49</f>
        <v>0.51</v>
      </c>
      <c r="AP25">
        <f>1-0.79</f>
        <v>0.20999999999999996</v>
      </c>
      <c r="AW25" s="13" cm="1">
        <f t="array" ref="AW25">_xlfn.XLOOKUP($AD25 &amp; "|" &amp; $H25, $AD:$AD &amp; "|" &amp; $G:$G, L:L)</f>
        <v>13.8</v>
      </c>
      <c r="AX25" s="13"/>
      <c r="AZ25" t="s">
        <v>235</v>
      </c>
    </row>
    <row r="26" spans="1:52" x14ac:dyDescent="0.2">
      <c r="A26" t="s">
        <v>48</v>
      </c>
      <c r="B26" t="s">
        <v>49</v>
      </c>
      <c r="C26" t="s">
        <v>110</v>
      </c>
      <c r="D26" t="s">
        <v>55</v>
      </c>
      <c r="E26">
        <v>1</v>
      </c>
      <c r="F26" t="s">
        <v>187</v>
      </c>
      <c r="G26" s="1" t="s">
        <v>50</v>
      </c>
      <c r="H26" s="1"/>
      <c r="I26" s="1">
        <v>18.5</v>
      </c>
      <c r="J26" s="1"/>
      <c r="L26">
        <v>13.8</v>
      </c>
      <c r="M26">
        <f>4 + 273.15</f>
        <v>277.14999999999998</v>
      </c>
      <c r="N26">
        <f>4 + 273.15</f>
        <v>277.14999999999998</v>
      </c>
      <c r="O26">
        <v>85</v>
      </c>
      <c r="P26" s="6">
        <v>8260</v>
      </c>
      <c r="AD26" t="str">
        <f t="shared" si="2"/>
        <v>Lobo (2011)|ARI &amp; AFRL|Ground|CFM56-7B|1|Climb</v>
      </c>
      <c r="AW26" s="13" t="e" cm="1">
        <f t="array" ref="AW26">_xlfn.XLOOKUP($AD26 &amp; "|" &amp; $H26, $AD:$AD &amp; "|" &amp; $G:$G, L:L)</f>
        <v>#N/A</v>
      </c>
      <c r="AZ26" t="s">
        <v>235</v>
      </c>
    </row>
    <row r="27" spans="1:52" x14ac:dyDescent="0.2">
      <c r="A27" t="s">
        <v>48</v>
      </c>
      <c r="B27" t="s">
        <v>49</v>
      </c>
      <c r="C27" t="s">
        <v>110</v>
      </c>
      <c r="D27" t="s">
        <v>55</v>
      </c>
      <c r="E27">
        <v>1</v>
      </c>
      <c r="F27" t="s">
        <v>187</v>
      </c>
      <c r="G27" s="1" t="s">
        <v>53</v>
      </c>
      <c r="H27" s="1" t="s">
        <v>50</v>
      </c>
      <c r="I27" s="1">
        <v>9.25</v>
      </c>
      <c r="J27" s="1"/>
      <c r="L27">
        <v>14.52</v>
      </c>
      <c r="M27">
        <v>273.14999999999998</v>
      </c>
      <c r="N27">
        <v>273.14999999999998</v>
      </c>
      <c r="O27">
        <v>85</v>
      </c>
      <c r="P27" s="6">
        <v>8260</v>
      </c>
      <c r="AD27" t="str">
        <f t="shared" si="2"/>
        <v>Lobo (2011)|ARI &amp; AFRL|Ground|CFM56-7B|1|Climb</v>
      </c>
      <c r="AE27" s="13" cm="1">
        <f t="array" ref="AE27">I27 / _xlfn.XLOOKUP($AD27 &amp; "|" &amp; $H27, $AD:$AD &amp; "|" &amp; $G:$G, I:I)</f>
        <v>0.5</v>
      </c>
      <c r="AF27" s="13" t="e" cm="1">
        <f t="array" ref="AF27">J27 / _xlfn.XLOOKUP($AD27 &amp; "|" &amp; $H27, $AD:$AD &amp; "|" &amp; $G:$G, J:J)</f>
        <v>#DIV/0!</v>
      </c>
      <c r="AG27" s="13" t="e" cm="1">
        <f t="array" ref="AG27">K27 / _xlfn.XLOOKUP($AD27 &amp; "|" &amp; $H27, $AD:$AD &amp; "|" &amp; $G:$G, K:K)</f>
        <v>#DIV/0!</v>
      </c>
      <c r="AH27" s="13" cm="1">
        <f t="array" ref="AH27">L27 / _xlfn.XLOOKUP($AD27 &amp; "|" &amp; $H27, $AD:$AD &amp; "|" &amp; $G:$G, L:L)</f>
        <v>1.0521739130434782</v>
      </c>
      <c r="AI27" s="13" cm="1">
        <f t="array" ref="AI27">M27 / _xlfn.XLOOKUP($AD27 &amp; "|" &amp; $H27, $AD:$AD &amp; "|" &amp; $G:$G, M:M)</f>
        <v>0.98556738228396179</v>
      </c>
      <c r="AJ27" s="13" cm="1">
        <f t="array" ref="AJ27">N27 / _xlfn.XLOOKUP($AD27 &amp; "|" &amp; $H27, $AD:$AD &amp; "|" &amp; $G:$G, N:N)</f>
        <v>0.98556738228396179</v>
      </c>
      <c r="AK27" s="13" cm="1">
        <f t="array" ref="AK27">O27 / _xlfn.XLOOKUP($AD27 &amp; "|" &amp; $H27, $AD:$AD &amp; "|" &amp; $G:$G, O:O)</f>
        <v>1</v>
      </c>
      <c r="AL27" s="13" cm="1">
        <f t="array" ref="AL27">P27 / _xlfn.XLOOKUP($AD27 &amp; "|" &amp; $H27, $AD:$AD &amp; "|" &amp; $G:$G, P:P)</f>
        <v>1</v>
      </c>
      <c r="AM27">
        <f>1-0.29</f>
        <v>0.71</v>
      </c>
      <c r="AP27">
        <f>1-0.36</f>
        <v>0.64</v>
      </c>
      <c r="AU27">
        <f>1.01</f>
        <v>1.01</v>
      </c>
      <c r="AW27" s="13" cm="1">
        <f t="array" ref="AW27">_xlfn.XLOOKUP($AD27 &amp; "|" &amp; $H27, $AD:$AD &amp; "|" &amp; $G:$G, L:L)</f>
        <v>13.8</v>
      </c>
      <c r="AX27" s="13"/>
      <c r="AZ27" t="s">
        <v>235</v>
      </c>
    </row>
    <row r="28" spans="1:52" x14ac:dyDescent="0.2">
      <c r="A28" t="s">
        <v>48</v>
      </c>
      <c r="B28" t="s">
        <v>49</v>
      </c>
      <c r="C28" t="s">
        <v>110</v>
      </c>
      <c r="D28" t="s">
        <v>55</v>
      </c>
      <c r="E28">
        <v>1</v>
      </c>
      <c r="F28" t="s">
        <v>187</v>
      </c>
      <c r="G28" s="1" t="s">
        <v>54</v>
      </c>
      <c r="H28" s="1" t="s">
        <v>50</v>
      </c>
      <c r="I28">
        <v>0.2</v>
      </c>
      <c r="J28" s="1"/>
      <c r="L28">
        <v>15.32</v>
      </c>
      <c r="M28">
        <v>273.14999999999998</v>
      </c>
      <c r="N28">
        <v>273.14999999999998</v>
      </c>
      <c r="O28">
        <v>85</v>
      </c>
      <c r="P28" s="6">
        <v>8260</v>
      </c>
      <c r="AD28" t="str">
        <f t="shared" si="2"/>
        <v>Lobo (2011)|ARI &amp; AFRL|Ground|CFM56-7B|1|Climb</v>
      </c>
      <c r="AE28" s="13" cm="1">
        <f t="array" ref="AE28">I28 / _xlfn.XLOOKUP($AD28 &amp; "|" &amp; $H28, $AD:$AD &amp; "|" &amp; $G:$G, I:I)</f>
        <v>1.0810810810810811E-2</v>
      </c>
      <c r="AF28" s="13" t="e" cm="1">
        <f t="array" ref="AF28">J28 / _xlfn.XLOOKUP($AD28 &amp; "|" &amp; $H28, $AD:$AD &amp; "|" &amp; $G:$G, J:J)</f>
        <v>#DIV/0!</v>
      </c>
      <c r="AG28" s="13" t="e" cm="1">
        <f t="array" ref="AG28">K28 / _xlfn.XLOOKUP($AD28 &amp; "|" &amp; $H28, $AD:$AD &amp; "|" &amp; $G:$G, K:K)</f>
        <v>#DIV/0!</v>
      </c>
      <c r="AH28" s="13" cm="1">
        <f t="array" ref="AH28">L28 / _xlfn.XLOOKUP($AD28 &amp; "|" &amp; $H28, $AD:$AD &amp; "|" &amp; $G:$G, L:L)</f>
        <v>1.1101449275362318</v>
      </c>
      <c r="AI28" s="13" cm="1">
        <f t="array" ref="AI28">M28 / _xlfn.XLOOKUP($AD28 &amp; "|" &amp; $H28, $AD:$AD &amp; "|" &amp; $G:$G, M:M)</f>
        <v>0.98556738228396179</v>
      </c>
      <c r="AJ28" s="13" cm="1">
        <f t="array" ref="AJ28">N28 / _xlfn.XLOOKUP($AD28 &amp; "|" &amp; $H28, $AD:$AD &amp; "|" &amp; $G:$G, N:N)</f>
        <v>0.98556738228396179</v>
      </c>
      <c r="AK28" s="13" cm="1">
        <f t="array" ref="AK28">O28 / _xlfn.XLOOKUP($AD28 &amp; "|" &amp; $H28, $AD:$AD &amp; "|" &amp; $G:$G, O:O)</f>
        <v>1</v>
      </c>
      <c r="AL28" s="13" cm="1">
        <f t="array" ref="AL28">P28 / _xlfn.XLOOKUP($AD28 &amp; "|" &amp; $H28, $AD:$AD &amp; "|" &amp; $G:$G, P:P)</f>
        <v>1</v>
      </c>
      <c r="AM28">
        <f>1-0.42</f>
        <v>0.58000000000000007</v>
      </c>
      <c r="AP28">
        <f>1-0.6</f>
        <v>0.4</v>
      </c>
      <c r="AU28">
        <f>0.95</f>
        <v>0.95</v>
      </c>
      <c r="AW28" s="13" cm="1">
        <f t="array" ref="AW28">_xlfn.XLOOKUP($AD28 &amp; "|" &amp; $H28, $AD:$AD &amp; "|" &amp; $G:$G, L:L)</f>
        <v>13.8</v>
      </c>
      <c r="AX28" s="13"/>
      <c r="AZ28" t="s">
        <v>235</v>
      </c>
    </row>
    <row r="29" spans="1:52" x14ac:dyDescent="0.2">
      <c r="A29" t="s">
        <v>48</v>
      </c>
      <c r="B29" t="s">
        <v>49</v>
      </c>
      <c r="C29" t="s">
        <v>110</v>
      </c>
      <c r="D29" t="s">
        <v>55</v>
      </c>
      <c r="E29">
        <v>1</v>
      </c>
      <c r="F29" t="s">
        <v>195</v>
      </c>
      <c r="G29" s="1" t="s">
        <v>50</v>
      </c>
      <c r="H29" s="1"/>
      <c r="I29" s="1">
        <v>18.5</v>
      </c>
      <c r="J29" s="1"/>
      <c r="L29">
        <v>13.8</v>
      </c>
      <c r="M29">
        <f>4 + 273.15</f>
        <v>277.14999999999998</v>
      </c>
      <c r="N29">
        <f>4 + 273.15</f>
        <v>277.14999999999998</v>
      </c>
      <c r="O29" s="6">
        <v>100</v>
      </c>
      <c r="P29" s="6">
        <v>10520</v>
      </c>
      <c r="AD29" t="str">
        <f t="shared" si="2"/>
        <v>Lobo (2011)|ARI &amp; AFRL|Ground|CFM56-7B|1|Take-off</v>
      </c>
      <c r="AW29" s="13" t="e" cm="1">
        <f t="array" ref="AW29">_xlfn.XLOOKUP($AD29 &amp; "|" &amp; $H29, $AD:$AD &amp; "|" &amp; $G:$G, L:L)</f>
        <v>#N/A</v>
      </c>
      <c r="AZ29" t="s">
        <v>235</v>
      </c>
    </row>
    <row r="30" spans="1:52" x14ac:dyDescent="0.2">
      <c r="A30" t="s">
        <v>48</v>
      </c>
      <c r="B30" t="s">
        <v>49</v>
      </c>
      <c r="C30" t="s">
        <v>110</v>
      </c>
      <c r="D30" t="s">
        <v>55</v>
      </c>
      <c r="E30">
        <v>1</v>
      </c>
      <c r="F30" t="s">
        <v>195</v>
      </c>
      <c r="G30" s="1" t="s">
        <v>53</v>
      </c>
      <c r="H30" s="1" t="s">
        <v>50</v>
      </c>
      <c r="I30" s="1">
        <v>9.25</v>
      </c>
      <c r="L30">
        <v>14.52</v>
      </c>
      <c r="M30">
        <v>273.14999999999998</v>
      </c>
      <c r="N30">
        <v>273.14999999999998</v>
      </c>
      <c r="O30" s="6">
        <v>100</v>
      </c>
      <c r="P30" s="6">
        <v>10520</v>
      </c>
      <c r="AD30" t="str">
        <f t="shared" si="2"/>
        <v>Lobo (2011)|ARI &amp; AFRL|Ground|CFM56-7B|1|Take-off</v>
      </c>
      <c r="AE30" s="13" cm="1">
        <f t="array" ref="AE30">I30 / _xlfn.XLOOKUP($AD30 &amp; "|" &amp; $H30, $AD:$AD &amp; "|" &amp; $G:$G, I:I)</f>
        <v>0.5</v>
      </c>
      <c r="AF30" s="13" t="e" cm="1">
        <f t="array" ref="AF30">J30 / _xlfn.XLOOKUP($AD30 &amp; "|" &amp; $H30, $AD:$AD &amp; "|" &amp; $G:$G, J:J)</f>
        <v>#DIV/0!</v>
      </c>
      <c r="AG30" s="13" t="e" cm="1">
        <f t="array" ref="AG30">K30 / _xlfn.XLOOKUP($AD30 &amp; "|" &amp; $H30, $AD:$AD &amp; "|" &amp; $G:$G, K:K)</f>
        <v>#DIV/0!</v>
      </c>
      <c r="AH30" s="13" cm="1">
        <f t="array" ref="AH30">L30 / _xlfn.XLOOKUP($AD30 &amp; "|" &amp; $H30, $AD:$AD &amp; "|" &amp; $G:$G, L:L)</f>
        <v>1.0521739130434782</v>
      </c>
      <c r="AI30" s="13" cm="1">
        <f t="array" ref="AI30">M30 / _xlfn.XLOOKUP($AD30 &amp; "|" &amp; $H30, $AD:$AD &amp; "|" &amp; $G:$G, M:M)</f>
        <v>0.98556738228396179</v>
      </c>
      <c r="AJ30" s="13" cm="1">
        <f t="array" ref="AJ30">N30 / _xlfn.XLOOKUP($AD30 &amp; "|" &amp; $H30, $AD:$AD &amp; "|" &amp; $G:$G, N:N)</f>
        <v>0.98556738228396179</v>
      </c>
      <c r="AK30" s="13" cm="1">
        <f t="array" ref="AK30">O30 / _xlfn.XLOOKUP($AD30 &amp; "|" &amp; $H30, $AD:$AD &amp; "|" &amp; $G:$G, O:O)</f>
        <v>1</v>
      </c>
      <c r="AL30" s="13" cm="1">
        <f t="array" ref="AL30">P30 / _xlfn.XLOOKUP($AD30 &amp; "|" &amp; $H30, $AD:$AD &amp; "|" &amp; $G:$G, P:P)</f>
        <v>1</v>
      </c>
      <c r="AM30">
        <f>1-0.22</f>
        <v>0.78</v>
      </c>
      <c r="AP30">
        <f>1-0.39</f>
        <v>0.61</v>
      </c>
      <c r="AU30">
        <f>0.92</f>
        <v>0.92</v>
      </c>
      <c r="AW30" s="13" cm="1">
        <f t="array" ref="AW30">_xlfn.XLOOKUP($AD30 &amp; "|" &amp; $H30, $AD:$AD &amp; "|" &amp; $G:$G, L:L)</f>
        <v>13.8</v>
      </c>
      <c r="AX30" s="13"/>
      <c r="AZ30" t="s">
        <v>235</v>
      </c>
    </row>
    <row r="31" spans="1:52" x14ac:dyDescent="0.2">
      <c r="A31" t="s">
        <v>48</v>
      </c>
      <c r="B31" t="s">
        <v>49</v>
      </c>
      <c r="C31" t="s">
        <v>110</v>
      </c>
      <c r="D31" t="s">
        <v>55</v>
      </c>
      <c r="E31">
        <v>1</v>
      </c>
      <c r="F31" t="s">
        <v>195</v>
      </c>
      <c r="G31" s="1" t="s">
        <v>54</v>
      </c>
      <c r="H31" s="1" t="s">
        <v>50</v>
      </c>
      <c r="I31">
        <v>0.2</v>
      </c>
      <c r="J31" s="1"/>
      <c r="L31">
        <v>15.32</v>
      </c>
      <c r="M31">
        <v>273.14999999999998</v>
      </c>
      <c r="N31">
        <v>273.14999999999998</v>
      </c>
      <c r="O31" s="6">
        <v>100</v>
      </c>
      <c r="P31" s="6">
        <v>10520</v>
      </c>
      <c r="AD31" t="str">
        <f t="shared" si="2"/>
        <v>Lobo (2011)|ARI &amp; AFRL|Ground|CFM56-7B|1|Take-off</v>
      </c>
      <c r="AE31" s="13" cm="1">
        <f t="array" ref="AE31">I31 / _xlfn.XLOOKUP($AD31 &amp; "|" &amp; $H31, $AD:$AD &amp; "|" &amp; $G:$G, I:I)</f>
        <v>1.0810810810810811E-2</v>
      </c>
      <c r="AF31" s="13" t="e" cm="1">
        <f t="array" ref="AF31">J31 / _xlfn.XLOOKUP($AD31 &amp; "|" &amp; $H31, $AD:$AD &amp; "|" &amp; $G:$G, J:J)</f>
        <v>#DIV/0!</v>
      </c>
      <c r="AG31" s="13" t="e" cm="1">
        <f t="array" ref="AG31">K31 / _xlfn.XLOOKUP($AD31 &amp; "|" &amp; $H31, $AD:$AD &amp; "|" &amp; $G:$G, K:K)</f>
        <v>#DIV/0!</v>
      </c>
      <c r="AH31" s="13" cm="1">
        <f t="array" ref="AH31">L31 / _xlfn.XLOOKUP($AD31 &amp; "|" &amp; $H31, $AD:$AD &amp; "|" &amp; $G:$G, L:L)</f>
        <v>1.1101449275362318</v>
      </c>
      <c r="AI31" s="13" cm="1">
        <f t="array" ref="AI31">M31 / _xlfn.XLOOKUP($AD31 &amp; "|" &amp; $H31, $AD:$AD &amp; "|" &amp; $G:$G, M:M)</f>
        <v>0.98556738228396179</v>
      </c>
      <c r="AJ31" s="13" cm="1">
        <f t="array" ref="AJ31">N31 / _xlfn.XLOOKUP($AD31 &amp; "|" &amp; $H31, $AD:$AD &amp; "|" &amp; $G:$G, N:N)</f>
        <v>0.98556738228396179</v>
      </c>
      <c r="AK31" s="13" cm="1">
        <f t="array" ref="AK31">O31 / _xlfn.XLOOKUP($AD31 &amp; "|" &amp; $H31, $AD:$AD &amp; "|" &amp; $G:$G, O:O)</f>
        <v>1</v>
      </c>
      <c r="AL31" s="13" cm="1">
        <f t="array" ref="AL31">P31 / _xlfn.XLOOKUP($AD31 &amp; "|" &amp; $H31, $AD:$AD &amp; "|" &amp; $G:$G, P:P)</f>
        <v>1</v>
      </c>
      <c r="AM31">
        <f>1-0.38</f>
        <v>0.62</v>
      </c>
      <c r="AP31">
        <f>1-0.64</f>
        <v>0.36</v>
      </c>
      <c r="AU31">
        <f>0.93</f>
        <v>0.93</v>
      </c>
      <c r="AW31" s="13" cm="1">
        <f t="array" ref="AW31">_xlfn.XLOOKUP($AD31 &amp; "|" &amp; $H31, $AD:$AD &amp; "|" &amp; $G:$G, L:L)</f>
        <v>13.8</v>
      </c>
      <c r="AX31" s="13"/>
      <c r="AZ31" t="s">
        <v>235</v>
      </c>
    </row>
    <row r="32" spans="1:52" x14ac:dyDescent="0.2">
      <c r="A32" t="s">
        <v>57</v>
      </c>
      <c r="B32" t="s">
        <v>57</v>
      </c>
      <c r="C32" t="s">
        <v>110</v>
      </c>
      <c r="D32" t="s">
        <v>58</v>
      </c>
      <c r="E32">
        <v>1</v>
      </c>
      <c r="F32" t="s">
        <v>191</v>
      </c>
      <c r="G32" s="1" t="s">
        <v>8</v>
      </c>
      <c r="H32" s="1"/>
      <c r="I32">
        <v>19</v>
      </c>
      <c r="J32" s="1">
        <f>1.4</f>
        <v>1.4</v>
      </c>
      <c r="K32">
        <v>1230</v>
      </c>
      <c r="L32">
        <v>14</v>
      </c>
      <c r="M32">
        <f>20.95+273.15</f>
        <v>294.09999999999997</v>
      </c>
      <c r="N32">
        <f>20.95+273.15</f>
        <v>294.09999999999997</v>
      </c>
      <c r="O32">
        <v>7</v>
      </c>
      <c r="AD32" t="str">
        <f t="shared" si="2"/>
        <v>Timko (2010)|Timko (2010)|Ground|PW308|1|Idle (approach)</v>
      </c>
      <c r="AU32">
        <f>0.88</f>
        <v>0.88</v>
      </c>
      <c r="AW32" s="13" t="e" cm="1">
        <f t="array" ref="AW32">_xlfn.XLOOKUP($AD32 &amp; "|" &amp; $H32, $AD:$AD &amp; "|" &amp; $G:$G, L:L)</f>
        <v>#N/A</v>
      </c>
      <c r="AZ32" t="s">
        <v>232</v>
      </c>
    </row>
    <row r="33" spans="1:52" x14ac:dyDescent="0.2">
      <c r="A33" t="s">
        <v>57</v>
      </c>
      <c r="B33" t="s">
        <v>57</v>
      </c>
      <c r="C33" t="s">
        <v>110</v>
      </c>
      <c r="D33" t="s">
        <v>58</v>
      </c>
      <c r="E33">
        <v>1</v>
      </c>
      <c r="F33" t="s">
        <v>191</v>
      </c>
      <c r="G33" s="1" t="s">
        <v>59</v>
      </c>
      <c r="H33" s="1" t="s">
        <v>8</v>
      </c>
      <c r="I33" s="1">
        <v>9.5</v>
      </c>
      <c r="J33">
        <v>0.7</v>
      </c>
      <c r="K33">
        <v>650</v>
      </c>
      <c r="L33">
        <v>14.8</v>
      </c>
      <c r="M33">
        <f t="shared" ref="M33:N42" si="3">20.95+273.15</f>
        <v>294.09999999999997</v>
      </c>
      <c r="N33">
        <f t="shared" si="3"/>
        <v>294.09999999999997</v>
      </c>
      <c r="O33">
        <v>7</v>
      </c>
      <c r="AD33" t="str">
        <f t="shared" si="2"/>
        <v>Timko (2010)|Timko (2010)|Ground|PW308|1|Idle (approach)</v>
      </c>
      <c r="AE33" s="13" cm="1">
        <f t="array" ref="AE33">I33 / _xlfn.XLOOKUP($AD33 &amp; "|" &amp; $H33, $AD:$AD &amp; "|" &amp; $G:$G, I:I)</f>
        <v>0.5</v>
      </c>
      <c r="AF33" s="13" cm="1">
        <f t="array" ref="AF33">J33 / _xlfn.XLOOKUP($AD33 &amp; "|" &amp; $H33, $AD:$AD &amp; "|" &amp; $G:$G, J:J)</f>
        <v>0.5</v>
      </c>
      <c r="AG33" s="13" cm="1">
        <f t="array" ref="AG33">K33 / _xlfn.XLOOKUP($AD33 &amp; "|" &amp; $H33, $AD:$AD &amp; "|" &amp; $G:$G, K:K)</f>
        <v>0.52845528455284552</v>
      </c>
      <c r="AH33" s="13" cm="1">
        <f t="array" ref="AH33">L33 / _xlfn.XLOOKUP($AD33 &amp; "|" &amp; $H33, $AD:$AD &amp; "|" &amp; $G:$G, L:L)</f>
        <v>1.0571428571428572</v>
      </c>
      <c r="AI33" s="13" cm="1">
        <f t="array" ref="AI33">M33 / _xlfn.XLOOKUP($AD33 &amp; "|" &amp; $H33, $AD:$AD &amp; "|" &amp; $G:$G, M:M)</f>
        <v>1</v>
      </c>
      <c r="AJ33" s="13" cm="1">
        <f t="array" ref="AJ33">N33 / _xlfn.XLOOKUP($AD33 &amp; "|" &amp; $H33, $AD:$AD &amp; "|" &amp; $G:$G, N:N)</f>
        <v>1</v>
      </c>
      <c r="AK33" s="13" cm="1">
        <f t="array" ref="AK33">O33 / _xlfn.XLOOKUP($AD33 &amp; "|" &amp; $H33, $AD:$AD &amp; "|" &amp; $G:$G, O:O)</f>
        <v>1</v>
      </c>
      <c r="AL33" s="13" t="e" cm="1">
        <f t="array" ref="AL33">P33 / _xlfn.XLOOKUP($AD33 &amp; "|" &amp; $H33, $AD:$AD &amp; "|" &amp; $G:$G, P:P)</f>
        <v>#DIV/0!</v>
      </c>
      <c r="AM33">
        <f>0.59</f>
        <v>0.59</v>
      </c>
      <c r="AP33">
        <f>0.78</f>
        <v>0.78</v>
      </c>
      <c r="AW33" s="13" cm="1">
        <f t="array" ref="AW33">_xlfn.XLOOKUP($AD33 &amp; "|" &amp; $H33, $AD:$AD &amp; "|" &amp; $G:$G, L:L)</f>
        <v>14</v>
      </c>
      <c r="AX33" s="13"/>
      <c r="AZ33" t="s">
        <v>232</v>
      </c>
    </row>
    <row r="34" spans="1:52" x14ac:dyDescent="0.2">
      <c r="A34" t="s">
        <v>57</v>
      </c>
      <c r="B34" t="s">
        <v>57</v>
      </c>
      <c r="C34" t="s">
        <v>110</v>
      </c>
      <c r="D34" t="s">
        <v>58</v>
      </c>
      <c r="E34">
        <v>1</v>
      </c>
      <c r="F34" t="s">
        <v>191</v>
      </c>
      <c r="G34" s="1" t="s">
        <v>54</v>
      </c>
      <c r="H34" s="1" t="s">
        <v>8</v>
      </c>
      <c r="I34" s="1">
        <v>0.2</v>
      </c>
      <c r="J34">
        <v>0</v>
      </c>
      <c r="K34">
        <f>AVERAGE(L34:L34)</f>
        <v>15.6</v>
      </c>
      <c r="L34">
        <v>15.6</v>
      </c>
      <c r="M34">
        <f t="shared" si="3"/>
        <v>294.09999999999997</v>
      </c>
      <c r="N34">
        <f t="shared" si="3"/>
        <v>294.09999999999997</v>
      </c>
      <c r="O34">
        <v>7</v>
      </c>
      <c r="AD34" t="str">
        <f t="shared" si="2"/>
        <v>Timko (2010)|Timko (2010)|Ground|PW308|1|Idle (approach)</v>
      </c>
      <c r="AE34" s="13" cm="1">
        <f t="array" ref="AE34">I34 / _xlfn.XLOOKUP($AD34 &amp; "|" &amp; $H34, $AD:$AD &amp; "|" &amp; $G:$G, I:I)</f>
        <v>1.0526315789473684E-2</v>
      </c>
      <c r="AF34" s="13" cm="1">
        <f t="array" ref="AF34">J34 / _xlfn.XLOOKUP($AD34 &amp; "|" &amp; $H34, $AD:$AD &amp; "|" &amp; $G:$G, J:J)</f>
        <v>0</v>
      </c>
      <c r="AG34" s="13" cm="1">
        <f t="array" ref="AG34">K34 / _xlfn.XLOOKUP($AD34 &amp; "|" &amp; $H34, $AD:$AD &amp; "|" &amp; $G:$G, K:K)</f>
        <v>1.2682926829268292E-2</v>
      </c>
      <c r="AH34" s="13" cm="1">
        <f t="array" ref="AH34">L34 / _xlfn.XLOOKUP($AD34 &amp; "|" &amp; $H34, $AD:$AD &amp; "|" &amp; $G:$G, L:L)</f>
        <v>1.1142857142857143</v>
      </c>
      <c r="AI34" s="13" cm="1">
        <f t="array" ref="AI34">M34 / _xlfn.XLOOKUP($AD34 &amp; "|" &amp; $H34, $AD:$AD &amp; "|" &amp; $G:$G, M:M)</f>
        <v>1</v>
      </c>
      <c r="AJ34" s="13" cm="1">
        <f t="array" ref="AJ34">N34 / _xlfn.XLOOKUP($AD34 &amp; "|" &amp; $H34, $AD:$AD &amp; "|" &amp; $G:$G, N:N)</f>
        <v>1</v>
      </c>
      <c r="AK34" s="13" cm="1">
        <f t="array" ref="AK34">O34 / _xlfn.XLOOKUP($AD34 &amp; "|" &amp; $H34, $AD:$AD &amp; "|" &amp; $G:$G, O:O)</f>
        <v>1</v>
      </c>
      <c r="AL34" s="13" t="e" cm="1">
        <f t="array" ref="AL34">P34 / _xlfn.XLOOKUP($AD34 &amp; "|" &amp; $H34, $AD:$AD &amp; "|" &amp; $G:$G, P:P)</f>
        <v>#DIV/0!</v>
      </c>
      <c r="AM34">
        <f>0.09</f>
        <v>0.09</v>
      </c>
      <c r="AP34">
        <f>0.02</f>
        <v>0.02</v>
      </c>
      <c r="AW34" s="13" cm="1">
        <f t="array" ref="AW34">_xlfn.XLOOKUP($AD34 &amp; "|" &amp; $H34, $AD:$AD &amp; "|" &amp; $G:$G, L:L)</f>
        <v>14</v>
      </c>
      <c r="AX34" s="13"/>
      <c r="AZ34" t="s">
        <v>232</v>
      </c>
    </row>
    <row r="35" spans="1:52" x14ac:dyDescent="0.2">
      <c r="A35" t="s">
        <v>57</v>
      </c>
      <c r="B35" t="s">
        <v>57</v>
      </c>
      <c r="C35" t="s">
        <v>110</v>
      </c>
      <c r="D35" t="s">
        <v>58</v>
      </c>
      <c r="E35">
        <v>1</v>
      </c>
      <c r="F35" t="s">
        <v>192</v>
      </c>
      <c r="G35" s="1" t="s">
        <v>8</v>
      </c>
      <c r="H35" s="1"/>
      <c r="I35">
        <v>19</v>
      </c>
      <c r="J35" s="1">
        <f>1.4</f>
        <v>1.4</v>
      </c>
      <c r="K35">
        <v>1230</v>
      </c>
      <c r="L35">
        <v>14</v>
      </c>
      <c r="M35">
        <f t="shared" si="3"/>
        <v>294.09999999999997</v>
      </c>
      <c r="N35">
        <f t="shared" si="3"/>
        <v>294.09999999999997</v>
      </c>
      <c r="O35">
        <v>30</v>
      </c>
      <c r="AD35" t="str">
        <f t="shared" si="2"/>
        <v>Timko (2010)|Timko (2010)|Ground|PW308|1|Intermediate</v>
      </c>
      <c r="AW35" s="13" t="e" cm="1">
        <f t="array" ref="AW35">_xlfn.XLOOKUP($AD35 &amp; "|" &amp; $H35, $AD:$AD &amp; "|" &amp; $G:$G, L:L)</f>
        <v>#N/A</v>
      </c>
      <c r="AZ35" t="s">
        <v>232</v>
      </c>
    </row>
    <row r="36" spans="1:52" x14ac:dyDescent="0.2">
      <c r="A36" t="s">
        <v>57</v>
      </c>
      <c r="B36" t="s">
        <v>57</v>
      </c>
      <c r="C36" t="s">
        <v>110</v>
      </c>
      <c r="D36" t="s">
        <v>58</v>
      </c>
      <c r="E36">
        <v>1</v>
      </c>
      <c r="F36" t="s">
        <v>192</v>
      </c>
      <c r="G36" s="1" t="s">
        <v>59</v>
      </c>
      <c r="H36" s="1" t="s">
        <v>8</v>
      </c>
      <c r="I36" s="1">
        <v>9.5</v>
      </c>
      <c r="J36">
        <v>0.7</v>
      </c>
      <c r="K36">
        <v>650</v>
      </c>
      <c r="L36">
        <v>14.8</v>
      </c>
      <c r="M36">
        <f t="shared" si="3"/>
        <v>294.09999999999997</v>
      </c>
      <c r="N36">
        <f t="shared" si="3"/>
        <v>294.09999999999997</v>
      </c>
      <c r="O36">
        <v>30</v>
      </c>
      <c r="AD36" t="str">
        <f t="shared" si="2"/>
        <v>Timko (2010)|Timko (2010)|Ground|PW308|1|Intermediate</v>
      </c>
      <c r="AE36" s="13" cm="1">
        <f t="array" ref="AE36">I36 / _xlfn.XLOOKUP($AD36 &amp; "|" &amp; $H36, $AD:$AD &amp; "|" &amp; $G:$G, I:I)</f>
        <v>0.5</v>
      </c>
      <c r="AF36" s="13" cm="1">
        <f t="array" ref="AF36">J36 / _xlfn.XLOOKUP($AD36 &amp; "|" &amp; $H36, $AD:$AD &amp; "|" &amp; $G:$G, J:J)</f>
        <v>0.5</v>
      </c>
      <c r="AG36" s="13" cm="1">
        <f t="array" ref="AG36">K36 / _xlfn.XLOOKUP($AD36 &amp; "|" &amp; $H36, $AD:$AD &amp; "|" &amp; $G:$G, K:K)</f>
        <v>0.52845528455284552</v>
      </c>
      <c r="AH36" s="13" cm="1">
        <f t="array" ref="AH36">L36 / _xlfn.XLOOKUP($AD36 &amp; "|" &amp; $H36, $AD:$AD &amp; "|" &amp; $G:$G, L:L)</f>
        <v>1.0571428571428572</v>
      </c>
      <c r="AI36" s="13" cm="1">
        <f t="array" ref="AI36">M36 / _xlfn.XLOOKUP($AD36 &amp; "|" &amp; $H36, $AD:$AD &amp; "|" &amp; $G:$G, M:M)</f>
        <v>1</v>
      </c>
      <c r="AJ36" s="13" cm="1">
        <f t="array" ref="AJ36">N36 / _xlfn.XLOOKUP($AD36 &amp; "|" &amp; $H36, $AD:$AD &amp; "|" &amp; $G:$G, N:N)</f>
        <v>1</v>
      </c>
      <c r="AK36" s="13" cm="1">
        <f t="array" ref="AK36">O36 / _xlfn.XLOOKUP($AD36 &amp; "|" &amp; $H36, $AD:$AD &amp; "|" &amp; $G:$G, O:O)</f>
        <v>1</v>
      </c>
      <c r="AL36" s="13" t="e" cm="1">
        <f t="array" ref="AL36">P36 / _xlfn.XLOOKUP($AD36 &amp; "|" &amp; $H36, $AD:$AD &amp; "|" &amp; $G:$G, P:P)</f>
        <v>#DIV/0!</v>
      </c>
      <c r="AM36">
        <f>0.57</f>
        <v>0.56999999999999995</v>
      </c>
      <c r="AP36">
        <f>0.51</f>
        <v>0.51</v>
      </c>
      <c r="AW36" s="13" cm="1">
        <f t="array" ref="AW36">_xlfn.XLOOKUP($AD36 &amp; "|" &amp; $H36, $AD:$AD &amp; "|" &amp; $G:$G, L:L)</f>
        <v>14</v>
      </c>
      <c r="AX36" s="13"/>
      <c r="AZ36" t="s">
        <v>232</v>
      </c>
    </row>
    <row r="37" spans="1:52" x14ac:dyDescent="0.2">
      <c r="A37" t="s">
        <v>57</v>
      </c>
      <c r="B37" t="s">
        <v>57</v>
      </c>
      <c r="C37" t="s">
        <v>110</v>
      </c>
      <c r="D37" t="s">
        <v>58</v>
      </c>
      <c r="E37">
        <v>1</v>
      </c>
      <c r="F37" t="s">
        <v>192</v>
      </c>
      <c r="G37" s="1" t="s">
        <v>54</v>
      </c>
      <c r="H37" s="1" t="s">
        <v>8</v>
      </c>
      <c r="I37" s="1">
        <v>0.2</v>
      </c>
      <c r="J37">
        <v>0</v>
      </c>
      <c r="K37">
        <f>AVERAGE(L37:L37)</f>
        <v>15.6</v>
      </c>
      <c r="L37">
        <v>15.6</v>
      </c>
      <c r="M37">
        <f t="shared" si="3"/>
        <v>294.09999999999997</v>
      </c>
      <c r="N37">
        <f t="shared" si="3"/>
        <v>294.09999999999997</v>
      </c>
      <c r="O37">
        <v>30</v>
      </c>
      <c r="AD37" t="str">
        <f t="shared" si="2"/>
        <v>Timko (2010)|Timko (2010)|Ground|PW308|1|Intermediate</v>
      </c>
      <c r="AE37" s="13" cm="1">
        <f t="array" ref="AE37">I37 / _xlfn.XLOOKUP($AD37 &amp; "|" &amp; $H37, $AD:$AD &amp; "|" &amp; $G:$G, I:I)</f>
        <v>1.0526315789473684E-2</v>
      </c>
      <c r="AF37" s="13" cm="1">
        <f t="array" ref="AF37">J37 / _xlfn.XLOOKUP($AD37 &amp; "|" &amp; $H37, $AD:$AD &amp; "|" &amp; $G:$G, J:J)</f>
        <v>0</v>
      </c>
      <c r="AG37" s="13" cm="1">
        <f t="array" ref="AG37">K37 / _xlfn.XLOOKUP($AD37 &amp; "|" &amp; $H37, $AD:$AD &amp; "|" &amp; $G:$G, K:K)</f>
        <v>1.2682926829268292E-2</v>
      </c>
      <c r="AH37" s="13" cm="1">
        <f t="array" ref="AH37">L37 / _xlfn.XLOOKUP($AD37 &amp; "|" &amp; $H37, $AD:$AD &amp; "|" &amp; $G:$G, L:L)</f>
        <v>1.1142857142857143</v>
      </c>
      <c r="AI37" s="13" cm="1">
        <f t="array" ref="AI37">M37 / _xlfn.XLOOKUP($AD37 &amp; "|" &amp; $H37, $AD:$AD &amp; "|" &amp; $G:$G, M:M)</f>
        <v>1</v>
      </c>
      <c r="AJ37" s="13" cm="1">
        <f t="array" ref="AJ37">N37 / _xlfn.XLOOKUP($AD37 &amp; "|" &amp; $H37, $AD:$AD &amp; "|" &amp; $G:$G, N:N)</f>
        <v>1</v>
      </c>
      <c r="AK37" s="13" cm="1">
        <f t="array" ref="AK37">O37 / _xlfn.XLOOKUP($AD37 &amp; "|" &amp; $H37, $AD:$AD &amp; "|" &amp; $G:$G, O:O)</f>
        <v>1</v>
      </c>
      <c r="AL37" s="13" t="e" cm="1">
        <f t="array" ref="AL37">P37 / _xlfn.XLOOKUP($AD37 &amp; "|" &amp; $H37, $AD:$AD &amp; "|" &amp; $G:$G, P:P)</f>
        <v>#DIV/0!</v>
      </c>
      <c r="AM37">
        <f>0.23</f>
        <v>0.23</v>
      </c>
      <c r="AP37">
        <f>0.11</f>
        <v>0.11</v>
      </c>
      <c r="AW37" s="13" cm="1">
        <f t="array" ref="AW37">_xlfn.XLOOKUP($AD37 &amp; "|" &amp; $H37, $AD:$AD &amp; "|" &amp; $G:$G, L:L)</f>
        <v>14</v>
      </c>
      <c r="AX37" s="13"/>
      <c r="AZ37" t="s">
        <v>232</v>
      </c>
    </row>
    <row r="38" spans="1:52" x14ac:dyDescent="0.2">
      <c r="A38" t="s">
        <v>57</v>
      </c>
      <c r="B38" t="s">
        <v>57</v>
      </c>
      <c r="C38" t="s">
        <v>110</v>
      </c>
      <c r="D38" t="s">
        <v>58</v>
      </c>
      <c r="E38">
        <v>1</v>
      </c>
      <c r="F38" t="s">
        <v>194</v>
      </c>
      <c r="G38" s="1" t="s">
        <v>8</v>
      </c>
      <c r="H38" s="1"/>
      <c r="I38">
        <v>19</v>
      </c>
      <c r="J38" s="1">
        <f>1.4</f>
        <v>1.4</v>
      </c>
      <c r="K38">
        <v>1230</v>
      </c>
      <c r="L38">
        <v>14</v>
      </c>
      <c r="M38">
        <f t="shared" si="3"/>
        <v>294.09999999999997</v>
      </c>
      <c r="N38">
        <f t="shared" si="3"/>
        <v>294.09999999999997</v>
      </c>
      <c r="O38">
        <v>65</v>
      </c>
      <c r="AD38" t="str">
        <f t="shared" si="2"/>
        <v>Timko (2010)|Timko (2010)|Ground|PW308|1|Mid-high power</v>
      </c>
      <c r="AW38" s="13" t="e" cm="1">
        <f t="array" ref="AW38">_xlfn.XLOOKUP($AD38 &amp; "|" &amp; $H38, $AD:$AD &amp; "|" &amp; $G:$G, L:L)</f>
        <v>#N/A</v>
      </c>
      <c r="AZ38" t="s">
        <v>232</v>
      </c>
    </row>
    <row r="39" spans="1:52" x14ac:dyDescent="0.2">
      <c r="A39" t="s">
        <v>57</v>
      </c>
      <c r="B39" t="s">
        <v>57</v>
      </c>
      <c r="C39" t="s">
        <v>110</v>
      </c>
      <c r="D39" t="s">
        <v>58</v>
      </c>
      <c r="E39">
        <v>1</v>
      </c>
      <c r="F39" t="s">
        <v>194</v>
      </c>
      <c r="G39" s="1" t="s">
        <v>59</v>
      </c>
      <c r="H39" s="1" t="s">
        <v>8</v>
      </c>
      <c r="I39" s="1">
        <v>9.5</v>
      </c>
      <c r="J39">
        <v>0.7</v>
      </c>
      <c r="K39">
        <v>650</v>
      </c>
      <c r="L39">
        <v>14.8</v>
      </c>
      <c r="M39">
        <f t="shared" si="3"/>
        <v>294.09999999999997</v>
      </c>
      <c r="N39">
        <f t="shared" si="3"/>
        <v>294.09999999999997</v>
      </c>
      <c r="O39">
        <v>65</v>
      </c>
      <c r="AD39" t="str">
        <f t="shared" si="2"/>
        <v>Timko (2010)|Timko (2010)|Ground|PW308|1|Mid-high power</v>
      </c>
      <c r="AE39" s="13" cm="1">
        <f t="array" ref="AE39">I39 / _xlfn.XLOOKUP($AD39 &amp; "|" &amp; $H39, $AD:$AD &amp; "|" &amp; $G:$G, I:I)</f>
        <v>0.5</v>
      </c>
      <c r="AF39" s="13" cm="1">
        <f t="array" ref="AF39">J39 / _xlfn.XLOOKUP($AD39 &amp; "|" &amp; $H39, $AD:$AD &amp; "|" &amp; $G:$G, J:J)</f>
        <v>0.5</v>
      </c>
      <c r="AG39" s="13" cm="1">
        <f t="array" ref="AG39">K39 / _xlfn.XLOOKUP($AD39 &amp; "|" &amp; $H39, $AD:$AD &amp; "|" &amp; $G:$G, K:K)</f>
        <v>0.52845528455284552</v>
      </c>
      <c r="AH39" s="13" cm="1">
        <f t="array" ref="AH39">L39 / _xlfn.XLOOKUP($AD39 &amp; "|" &amp; $H39, $AD:$AD &amp; "|" &amp; $G:$G, L:L)</f>
        <v>1.0571428571428572</v>
      </c>
      <c r="AI39" s="13" cm="1">
        <f t="array" ref="AI39">M39 / _xlfn.XLOOKUP($AD39 &amp; "|" &amp; $H39, $AD:$AD &amp; "|" &amp; $G:$G, M:M)</f>
        <v>1</v>
      </c>
      <c r="AJ39" s="13" cm="1">
        <f t="array" ref="AJ39">N39 / _xlfn.XLOOKUP($AD39 &amp; "|" &amp; $H39, $AD:$AD &amp; "|" &amp; $G:$G, N:N)</f>
        <v>1</v>
      </c>
      <c r="AK39" s="13" cm="1">
        <f t="array" ref="AK39">O39 / _xlfn.XLOOKUP($AD39 &amp; "|" &amp; $H39, $AD:$AD &amp; "|" &amp; $G:$G, O:O)</f>
        <v>1</v>
      </c>
      <c r="AL39" s="13" t="e" cm="1">
        <f t="array" ref="AL39">P39 / _xlfn.XLOOKUP($AD39 &amp; "|" &amp; $H39, $AD:$AD &amp; "|" &amp; $G:$G, P:P)</f>
        <v>#DIV/0!</v>
      </c>
      <c r="AM39">
        <f>0.8</f>
        <v>0.8</v>
      </c>
      <c r="AP39">
        <f>0.9</f>
        <v>0.9</v>
      </c>
      <c r="AW39" s="13" cm="1">
        <f t="array" ref="AW39">_xlfn.XLOOKUP($AD39 &amp; "|" &amp; $H39, $AD:$AD &amp; "|" &amp; $G:$G, L:L)</f>
        <v>14</v>
      </c>
      <c r="AX39" s="13"/>
      <c r="AZ39" t="s">
        <v>232</v>
      </c>
    </row>
    <row r="40" spans="1:52" x14ac:dyDescent="0.2">
      <c r="A40" t="s">
        <v>57</v>
      </c>
      <c r="B40" t="s">
        <v>57</v>
      </c>
      <c r="C40" t="s">
        <v>110</v>
      </c>
      <c r="D40" t="s">
        <v>58</v>
      </c>
      <c r="E40">
        <v>1</v>
      </c>
      <c r="F40" t="s">
        <v>194</v>
      </c>
      <c r="G40" s="1" t="s">
        <v>54</v>
      </c>
      <c r="H40" s="1" t="s">
        <v>8</v>
      </c>
      <c r="I40" s="1">
        <v>0.2</v>
      </c>
      <c r="J40">
        <v>0</v>
      </c>
      <c r="K40">
        <f>AVERAGE(L40:L40)</f>
        <v>15.6</v>
      </c>
      <c r="L40">
        <v>15.6</v>
      </c>
      <c r="M40">
        <f t="shared" si="3"/>
        <v>294.09999999999997</v>
      </c>
      <c r="N40">
        <f t="shared" si="3"/>
        <v>294.09999999999997</v>
      </c>
      <c r="O40">
        <v>65</v>
      </c>
      <c r="AD40" t="str">
        <f t="shared" si="2"/>
        <v>Timko (2010)|Timko (2010)|Ground|PW308|1|Mid-high power</v>
      </c>
      <c r="AE40" s="13" cm="1">
        <f t="array" ref="AE40">I40 / _xlfn.XLOOKUP($AD40 &amp; "|" &amp; $H40, $AD:$AD &amp; "|" &amp; $G:$G, I:I)</f>
        <v>1.0526315789473684E-2</v>
      </c>
      <c r="AF40" s="13" cm="1">
        <f t="array" ref="AF40">J40 / _xlfn.XLOOKUP($AD40 &amp; "|" &amp; $H40, $AD:$AD &amp; "|" &amp; $G:$G, J:J)</f>
        <v>0</v>
      </c>
      <c r="AG40" s="13" cm="1">
        <f t="array" ref="AG40">K40 / _xlfn.XLOOKUP($AD40 &amp; "|" &amp; $H40, $AD:$AD &amp; "|" &amp; $G:$G, K:K)</f>
        <v>1.2682926829268292E-2</v>
      </c>
      <c r="AH40" s="13" cm="1">
        <f t="array" ref="AH40">L40 / _xlfn.XLOOKUP($AD40 &amp; "|" &amp; $H40, $AD:$AD &amp; "|" &amp; $G:$G, L:L)</f>
        <v>1.1142857142857143</v>
      </c>
      <c r="AI40" s="13" cm="1">
        <f t="array" ref="AI40">M40 / _xlfn.XLOOKUP($AD40 &amp; "|" &amp; $H40, $AD:$AD &amp; "|" &amp; $G:$G, M:M)</f>
        <v>1</v>
      </c>
      <c r="AJ40" s="13" cm="1">
        <f t="array" ref="AJ40">N40 / _xlfn.XLOOKUP($AD40 &amp; "|" &amp; $H40, $AD:$AD &amp; "|" &amp; $G:$G, N:N)</f>
        <v>1</v>
      </c>
      <c r="AK40" s="13" cm="1">
        <f t="array" ref="AK40">O40 / _xlfn.XLOOKUP($AD40 &amp; "|" &amp; $H40, $AD:$AD &amp; "|" &amp; $G:$G, O:O)</f>
        <v>1</v>
      </c>
      <c r="AL40" s="13" t="e" cm="1">
        <f t="array" ref="AL40">P40 / _xlfn.XLOOKUP($AD40 &amp; "|" &amp; $H40, $AD:$AD &amp; "|" &amp; $G:$G, P:P)</f>
        <v>#DIV/0!</v>
      </c>
      <c r="AM40">
        <f>0.53</f>
        <v>0.53</v>
      </c>
      <c r="AP40">
        <f>0.42</f>
        <v>0.42</v>
      </c>
      <c r="AW40" s="13" cm="1">
        <f t="array" ref="AW40">_xlfn.XLOOKUP($AD40 &amp; "|" &amp; $H40, $AD:$AD &amp; "|" &amp; $G:$G, L:L)</f>
        <v>14</v>
      </c>
      <c r="AX40" s="13"/>
      <c r="AZ40" t="s">
        <v>232</v>
      </c>
    </row>
    <row r="41" spans="1:52" x14ac:dyDescent="0.2">
      <c r="A41" t="s">
        <v>57</v>
      </c>
      <c r="B41" t="s">
        <v>57</v>
      </c>
      <c r="C41" t="s">
        <v>110</v>
      </c>
      <c r="D41" t="s">
        <v>58</v>
      </c>
      <c r="E41">
        <v>1</v>
      </c>
      <c r="F41" t="s">
        <v>187</v>
      </c>
      <c r="G41" s="1" t="s">
        <v>8</v>
      </c>
      <c r="H41" s="1"/>
      <c r="I41">
        <v>19</v>
      </c>
      <c r="J41" s="1">
        <f>1.4</f>
        <v>1.4</v>
      </c>
      <c r="K41">
        <v>1230</v>
      </c>
      <c r="L41">
        <v>14</v>
      </c>
      <c r="M41">
        <f t="shared" si="3"/>
        <v>294.09999999999997</v>
      </c>
      <c r="N41">
        <f t="shared" si="3"/>
        <v>294.09999999999997</v>
      </c>
      <c r="O41">
        <v>85</v>
      </c>
      <c r="X41">
        <v>3.5</v>
      </c>
      <c r="AD41" t="str">
        <f t="shared" si="2"/>
        <v>Timko (2010)|Timko (2010)|Ground|PW308|1|Climb</v>
      </c>
      <c r="AW41" s="13" t="e" cm="1">
        <f t="array" ref="AW41">_xlfn.XLOOKUP($AD41 &amp; "|" &amp; $H41, $AD:$AD &amp; "|" &amp; $G:$G, L:L)</f>
        <v>#N/A</v>
      </c>
      <c r="AZ41" t="s">
        <v>232</v>
      </c>
    </row>
    <row r="42" spans="1:52" x14ac:dyDescent="0.2">
      <c r="A42" t="s">
        <v>57</v>
      </c>
      <c r="B42" t="s">
        <v>57</v>
      </c>
      <c r="C42" t="s">
        <v>110</v>
      </c>
      <c r="D42" t="s">
        <v>58</v>
      </c>
      <c r="E42">
        <v>1</v>
      </c>
      <c r="F42" t="s">
        <v>187</v>
      </c>
      <c r="G42" s="1" t="s">
        <v>59</v>
      </c>
      <c r="H42" s="1" t="s">
        <v>8</v>
      </c>
      <c r="I42" s="1">
        <v>9.5</v>
      </c>
      <c r="J42">
        <v>0.7</v>
      </c>
      <c r="K42">
        <v>650</v>
      </c>
      <c r="L42">
        <v>14.8</v>
      </c>
      <c r="M42">
        <f t="shared" si="3"/>
        <v>294.09999999999997</v>
      </c>
      <c r="N42">
        <f t="shared" si="3"/>
        <v>294.09999999999997</v>
      </c>
      <c r="O42">
        <v>85</v>
      </c>
      <c r="X42">
        <v>1.5</v>
      </c>
      <c r="AD42" t="str">
        <f t="shared" si="2"/>
        <v>Timko (2010)|Timko (2010)|Ground|PW308|1|Climb</v>
      </c>
      <c r="AE42" s="13" cm="1">
        <f t="array" ref="AE42">I42 / _xlfn.XLOOKUP($AD42 &amp; "|" &amp; $H42, $AD:$AD &amp; "|" &amp; $G:$G, I:I)</f>
        <v>0.5</v>
      </c>
      <c r="AF42" s="13" cm="1">
        <f t="array" ref="AF42">J42 / _xlfn.XLOOKUP($AD42 &amp; "|" &amp; $H42, $AD:$AD &amp; "|" &amp; $G:$G, J:J)</f>
        <v>0.5</v>
      </c>
      <c r="AG42" s="13" cm="1">
        <f t="array" ref="AG42">K42 / _xlfn.XLOOKUP($AD42 &amp; "|" &amp; $H42, $AD:$AD &amp; "|" &amp; $G:$G, K:K)</f>
        <v>0.52845528455284552</v>
      </c>
      <c r="AH42" s="13" cm="1">
        <f t="array" ref="AH42">L42 / _xlfn.XLOOKUP($AD42 &amp; "|" &amp; $H42, $AD:$AD &amp; "|" &amp; $G:$G, L:L)</f>
        <v>1.0571428571428572</v>
      </c>
      <c r="AI42" s="13" cm="1">
        <f t="array" ref="AI42">M42 / _xlfn.XLOOKUP($AD42 &amp; "|" &amp; $H42, $AD:$AD &amp; "|" &amp; $G:$G, M:M)</f>
        <v>1</v>
      </c>
      <c r="AJ42" s="13" cm="1">
        <f t="array" ref="AJ42">N42 / _xlfn.XLOOKUP($AD42 &amp; "|" &amp; $H42, $AD:$AD &amp; "|" &amp; $G:$G, N:N)</f>
        <v>1</v>
      </c>
      <c r="AK42" s="13" cm="1">
        <f t="array" ref="AK42">O42 / _xlfn.XLOOKUP($AD42 &amp; "|" &amp; $H42, $AD:$AD &amp; "|" &amp; $G:$G, O:O)</f>
        <v>1</v>
      </c>
      <c r="AL42" s="13" t="e" cm="1">
        <f t="array" ref="AL42">P42 / _xlfn.XLOOKUP($AD42 &amp; "|" &amp; $H42, $AD:$AD &amp; "|" &amp; $G:$G, P:P)</f>
        <v>#DIV/0!</v>
      </c>
      <c r="AM42">
        <f>1.03</f>
        <v>1.03</v>
      </c>
      <c r="AP42">
        <f>1.01</f>
        <v>1.01</v>
      </c>
      <c r="AT42">
        <f>(X42)/X41</f>
        <v>0.42857142857142855</v>
      </c>
      <c r="AW42" s="13" cm="1">
        <f t="array" ref="AW42">_xlfn.XLOOKUP($AD42 &amp; "|" &amp; $H42, $AD:$AD &amp; "|" &amp; $G:$G, L:L)</f>
        <v>14</v>
      </c>
      <c r="AX42" s="13"/>
      <c r="AZ42" t="s">
        <v>232</v>
      </c>
    </row>
    <row r="43" spans="1:52" x14ac:dyDescent="0.2">
      <c r="A43" t="s">
        <v>57</v>
      </c>
      <c r="B43" t="s">
        <v>57</v>
      </c>
      <c r="C43" t="s">
        <v>110</v>
      </c>
      <c r="D43" t="s">
        <v>58</v>
      </c>
      <c r="E43">
        <v>1</v>
      </c>
      <c r="F43" t="s">
        <v>187</v>
      </c>
      <c r="G43" s="1" t="s">
        <v>54</v>
      </c>
      <c r="H43" s="1" t="s">
        <v>8</v>
      </c>
      <c r="I43" s="1">
        <v>0.2</v>
      </c>
      <c r="J43">
        <v>0</v>
      </c>
      <c r="K43">
        <f>AVERAGE(L43:L43)</f>
        <v>15.6</v>
      </c>
      <c r="L43">
        <v>15.6</v>
      </c>
      <c r="M43">
        <f>20.95+273.15</f>
        <v>294.09999999999997</v>
      </c>
      <c r="N43">
        <f>20.95+273.15</f>
        <v>294.09999999999997</v>
      </c>
      <c r="O43">
        <v>85</v>
      </c>
      <c r="X43">
        <v>0</v>
      </c>
      <c r="AD43" t="str">
        <f t="shared" si="2"/>
        <v>Timko (2010)|Timko (2010)|Ground|PW308|1|Climb</v>
      </c>
      <c r="AE43" s="13" cm="1">
        <f t="array" ref="AE43">I43 / _xlfn.XLOOKUP($AD43 &amp; "|" &amp; $H43, $AD:$AD &amp; "|" &amp; $G:$G, I:I)</f>
        <v>1.0526315789473684E-2</v>
      </c>
      <c r="AF43" s="13" cm="1">
        <f t="array" ref="AF43">J43 / _xlfn.XLOOKUP($AD43 &amp; "|" &amp; $H43, $AD:$AD &amp; "|" &amp; $G:$G, J:J)</f>
        <v>0</v>
      </c>
      <c r="AG43" s="13" cm="1">
        <f t="array" ref="AG43">K43 / _xlfn.XLOOKUP($AD43 &amp; "|" &amp; $H43, $AD:$AD &amp; "|" &amp; $G:$G, K:K)</f>
        <v>1.2682926829268292E-2</v>
      </c>
      <c r="AH43" s="13" cm="1">
        <f t="array" ref="AH43">L43 / _xlfn.XLOOKUP($AD43 &amp; "|" &amp; $H43, $AD:$AD &amp; "|" &amp; $G:$G, L:L)</f>
        <v>1.1142857142857143</v>
      </c>
      <c r="AI43" s="13" cm="1">
        <f t="array" ref="AI43">M43 / _xlfn.XLOOKUP($AD43 &amp; "|" &amp; $H43, $AD:$AD &amp; "|" &amp; $G:$G, M:M)</f>
        <v>1</v>
      </c>
      <c r="AJ43" s="13" cm="1">
        <f t="array" ref="AJ43">N43 / _xlfn.XLOOKUP($AD43 &amp; "|" &amp; $H43, $AD:$AD &amp; "|" &amp; $G:$G, N:N)</f>
        <v>1</v>
      </c>
      <c r="AK43" s="13" cm="1">
        <f t="array" ref="AK43">O43 / _xlfn.XLOOKUP($AD43 &amp; "|" &amp; $H43, $AD:$AD &amp; "|" &amp; $G:$G, O:O)</f>
        <v>1</v>
      </c>
      <c r="AL43" s="13" t="e" cm="1">
        <f t="array" ref="AL43">P43 / _xlfn.XLOOKUP($AD43 &amp; "|" &amp; $H43, $AD:$AD &amp; "|" &amp; $G:$G, P:P)</f>
        <v>#DIV/0!</v>
      </c>
      <c r="AM43">
        <f>0.66</f>
        <v>0.66</v>
      </c>
      <c r="AP43">
        <v>0.67</v>
      </c>
      <c r="AT43">
        <f>(X43)/X41</f>
        <v>0</v>
      </c>
      <c r="AW43" s="13" cm="1">
        <f t="array" ref="AW43">_xlfn.XLOOKUP($AD43 &amp; "|" &amp; $H43, $AD:$AD &amp; "|" &amp; $G:$G, L:L)</f>
        <v>14</v>
      </c>
      <c r="AX43" s="13"/>
      <c r="AZ43" t="s">
        <v>232</v>
      </c>
    </row>
    <row r="44" spans="1:52" x14ac:dyDescent="0.2">
      <c r="A44" t="s">
        <v>60</v>
      </c>
      <c r="B44" t="s">
        <v>60</v>
      </c>
      <c r="C44" t="s">
        <v>110</v>
      </c>
      <c r="D44" t="s">
        <v>61</v>
      </c>
      <c r="E44">
        <v>1</v>
      </c>
      <c r="F44" t="s">
        <v>189</v>
      </c>
      <c r="G44" s="1" t="s">
        <v>8</v>
      </c>
      <c r="H44" s="1"/>
      <c r="I44" s="1">
        <v>19.100000000000001</v>
      </c>
      <c r="J44">
        <v>1.5</v>
      </c>
      <c r="K44">
        <v>800</v>
      </c>
      <c r="L44">
        <v>13.9</v>
      </c>
      <c r="M44">
        <f>37.1+273.15</f>
        <v>310.25</v>
      </c>
      <c r="N44">
        <f>37.1+273.15</f>
        <v>310.25</v>
      </c>
      <c r="O44">
        <v>4</v>
      </c>
      <c r="AD44" t="str">
        <f t="shared" si="2"/>
        <v>Corporan (2010)|Corporan (2010)|Ground|F117-PW-100|1|Idle</v>
      </c>
      <c r="AW44" s="13" t="e" cm="1">
        <f t="array" ref="AW44">_xlfn.XLOOKUP($AD44 &amp; "|" &amp; $H44, $AD:$AD &amp; "|" &amp; $G:$G, L:L)</f>
        <v>#N/A</v>
      </c>
      <c r="AZ44" t="s">
        <v>232</v>
      </c>
    </row>
    <row r="45" spans="1:52" x14ac:dyDescent="0.2">
      <c r="A45" t="s">
        <v>60</v>
      </c>
      <c r="B45" t="s">
        <v>60</v>
      </c>
      <c r="C45" t="s">
        <v>110</v>
      </c>
      <c r="D45" t="s">
        <v>61</v>
      </c>
      <c r="E45">
        <v>1</v>
      </c>
      <c r="F45" t="s">
        <v>189</v>
      </c>
      <c r="G45" s="1" t="s">
        <v>62</v>
      </c>
      <c r="H45" s="1" t="s">
        <v>8</v>
      </c>
      <c r="I45" s="1">
        <v>9.5</v>
      </c>
      <c r="J45">
        <v>0.7</v>
      </c>
      <c r="K45">
        <v>500</v>
      </c>
      <c r="L45">
        <v>14.4</v>
      </c>
      <c r="M45">
        <f t="shared" ref="M45:N55" si="4">37.1+273.15</f>
        <v>310.25</v>
      </c>
      <c r="N45">
        <f t="shared" si="4"/>
        <v>310.25</v>
      </c>
      <c r="O45">
        <v>4</v>
      </c>
      <c r="AD45" t="str">
        <f t="shared" si="2"/>
        <v>Corporan (2010)|Corporan (2010)|Ground|F117-PW-100|1|Idle</v>
      </c>
      <c r="AE45" s="13" cm="1">
        <f t="array" ref="AE45">I45 / _xlfn.XLOOKUP($AD45 &amp; "|" &amp; $H45, $AD:$AD &amp; "|" &amp; $G:$G, I:I)</f>
        <v>0.49738219895287955</v>
      </c>
      <c r="AF45" s="13" cm="1">
        <f t="array" ref="AF45">J45 / _xlfn.XLOOKUP($AD45 &amp; "|" &amp; $H45, $AD:$AD &amp; "|" &amp; $G:$G, J:J)</f>
        <v>0.46666666666666662</v>
      </c>
      <c r="AG45" s="13" cm="1">
        <f t="array" ref="AG45">K45 / _xlfn.XLOOKUP($AD45 &amp; "|" &amp; $H45, $AD:$AD &amp; "|" &amp; $G:$G, K:K)</f>
        <v>0.625</v>
      </c>
      <c r="AH45" s="13" cm="1">
        <f t="array" ref="AH45">L45 / _xlfn.XLOOKUP($AD45 &amp; "|" &amp; $H45, $AD:$AD &amp; "|" &amp; $G:$G, L:L)</f>
        <v>1.0359712230215827</v>
      </c>
      <c r="AI45" s="13" cm="1">
        <f t="array" ref="AI45">M45 / _xlfn.XLOOKUP($AD45 &amp; "|" &amp; $H45, $AD:$AD &amp; "|" &amp; $G:$G, M:M)</f>
        <v>1</v>
      </c>
      <c r="AJ45" s="13" cm="1">
        <f t="array" ref="AJ45">N45 / _xlfn.XLOOKUP($AD45 &amp; "|" &amp; $H45, $AD:$AD &amp; "|" &amp; $G:$G, N:N)</f>
        <v>1</v>
      </c>
      <c r="AK45" s="13" cm="1">
        <f t="array" ref="AK45">O45 / _xlfn.XLOOKUP($AD45 &amp; "|" &amp; $H45, $AD:$AD &amp; "|" &amp; $G:$G, O:O)</f>
        <v>1</v>
      </c>
      <c r="AL45" s="13" t="e" cm="1">
        <f t="array" ref="AL45">P45 / _xlfn.XLOOKUP($AD45 &amp; "|" &amp; $H45, $AD:$AD &amp; "|" &amp; $G:$G, P:P)</f>
        <v>#DIV/0!</v>
      </c>
      <c r="AM45">
        <f>0.36</f>
        <v>0.36</v>
      </c>
      <c r="AW45" s="13" cm="1">
        <f t="array" ref="AW45">_xlfn.XLOOKUP($AD45 &amp; "|" &amp; $H45, $AD:$AD &amp; "|" &amp; $G:$G, L:L)</f>
        <v>13.9</v>
      </c>
      <c r="AX45" s="13"/>
      <c r="AZ45" t="s">
        <v>232</v>
      </c>
    </row>
    <row r="46" spans="1:52" x14ac:dyDescent="0.2">
      <c r="A46" t="s">
        <v>60</v>
      </c>
      <c r="B46" t="s">
        <v>60</v>
      </c>
      <c r="C46" t="s">
        <v>110</v>
      </c>
      <c r="D46" t="s">
        <v>61</v>
      </c>
      <c r="E46">
        <v>1</v>
      </c>
      <c r="F46" t="s">
        <v>189</v>
      </c>
      <c r="G46" s="1" t="s">
        <v>63</v>
      </c>
      <c r="H46" s="1" t="s">
        <v>8</v>
      </c>
      <c r="I46" s="1">
        <v>10.6</v>
      </c>
      <c r="J46">
        <v>0.75</v>
      </c>
      <c r="K46">
        <v>500</v>
      </c>
      <c r="L46">
        <v>14.4</v>
      </c>
      <c r="M46">
        <f t="shared" si="4"/>
        <v>310.25</v>
      </c>
      <c r="N46">
        <f t="shared" si="4"/>
        <v>310.25</v>
      </c>
      <c r="O46">
        <v>4</v>
      </c>
      <c r="AD46" t="str">
        <f t="shared" si="2"/>
        <v>Corporan (2010)|Corporan (2010)|Ground|F117-PW-100|1|Idle</v>
      </c>
      <c r="AE46" s="13" cm="1">
        <f t="array" ref="AE46">I46 / _xlfn.XLOOKUP($AD46 &amp; "|" &amp; $H46, $AD:$AD &amp; "|" &amp; $G:$G, I:I)</f>
        <v>0.55497382198952872</v>
      </c>
      <c r="AF46" s="13" cm="1">
        <f t="array" ref="AF46">J46 / _xlfn.XLOOKUP($AD46 &amp; "|" &amp; $H46, $AD:$AD &amp; "|" &amp; $G:$G, J:J)</f>
        <v>0.5</v>
      </c>
      <c r="AG46" s="13" cm="1">
        <f t="array" ref="AG46">K46 / _xlfn.XLOOKUP($AD46 &amp; "|" &amp; $H46, $AD:$AD &amp; "|" &amp; $G:$G, K:K)</f>
        <v>0.625</v>
      </c>
      <c r="AH46" s="13" cm="1">
        <f t="array" ref="AH46">L46 / _xlfn.XLOOKUP($AD46 &amp; "|" &amp; $H46, $AD:$AD &amp; "|" &amp; $G:$G, L:L)</f>
        <v>1.0359712230215827</v>
      </c>
      <c r="AI46" s="13" cm="1">
        <f t="array" ref="AI46">M46 / _xlfn.XLOOKUP($AD46 &amp; "|" &amp; $H46, $AD:$AD &amp; "|" &amp; $G:$G, M:M)</f>
        <v>1</v>
      </c>
      <c r="AJ46" s="13" cm="1">
        <f t="array" ref="AJ46">N46 / _xlfn.XLOOKUP($AD46 &amp; "|" &amp; $H46, $AD:$AD &amp; "|" &amp; $G:$G, N:N)</f>
        <v>1</v>
      </c>
      <c r="AK46" s="13" cm="1">
        <f t="array" ref="AK46">O46 / _xlfn.XLOOKUP($AD46 &amp; "|" &amp; $H46, $AD:$AD &amp; "|" &amp; $G:$G, O:O)</f>
        <v>1</v>
      </c>
      <c r="AL46" s="13" t="e" cm="1">
        <f t="array" ref="AL46">P46 / _xlfn.XLOOKUP($AD46 &amp; "|" &amp; $H46, $AD:$AD &amp; "|" &amp; $G:$G, P:P)</f>
        <v>#DIV/0!</v>
      </c>
      <c r="AM46">
        <f>0.27</f>
        <v>0.27</v>
      </c>
      <c r="AW46" s="13" cm="1">
        <f t="array" ref="AW46">_xlfn.XLOOKUP($AD46 &amp; "|" &amp; $H46, $AD:$AD &amp; "|" &amp; $G:$G, L:L)</f>
        <v>13.9</v>
      </c>
      <c r="AX46" s="13"/>
      <c r="AZ46" t="s">
        <v>232</v>
      </c>
    </row>
    <row r="47" spans="1:52" x14ac:dyDescent="0.2">
      <c r="A47" t="s">
        <v>60</v>
      </c>
      <c r="B47" t="s">
        <v>60</v>
      </c>
      <c r="C47" t="s">
        <v>110</v>
      </c>
      <c r="D47" t="s">
        <v>61</v>
      </c>
      <c r="E47">
        <v>1</v>
      </c>
      <c r="F47" t="s">
        <v>192</v>
      </c>
      <c r="G47" s="1" t="s">
        <v>8</v>
      </c>
      <c r="H47" s="1"/>
      <c r="I47" s="1">
        <v>19.100000000000001</v>
      </c>
      <c r="J47">
        <v>1.5</v>
      </c>
      <c r="K47">
        <v>800</v>
      </c>
      <c r="L47">
        <v>13.9</v>
      </c>
      <c r="M47">
        <f t="shared" si="4"/>
        <v>310.25</v>
      </c>
      <c r="N47">
        <f t="shared" si="4"/>
        <v>310.25</v>
      </c>
      <c r="O47">
        <v>33</v>
      </c>
      <c r="AD47" t="str">
        <f t="shared" si="2"/>
        <v>Corporan (2010)|Corporan (2010)|Ground|F117-PW-100|1|Intermediate</v>
      </c>
      <c r="AW47" s="13" t="e" cm="1">
        <f t="array" ref="AW47">_xlfn.XLOOKUP($AD47 &amp; "|" &amp; $H47, $AD:$AD &amp; "|" &amp; $G:$G, L:L)</f>
        <v>#N/A</v>
      </c>
      <c r="AZ47" t="s">
        <v>232</v>
      </c>
    </row>
    <row r="48" spans="1:52" x14ac:dyDescent="0.2">
      <c r="A48" t="s">
        <v>60</v>
      </c>
      <c r="B48" t="s">
        <v>60</v>
      </c>
      <c r="C48" t="s">
        <v>110</v>
      </c>
      <c r="D48" t="s">
        <v>61</v>
      </c>
      <c r="E48">
        <v>1</v>
      </c>
      <c r="F48" t="s">
        <v>192</v>
      </c>
      <c r="G48" s="1" t="s">
        <v>62</v>
      </c>
      <c r="H48" s="1" t="s">
        <v>8</v>
      </c>
      <c r="I48" s="1">
        <v>9.5</v>
      </c>
      <c r="J48">
        <v>0.7</v>
      </c>
      <c r="K48">
        <v>500</v>
      </c>
      <c r="L48">
        <v>14.4</v>
      </c>
      <c r="M48">
        <f t="shared" si="4"/>
        <v>310.25</v>
      </c>
      <c r="N48">
        <f t="shared" si="4"/>
        <v>310.25</v>
      </c>
      <c r="O48">
        <v>33</v>
      </c>
      <c r="AD48" t="str">
        <f t="shared" si="2"/>
        <v>Corporan (2010)|Corporan (2010)|Ground|F117-PW-100|1|Intermediate</v>
      </c>
      <c r="AE48" s="13">
        <f>(I48)/I$47</f>
        <v>0.49738219895287955</v>
      </c>
      <c r="AF48" s="13">
        <f t="shared" ref="AF48:AL49" si="5">(J48)/J$47</f>
        <v>0.46666666666666662</v>
      </c>
      <c r="AG48" s="13">
        <f t="shared" si="5"/>
        <v>0.625</v>
      </c>
      <c r="AH48" s="13">
        <f>(L48)-L$47</f>
        <v>0.5</v>
      </c>
      <c r="AI48" s="13">
        <f t="shared" si="5"/>
        <v>1</v>
      </c>
      <c r="AJ48" s="13">
        <f t="shared" si="5"/>
        <v>1</v>
      </c>
      <c r="AK48" s="13">
        <f t="shared" si="5"/>
        <v>1</v>
      </c>
      <c r="AL48" s="13" t="e">
        <f t="shared" si="5"/>
        <v>#DIV/0!</v>
      </c>
      <c r="AM48">
        <f>0.7</f>
        <v>0.7</v>
      </c>
      <c r="AW48" s="13" cm="1">
        <f t="array" ref="AW48">_xlfn.XLOOKUP($AD48 &amp; "|" &amp; $H48, $AD:$AD &amp; "|" &amp; $G:$G, L:L)</f>
        <v>13.9</v>
      </c>
      <c r="AX48" s="13"/>
      <c r="AZ48" t="s">
        <v>232</v>
      </c>
    </row>
    <row r="49" spans="1:52" x14ac:dyDescent="0.2">
      <c r="A49" t="s">
        <v>60</v>
      </c>
      <c r="B49" t="s">
        <v>60</v>
      </c>
      <c r="C49" t="s">
        <v>110</v>
      </c>
      <c r="D49" t="s">
        <v>61</v>
      </c>
      <c r="E49">
        <v>1</v>
      </c>
      <c r="F49" t="s">
        <v>192</v>
      </c>
      <c r="G49" s="1" t="s">
        <v>63</v>
      </c>
      <c r="H49" s="1" t="s">
        <v>8</v>
      </c>
      <c r="I49" s="1">
        <v>10.6</v>
      </c>
      <c r="J49">
        <v>0.75</v>
      </c>
      <c r="K49">
        <v>500</v>
      </c>
      <c r="L49">
        <v>14.4</v>
      </c>
      <c r="M49">
        <f t="shared" si="4"/>
        <v>310.25</v>
      </c>
      <c r="N49">
        <f t="shared" si="4"/>
        <v>310.25</v>
      </c>
      <c r="O49">
        <v>33</v>
      </c>
      <c r="AD49" t="str">
        <f t="shared" si="2"/>
        <v>Corporan (2010)|Corporan (2010)|Ground|F117-PW-100|1|Intermediate</v>
      </c>
      <c r="AE49" s="13">
        <f>(I49)/I$47</f>
        <v>0.55497382198952872</v>
      </c>
      <c r="AF49" s="13">
        <f t="shared" si="5"/>
        <v>0.5</v>
      </c>
      <c r="AG49" s="13">
        <f t="shared" si="5"/>
        <v>0.625</v>
      </c>
      <c r="AH49" s="13">
        <f>(L49)-L$47</f>
        <v>0.5</v>
      </c>
      <c r="AI49" s="13">
        <f t="shared" si="5"/>
        <v>1</v>
      </c>
      <c r="AJ49" s="13">
        <f t="shared" si="5"/>
        <v>1</v>
      </c>
      <c r="AK49" s="13">
        <f t="shared" si="5"/>
        <v>1</v>
      </c>
      <c r="AL49" s="13" t="e">
        <f t="shared" si="5"/>
        <v>#DIV/0!</v>
      </c>
      <c r="AM49">
        <f>0.45</f>
        <v>0.45</v>
      </c>
      <c r="AW49" s="13" cm="1">
        <f t="array" ref="AW49">_xlfn.XLOOKUP($AD49 &amp; "|" &amp; $H49, $AD:$AD &amp; "|" &amp; $G:$G, L:L)</f>
        <v>13.9</v>
      </c>
      <c r="AX49" s="13"/>
      <c r="AZ49" t="s">
        <v>232</v>
      </c>
    </row>
    <row r="50" spans="1:52" x14ac:dyDescent="0.2">
      <c r="A50" t="s">
        <v>60</v>
      </c>
      <c r="B50" t="s">
        <v>60</v>
      </c>
      <c r="C50" t="s">
        <v>110</v>
      </c>
      <c r="D50" t="s">
        <v>61</v>
      </c>
      <c r="E50">
        <v>1</v>
      </c>
      <c r="F50" t="s">
        <v>194</v>
      </c>
      <c r="G50" s="1" t="s">
        <v>8</v>
      </c>
      <c r="H50" s="1"/>
      <c r="I50" s="1">
        <v>19.100000000000001</v>
      </c>
      <c r="J50">
        <v>1.5</v>
      </c>
      <c r="K50">
        <v>800</v>
      </c>
      <c r="L50">
        <v>13.9</v>
      </c>
      <c r="M50">
        <f t="shared" si="4"/>
        <v>310.25</v>
      </c>
      <c r="N50">
        <f t="shared" si="4"/>
        <v>310.25</v>
      </c>
      <c r="O50">
        <v>54</v>
      </c>
      <c r="AD50" t="str">
        <f t="shared" si="2"/>
        <v>Corporan (2010)|Corporan (2010)|Ground|F117-PW-100|1|Mid-high power</v>
      </c>
      <c r="AW50" s="13" t="e" cm="1">
        <f t="array" ref="AW50">_xlfn.XLOOKUP($AD50 &amp; "|" &amp; $H50, $AD:$AD &amp; "|" &amp; $G:$G, L:L)</f>
        <v>#N/A</v>
      </c>
      <c r="AZ50" t="s">
        <v>232</v>
      </c>
    </row>
    <row r="51" spans="1:52" x14ac:dyDescent="0.2">
      <c r="A51" t="s">
        <v>60</v>
      </c>
      <c r="B51" t="s">
        <v>60</v>
      </c>
      <c r="C51" t="s">
        <v>110</v>
      </c>
      <c r="D51" t="s">
        <v>61</v>
      </c>
      <c r="E51">
        <v>1</v>
      </c>
      <c r="F51" t="s">
        <v>194</v>
      </c>
      <c r="G51" s="1" t="s">
        <v>62</v>
      </c>
      <c r="H51" s="1" t="s">
        <v>8</v>
      </c>
      <c r="I51" s="1">
        <v>9.5</v>
      </c>
      <c r="J51">
        <v>0.7</v>
      </c>
      <c r="K51">
        <v>500</v>
      </c>
      <c r="L51">
        <v>14.4</v>
      </c>
      <c r="M51">
        <f t="shared" si="4"/>
        <v>310.25</v>
      </c>
      <c r="N51">
        <f t="shared" si="4"/>
        <v>310.25</v>
      </c>
      <c r="O51">
        <v>54</v>
      </c>
      <c r="AD51" t="str">
        <f t="shared" si="2"/>
        <v>Corporan (2010)|Corporan (2010)|Ground|F117-PW-100|1|Mid-high power</v>
      </c>
      <c r="AE51" s="13" cm="1">
        <f t="array" ref="AE51">I51 / _xlfn.XLOOKUP($AD51 &amp; "|" &amp; $H51, $AD:$AD &amp; "|" &amp; $G:$G, I:I)</f>
        <v>0.49738219895287955</v>
      </c>
      <c r="AF51" s="13" cm="1">
        <f t="array" ref="AF51">J51 / _xlfn.XLOOKUP($AD51 &amp; "|" &amp; $H51, $AD:$AD &amp; "|" &amp; $G:$G, J:J)</f>
        <v>0.46666666666666662</v>
      </c>
      <c r="AG51" s="13" cm="1">
        <f t="array" ref="AG51">K51 / _xlfn.XLOOKUP($AD51 &amp; "|" &amp; $H51, $AD:$AD &amp; "|" &amp; $G:$G, K:K)</f>
        <v>0.625</v>
      </c>
      <c r="AH51" s="13" cm="1">
        <f t="array" ref="AH51">L51 / _xlfn.XLOOKUP($AD51 &amp; "|" &amp; $H51, $AD:$AD &amp; "|" &amp; $G:$G, L:L)</f>
        <v>1.0359712230215827</v>
      </c>
      <c r="AI51" s="13" cm="1">
        <f t="array" ref="AI51">M51 / _xlfn.XLOOKUP($AD51 &amp; "|" &amp; $H51, $AD:$AD &amp; "|" &amp; $G:$G, M:M)</f>
        <v>1</v>
      </c>
      <c r="AJ51" s="13" cm="1">
        <f t="array" ref="AJ51">N51 / _xlfn.XLOOKUP($AD51 &amp; "|" &amp; $H51, $AD:$AD &amp; "|" &amp; $G:$G, N:N)</f>
        <v>1</v>
      </c>
      <c r="AK51" s="13" cm="1">
        <f t="array" ref="AK51">O51 / _xlfn.XLOOKUP($AD51 &amp; "|" &amp; $H51, $AD:$AD &amp; "|" &amp; $G:$G, O:O)</f>
        <v>1</v>
      </c>
      <c r="AL51" s="13" t="e" cm="1">
        <f t="array" ref="AL51">P51 / _xlfn.XLOOKUP($AD51 &amp; "|" &amp; $H51, $AD:$AD &amp; "|" &amp; $G:$G, P:P)</f>
        <v>#DIV/0!</v>
      </c>
      <c r="AM51">
        <f>0.96</f>
        <v>0.96</v>
      </c>
      <c r="AW51" s="13" cm="1">
        <f t="array" ref="AW51">_xlfn.XLOOKUP($AD51 &amp; "|" &amp; $H51, $AD:$AD &amp; "|" &amp; $G:$G, L:L)</f>
        <v>13.9</v>
      </c>
      <c r="AX51" s="13"/>
      <c r="AZ51" t="s">
        <v>232</v>
      </c>
    </row>
    <row r="52" spans="1:52" x14ac:dyDescent="0.2">
      <c r="A52" t="s">
        <v>60</v>
      </c>
      <c r="B52" t="s">
        <v>60</v>
      </c>
      <c r="C52" t="s">
        <v>110</v>
      </c>
      <c r="D52" t="s">
        <v>61</v>
      </c>
      <c r="E52">
        <v>1</v>
      </c>
      <c r="F52" t="s">
        <v>194</v>
      </c>
      <c r="G52" s="1" t="s">
        <v>63</v>
      </c>
      <c r="H52" s="1" t="s">
        <v>8</v>
      </c>
      <c r="I52" s="1">
        <v>10.6</v>
      </c>
      <c r="J52">
        <v>0.75</v>
      </c>
      <c r="K52">
        <v>500</v>
      </c>
      <c r="L52">
        <v>14.4</v>
      </c>
      <c r="M52">
        <f t="shared" si="4"/>
        <v>310.25</v>
      </c>
      <c r="N52">
        <f t="shared" si="4"/>
        <v>310.25</v>
      </c>
      <c r="O52">
        <v>54</v>
      </c>
      <c r="AD52" t="str">
        <f t="shared" si="2"/>
        <v>Corporan (2010)|Corporan (2010)|Ground|F117-PW-100|1|Mid-high power</v>
      </c>
      <c r="AE52" s="13" cm="1">
        <f t="array" ref="AE52">I52 / _xlfn.XLOOKUP($AD52 &amp; "|" &amp; $H52, $AD:$AD &amp; "|" &amp; $G:$G, I:I)</f>
        <v>0.55497382198952872</v>
      </c>
      <c r="AF52" s="13" cm="1">
        <f t="array" ref="AF52">J52 / _xlfn.XLOOKUP($AD52 &amp; "|" &amp; $H52, $AD:$AD &amp; "|" &amp; $G:$G, J:J)</f>
        <v>0.5</v>
      </c>
      <c r="AG52" s="13" cm="1">
        <f t="array" ref="AG52">K52 / _xlfn.XLOOKUP($AD52 &amp; "|" &amp; $H52, $AD:$AD &amp; "|" &amp; $G:$G, K:K)</f>
        <v>0.625</v>
      </c>
      <c r="AH52" s="13" cm="1">
        <f t="array" ref="AH52">L52 / _xlfn.XLOOKUP($AD52 &amp; "|" &amp; $H52, $AD:$AD &amp; "|" &amp; $G:$G, L:L)</f>
        <v>1.0359712230215827</v>
      </c>
      <c r="AI52" s="13" cm="1">
        <f t="array" ref="AI52">M52 / _xlfn.XLOOKUP($AD52 &amp; "|" &amp; $H52, $AD:$AD &amp; "|" &amp; $G:$G, M:M)</f>
        <v>1</v>
      </c>
      <c r="AJ52" s="13" cm="1">
        <f t="array" ref="AJ52">N52 / _xlfn.XLOOKUP($AD52 &amp; "|" &amp; $H52, $AD:$AD &amp; "|" &amp; $G:$G, N:N)</f>
        <v>1</v>
      </c>
      <c r="AK52" s="13" cm="1">
        <f t="array" ref="AK52">O52 / _xlfn.XLOOKUP($AD52 &amp; "|" &amp; $H52, $AD:$AD &amp; "|" &amp; $G:$G, O:O)</f>
        <v>1</v>
      </c>
      <c r="AL52" s="13" t="e" cm="1">
        <f t="array" ref="AL52">P52 / _xlfn.XLOOKUP($AD52 &amp; "|" &amp; $H52, $AD:$AD &amp; "|" &amp; $G:$G, P:P)</f>
        <v>#DIV/0!</v>
      </c>
      <c r="AM52">
        <f>0.53</f>
        <v>0.53</v>
      </c>
      <c r="AW52" s="13" cm="1">
        <f t="array" ref="AW52">_xlfn.XLOOKUP($AD52 &amp; "|" &amp; $H52, $AD:$AD &amp; "|" &amp; $G:$G, L:L)</f>
        <v>13.9</v>
      </c>
      <c r="AX52" s="13"/>
      <c r="AZ52" t="s">
        <v>232</v>
      </c>
    </row>
    <row r="53" spans="1:52" x14ac:dyDescent="0.2">
      <c r="A53" t="s">
        <v>60</v>
      </c>
      <c r="B53" t="s">
        <v>60</v>
      </c>
      <c r="C53" t="s">
        <v>110</v>
      </c>
      <c r="D53" t="s">
        <v>61</v>
      </c>
      <c r="E53">
        <v>1</v>
      </c>
      <c r="F53" t="s">
        <v>196</v>
      </c>
      <c r="G53" s="1" t="s">
        <v>8</v>
      </c>
      <c r="H53" s="1"/>
      <c r="I53" s="1">
        <v>19.100000000000001</v>
      </c>
      <c r="J53">
        <v>1.5</v>
      </c>
      <c r="K53">
        <v>800</v>
      </c>
      <c r="L53">
        <v>13.9</v>
      </c>
      <c r="M53">
        <f t="shared" si="4"/>
        <v>310.25</v>
      </c>
      <c r="N53">
        <f t="shared" si="4"/>
        <v>310.25</v>
      </c>
      <c r="O53">
        <v>63</v>
      </c>
      <c r="AD53" t="str">
        <f t="shared" si="2"/>
        <v>Corporan (2010)|Corporan (2010)|Ground|F117-PW-100|1|High power</v>
      </c>
      <c r="AW53" s="13" t="e" cm="1">
        <f t="array" ref="AW53">_xlfn.XLOOKUP($AD53 &amp; "|" &amp; $H53, $AD:$AD &amp; "|" &amp; $G:$G, L:L)</f>
        <v>#N/A</v>
      </c>
      <c r="AZ53" t="s">
        <v>232</v>
      </c>
    </row>
    <row r="54" spans="1:52" x14ac:dyDescent="0.2">
      <c r="A54" t="s">
        <v>60</v>
      </c>
      <c r="B54" t="s">
        <v>60</v>
      </c>
      <c r="C54" t="s">
        <v>110</v>
      </c>
      <c r="D54" t="s">
        <v>61</v>
      </c>
      <c r="E54">
        <v>1</v>
      </c>
      <c r="F54" t="s">
        <v>196</v>
      </c>
      <c r="G54" s="1" t="s">
        <v>62</v>
      </c>
      <c r="H54" s="1" t="s">
        <v>8</v>
      </c>
      <c r="I54" s="1">
        <v>9.5</v>
      </c>
      <c r="J54">
        <v>0.7</v>
      </c>
      <c r="K54">
        <v>500</v>
      </c>
      <c r="L54">
        <v>14.4</v>
      </c>
      <c r="M54">
        <f t="shared" si="4"/>
        <v>310.25</v>
      </c>
      <c r="N54">
        <f t="shared" si="4"/>
        <v>310.25</v>
      </c>
      <c r="O54">
        <v>63</v>
      </c>
      <c r="AD54" t="str">
        <f t="shared" si="2"/>
        <v>Corporan (2010)|Corporan (2010)|Ground|F117-PW-100|1|High power</v>
      </c>
      <c r="AE54" s="13" cm="1">
        <f t="array" ref="AE54">I54 / _xlfn.XLOOKUP($AD54 &amp; "|" &amp; $H54, $AD:$AD &amp; "|" &amp; $G:$G, I:I)</f>
        <v>0.49738219895287955</v>
      </c>
      <c r="AF54" s="13" cm="1">
        <f t="array" ref="AF54">J54 / _xlfn.XLOOKUP($AD54 &amp; "|" &amp; $H54, $AD:$AD &amp; "|" &amp; $G:$G, J:J)</f>
        <v>0.46666666666666662</v>
      </c>
      <c r="AG54" s="13" cm="1">
        <f t="array" ref="AG54">K54 / _xlfn.XLOOKUP($AD54 &amp; "|" &amp; $H54, $AD:$AD &amp; "|" &amp; $G:$G, K:K)</f>
        <v>0.625</v>
      </c>
      <c r="AH54" s="13" cm="1">
        <f t="array" ref="AH54">L54 / _xlfn.XLOOKUP($AD54 &amp; "|" &amp; $H54, $AD:$AD &amp; "|" &amp; $G:$G, L:L)</f>
        <v>1.0359712230215827</v>
      </c>
      <c r="AI54" s="13" cm="1">
        <f t="array" ref="AI54">M54 / _xlfn.XLOOKUP($AD54 &amp; "|" &amp; $H54, $AD:$AD &amp; "|" &amp; $G:$G, M:M)</f>
        <v>1</v>
      </c>
      <c r="AJ54" s="13" cm="1">
        <f t="array" ref="AJ54">N54 / _xlfn.XLOOKUP($AD54 &amp; "|" &amp; $H54, $AD:$AD &amp; "|" &amp; $G:$G, N:N)</f>
        <v>1</v>
      </c>
      <c r="AK54" s="13" cm="1">
        <f t="array" ref="AK54">O54 / _xlfn.XLOOKUP($AD54 &amp; "|" &amp; $H54, $AD:$AD &amp; "|" &amp; $G:$G, O:O)</f>
        <v>1</v>
      </c>
      <c r="AL54" s="13" t="e" cm="1">
        <f t="array" ref="AL54">P54 / _xlfn.XLOOKUP($AD54 &amp; "|" &amp; $H54, $AD:$AD &amp; "|" &amp; $G:$G, P:P)</f>
        <v>#DIV/0!</v>
      </c>
      <c r="AM54">
        <f>1.04</f>
        <v>1.04</v>
      </c>
      <c r="AW54" s="13" cm="1">
        <f t="array" ref="AW54">_xlfn.XLOOKUP($AD54 &amp; "|" &amp; $H54, $AD:$AD &amp; "|" &amp; $G:$G, L:L)</f>
        <v>13.9</v>
      </c>
      <c r="AX54" s="13"/>
      <c r="AZ54" t="s">
        <v>232</v>
      </c>
    </row>
    <row r="55" spans="1:52" x14ac:dyDescent="0.2">
      <c r="A55" t="s">
        <v>60</v>
      </c>
      <c r="B55" t="s">
        <v>60</v>
      </c>
      <c r="C55" t="s">
        <v>110</v>
      </c>
      <c r="D55" t="s">
        <v>61</v>
      </c>
      <c r="E55">
        <v>1</v>
      </c>
      <c r="F55" t="s">
        <v>196</v>
      </c>
      <c r="G55" s="1" t="s">
        <v>63</v>
      </c>
      <c r="H55" s="1" t="s">
        <v>8</v>
      </c>
      <c r="I55" s="1">
        <v>10.6</v>
      </c>
      <c r="J55">
        <v>0.75</v>
      </c>
      <c r="K55">
        <v>500</v>
      </c>
      <c r="L55">
        <v>14.4</v>
      </c>
      <c r="M55">
        <f t="shared" si="4"/>
        <v>310.25</v>
      </c>
      <c r="N55">
        <f t="shared" si="4"/>
        <v>310.25</v>
      </c>
      <c r="O55">
        <v>63</v>
      </c>
      <c r="AD55" t="str">
        <f>A55 &amp; "|" &amp; B55 &amp; "|" &amp; C55 &amp; "|" &amp; D55 &amp; "|" &amp; E55 &amp;"|" &amp; F55</f>
        <v>Corporan (2010)|Corporan (2010)|Ground|F117-PW-100|1|High power</v>
      </c>
      <c r="AE55" s="13" cm="1">
        <f t="array" ref="AE55">I55 / _xlfn.XLOOKUP($AD55 &amp; "|" &amp; $H55, $AD:$AD &amp; "|" &amp; $G:$G, I:I)</f>
        <v>0.55497382198952872</v>
      </c>
      <c r="AF55" s="13" cm="1">
        <f t="array" ref="AF55">J55 / _xlfn.XLOOKUP($AD55 &amp; "|" &amp; $H55, $AD:$AD &amp; "|" &amp; $G:$G, J:J)</f>
        <v>0.5</v>
      </c>
      <c r="AG55" s="13" cm="1">
        <f t="array" ref="AG55">K55 / _xlfn.XLOOKUP($AD55 &amp; "|" &amp; $H55, $AD:$AD &amp; "|" &amp; $G:$G, K:K)</f>
        <v>0.625</v>
      </c>
      <c r="AH55" s="13" cm="1">
        <f t="array" ref="AH55">L55 / _xlfn.XLOOKUP($AD55 &amp; "|" &amp; $H55, $AD:$AD &amp; "|" &amp; $G:$G, L:L)</f>
        <v>1.0359712230215827</v>
      </c>
      <c r="AI55" s="13" cm="1">
        <f t="array" ref="AI55">M55 / _xlfn.XLOOKUP($AD55 &amp; "|" &amp; $H55, $AD:$AD &amp; "|" &amp; $G:$G, M:M)</f>
        <v>1</v>
      </c>
      <c r="AJ55" s="13" cm="1">
        <f t="array" ref="AJ55">N55 / _xlfn.XLOOKUP($AD55 &amp; "|" &amp; $H55, $AD:$AD &amp; "|" &amp; $G:$G, N:N)</f>
        <v>1</v>
      </c>
      <c r="AK55" s="13" cm="1">
        <f t="array" ref="AK55">O55 / _xlfn.XLOOKUP($AD55 &amp; "|" &amp; $H55, $AD:$AD &amp; "|" &amp; $G:$G, O:O)</f>
        <v>1</v>
      </c>
      <c r="AL55" s="13" t="e" cm="1">
        <f t="array" ref="AL55">P55 / _xlfn.XLOOKUP($AD55 &amp; "|" &amp; $H55, $AD:$AD &amp; "|" &amp; $G:$G, P:P)</f>
        <v>#DIV/0!</v>
      </c>
      <c r="AM55">
        <f>0.63</f>
        <v>0.63</v>
      </c>
      <c r="AW55" s="13" cm="1">
        <f t="array" ref="AW55">_xlfn.XLOOKUP($AD55 &amp; "|" &amp; $H55, $AD:$AD &amp; "|" &amp; $G:$G, L:L)</f>
        <v>13.9</v>
      </c>
      <c r="AX55" s="13"/>
      <c r="AZ55" t="s">
        <v>232</v>
      </c>
    </row>
    <row r="56" spans="1:52" x14ac:dyDescent="0.2">
      <c r="A56" t="s">
        <v>64</v>
      </c>
      <c r="B56" t="s">
        <v>64</v>
      </c>
      <c r="C56" t="s">
        <v>110</v>
      </c>
      <c r="D56" t="s">
        <v>70</v>
      </c>
      <c r="E56">
        <v>1</v>
      </c>
      <c r="G56" s="1" t="s">
        <v>50</v>
      </c>
      <c r="H56" s="1"/>
      <c r="I56" s="1">
        <f>100-19.35-20.57-37.65</f>
        <v>22.430000000000007</v>
      </c>
      <c r="J56">
        <v>2.58</v>
      </c>
      <c r="K56">
        <v>330</v>
      </c>
      <c r="L56">
        <v>13.7</v>
      </c>
      <c r="M56">
        <f>273.15+17.3</f>
        <v>290.45</v>
      </c>
      <c r="N56">
        <f>273.15+17.3</f>
        <v>290.45</v>
      </c>
      <c r="P56">
        <f>17.7 * 60 *60 /1000</f>
        <v>63.72</v>
      </c>
      <c r="Q56">
        <v>4720000000000000</v>
      </c>
      <c r="T56">
        <v>745.81</v>
      </c>
      <c r="AD56" t="str">
        <f t="shared" si="2"/>
        <v>Lobo (2015)|Lobo (2015)|Ground|GTCP85 APU|1|</v>
      </c>
      <c r="AM56" s="13"/>
      <c r="AP56" s="13"/>
      <c r="AW56" s="13" t="e" cm="1">
        <f t="array" ref="AW56">_xlfn.XLOOKUP($AD56 &amp; "|" &amp; $H56, $AD:$AD &amp; "|" &amp; $G:$G, L:L)</f>
        <v>#N/A</v>
      </c>
      <c r="AY56" s="13"/>
      <c r="AZ56" t="s">
        <v>232</v>
      </c>
    </row>
    <row r="57" spans="1:52" x14ac:dyDescent="0.2">
      <c r="A57" t="s">
        <v>64</v>
      </c>
      <c r="B57" t="s">
        <v>64</v>
      </c>
      <c r="C57" t="s">
        <v>110</v>
      </c>
      <c r="D57" t="s">
        <v>70</v>
      </c>
      <c r="E57">
        <v>1</v>
      </c>
      <c r="G57" s="1" t="s">
        <v>69</v>
      </c>
      <c r="H57" s="1" t="s">
        <v>50</v>
      </c>
      <c r="I57" s="1">
        <f>100-19.35-71.35-6.58</f>
        <v>2.7200000000000113</v>
      </c>
      <c r="J57">
        <v>7.0000000000000007E-2</v>
      </c>
      <c r="K57">
        <v>180</v>
      </c>
      <c r="L57">
        <v>15.2</v>
      </c>
      <c r="M57">
        <f t="shared" ref="M57:N61" si="6">273.15+17.3</f>
        <v>290.45</v>
      </c>
      <c r="N57">
        <f t="shared" si="6"/>
        <v>290.45</v>
      </c>
      <c r="P57">
        <f>17.7 * 60 *60 /1000</f>
        <v>63.72</v>
      </c>
      <c r="Q57">
        <v>7599199999999999</v>
      </c>
      <c r="T57">
        <f>T56*(1-0.88)</f>
        <v>89.497199999999992</v>
      </c>
      <c r="AA57">
        <f>0.24*10^15</f>
        <v>240000000000000</v>
      </c>
      <c r="AD57" t="str">
        <f t="shared" si="2"/>
        <v>Lobo (2015)|Lobo (2015)|Ground|GTCP85 APU|1|</v>
      </c>
      <c r="AE57" s="13" cm="1">
        <f t="array" ref="AE57">I57 / _xlfn.XLOOKUP($AD57 &amp; "|" &amp; $H57, $AD:$AD &amp; "|" &amp; $G:$G, I:I)</f>
        <v>0.12126616139099466</v>
      </c>
      <c r="AF57" s="13" cm="1">
        <f t="array" ref="AF57">J57 / _xlfn.XLOOKUP($AD57 &amp; "|" &amp; $H57, $AD:$AD &amp; "|" &amp; $G:$G, J:J)</f>
        <v>2.7131782945736437E-2</v>
      </c>
      <c r="AG57" s="13" cm="1">
        <f t="array" ref="AG57">K57 / _xlfn.XLOOKUP($AD57 &amp; "|" &amp; $H57, $AD:$AD &amp; "|" &amp; $G:$G, K:K)</f>
        <v>0.54545454545454541</v>
      </c>
      <c r="AH57" s="13" cm="1">
        <f t="array" ref="AH57">L57 / _xlfn.XLOOKUP($AD57 &amp; "|" &amp; $H57, $AD:$AD &amp; "|" &amp; $G:$G, L:L)</f>
        <v>1.1094890510948905</v>
      </c>
      <c r="AI57" s="13" cm="1">
        <f t="array" ref="AI57">M57 / _xlfn.XLOOKUP($AD57 &amp; "|" &amp; $H57, $AD:$AD &amp; "|" &amp; $G:$G, M:M)</f>
        <v>1</v>
      </c>
      <c r="AJ57" s="13" cm="1">
        <f t="array" ref="AJ57">N57 / _xlfn.XLOOKUP($AD57 &amp; "|" &amp; $H57, $AD:$AD &amp; "|" &amp; $G:$G, N:N)</f>
        <v>1</v>
      </c>
      <c r="AK57" s="13" t="e" cm="1">
        <f t="array" ref="AK57">O57 / _xlfn.XLOOKUP($AD57 &amp; "|" &amp; $H57, $AD:$AD &amp; "|" &amp; $G:$G, O:O)</f>
        <v>#DIV/0!</v>
      </c>
      <c r="AL57" s="13" cm="1">
        <f t="array" ref="AL57">P57 / _xlfn.XLOOKUP($AD57 &amp; "|" &amp; $H57, $AD:$AD &amp; "|" &amp; $G:$G, P:P)</f>
        <v>1</v>
      </c>
      <c r="AM57" s="13" cm="1">
        <f t="array" ref="AM57">Q57 / _xlfn.XLOOKUP($AD57 &amp; "|" &amp; $H57, $AD:$AD &amp; "|" &amp; $G:$G, Q:Q)</f>
        <v>1.6099999999999999</v>
      </c>
      <c r="AP57" s="13" cm="1">
        <f t="array" ref="AP57">T57 / _xlfn.XLOOKUP($AD57 &amp; "|" &amp; $H57, $AD:$AD &amp; "|" &amp; $G:$G, T:T)</f>
        <v>0.12</v>
      </c>
      <c r="AU57" s="13"/>
      <c r="AW57" s="13" cm="1">
        <f t="array" ref="AW57">_xlfn.XLOOKUP($AD57 &amp; "|" &amp; $H57, $AD:$AD &amp; "|" &amp; $G:$G, L:L)</f>
        <v>13.7</v>
      </c>
      <c r="AX57" s="13"/>
      <c r="AY57" s="13"/>
      <c r="AZ57" t="s">
        <v>232</v>
      </c>
    </row>
    <row r="58" spans="1:52" x14ac:dyDescent="0.2">
      <c r="A58" t="s">
        <v>64</v>
      </c>
      <c r="B58" t="s">
        <v>64</v>
      </c>
      <c r="C58" t="s">
        <v>110</v>
      </c>
      <c r="D58" t="s">
        <v>70</v>
      </c>
      <c r="E58">
        <v>1</v>
      </c>
      <c r="G58" s="1" t="s">
        <v>50</v>
      </c>
      <c r="H58" s="1"/>
      <c r="I58" s="1">
        <f>100-19.35-20.57-37.65</f>
        <v>22.430000000000007</v>
      </c>
      <c r="J58">
        <v>2.58</v>
      </c>
      <c r="K58">
        <v>330</v>
      </c>
      <c r="L58">
        <v>13.7</v>
      </c>
      <c r="M58">
        <f t="shared" si="6"/>
        <v>290.45</v>
      </c>
      <c r="N58">
        <f t="shared" si="6"/>
        <v>290.45</v>
      </c>
      <c r="P58">
        <f>25.8 * 60 *60 /1000</f>
        <v>92.88</v>
      </c>
      <c r="Q58">
        <v>3270000000000000</v>
      </c>
      <c r="T58">
        <v>468.79</v>
      </c>
      <c r="AD58" t="str">
        <f t="shared" si="2"/>
        <v>Lobo (2015)|Lobo (2015)|Ground|GTCP85 APU|1|</v>
      </c>
      <c r="AM58" s="13"/>
      <c r="AP58" s="13" t="e" cm="1">
        <f t="array" ref="AP58">T58 / _xlfn.XLOOKUP($AD58 &amp; "|" &amp; $H58, $AD:$AD &amp; "|" &amp; $G:$G, T:T)</f>
        <v>#N/A</v>
      </c>
      <c r="AU58" s="13"/>
      <c r="AW58" s="13" t="e" cm="1">
        <f t="array" ref="AW58">_xlfn.XLOOKUP($AD58 &amp; "|" &amp; $H58, $AD:$AD &amp; "|" &amp; $G:$G, L:L)</f>
        <v>#N/A</v>
      </c>
      <c r="AY58" s="13"/>
      <c r="AZ58" t="s">
        <v>232</v>
      </c>
    </row>
    <row r="59" spans="1:52" x14ac:dyDescent="0.2">
      <c r="A59" t="s">
        <v>64</v>
      </c>
      <c r="B59" t="s">
        <v>64</v>
      </c>
      <c r="C59" t="s">
        <v>110</v>
      </c>
      <c r="D59" t="s">
        <v>70</v>
      </c>
      <c r="E59">
        <v>1</v>
      </c>
      <c r="G59" s="1" t="s">
        <v>69</v>
      </c>
      <c r="H59" s="1" t="s">
        <v>50</v>
      </c>
      <c r="I59" s="1">
        <f>100-19.35-71.35-6.58</f>
        <v>2.7200000000000113</v>
      </c>
      <c r="J59">
        <v>7.0000000000000007E-2</v>
      </c>
      <c r="K59">
        <v>180</v>
      </c>
      <c r="L59">
        <v>15.2</v>
      </c>
      <c r="M59">
        <f t="shared" si="6"/>
        <v>290.45</v>
      </c>
      <c r="N59">
        <f t="shared" si="6"/>
        <v>290.45</v>
      </c>
      <c r="P59">
        <f>25.8 * 60 *60 /1000</f>
        <v>92.88</v>
      </c>
      <c r="Q59">
        <v>5428200000000000</v>
      </c>
      <c r="T59">
        <f>T58*(1-0.91)</f>
        <v>42.191099999999985</v>
      </c>
      <c r="AA59">
        <f>0.19*10^15</f>
        <v>190000000000000</v>
      </c>
      <c r="AD59" t="str">
        <f t="shared" si="2"/>
        <v>Lobo (2015)|Lobo (2015)|Ground|GTCP85 APU|1|</v>
      </c>
      <c r="AE59" s="13" cm="1">
        <f t="array" ref="AE59">I59 / _xlfn.XLOOKUP($AD59 &amp; "|" &amp; $H59, $AD:$AD &amp; "|" &amp; $G:$G, I:I)</f>
        <v>0.12126616139099466</v>
      </c>
      <c r="AF59" s="13" cm="1">
        <f t="array" ref="AF59">J59 / _xlfn.XLOOKUP($AD59 &amp; "|" &amp; $H59, $AD:$AD &amp; "|" &amp; $G:$G, J:J)</f>
        <v>2.7131782945736437E-2</v>
      </c>
      <c r="AG59" s="13" cm="1">
        <f t="array" ref="AG59">K59 / _xlfn.XLOOKUP($AD59 &amp; "|" &amp; $H59, $AD:$AD &amp; "|" &amp; $G:$G, K:K)</f>
        <v>0.54545454545454541</v>
      </c>
      <c r="AH59" s="13" cm="1">
        <f t="array" ref="AH59">L59 / _xlfn.XLOOKUP($AD59 &amp; "|" &amp; $H59, $AD:$AD &amp; "|" &amp; $G:$G, L:L)</f>
        <v>1.1094890510948905</v>
      </c>
      <c r="AI59" s="13" cm="1">
        <f t="array" ref="AI59">M59 / _xlfn.XLOOKUP($AD59 &amp; "|" &amp; $H59, $AD:$AD &amp; "|" &amp; $G:$G, M:M)</f>
        <v>1</v>
      </c>
      <c r="AJ59" s="13" cm="1">
        <f t="array" ref="AJ59">N59 / _xlfn.XLOOKUP($AD59 &amp; "|" &amp; $H59, $AD:$AD &amp; "|" &amp; $G:$G, N:N)</f>
        <v>1</v>
      </c>
      <c r="AK59" s="13" t="e" cm="1">
        <f t="array" ref="AK59">O59 / _xlfn.XLOOKUP($AD59 &amp; "|" &amp; $H59, $AD:$AD &amp; "|" &amp; $G:$G, O:O)</f>
        <v>#DIV/0!</v>
      </c>
      <c r="AL59" s="13" cm="1">
        <f t="array" ref="AL59">P59 / _xlfn.XLOOKUP($AD59 &amp; "|" &amp; $H59, $AD:$AD &amp; "|" &amp; $G:$G, P:P)</f>
        <v>1.4576271186440677</v>
      </c>
      <c r="AM59" s="13" cm="1">
        <f t="array" ref="AM59">Q59 / _xlfn.XLOOKUP($AD59 &amp; "|" &amp; $H59, $AD:$AD &amp; "|" &amp; $G:$G, Q:Q)</f>
        <v>1.150042372881356</v>
      </c>
      <c r="AP59" s="13" cm="1">
        <f t="array" ref="AP59">T59 / _xlfn.XLOOKUP($AD59 &amp; "|" &amp; $H59, $AD:$AD &amp; "|" &amp; $G:$G, T:T)</f>
        <v>5.6570842439763465E-2</v>
      </c>
      <c r="AU59" s="13"/>
      <c r="AW59" s="13" cm="1">
        <f t="array" ref="AW59">_xlfn.XLOOKUP($AD59 &amp; "|" &amp; $H59, $AD:$AD &amp; "|" &amp; $G:$G, L:L)</f>
        <v>13.7</v>
      </c>
      <c r="AY59" s="13"/>
      <c r="AZ59" t="s">
        <v>232</v>
      </c>
    </row>
    <row r="60" spans="1:52" x14ac:dyDescent="0.2">
      <c r="A60" t="s">
        <v>64</v>
      </c>
      <c r="B60" t="s">
        <v>64</v>
      </c>
      <c r="C60" t="s">
        <v>110</v>
      </c>
      <c r="D60" t="s">
        <v>70</v>
      </c>
      <c r="E60">
        <v>1</v>
      </c>
      <c r="G60" s="1" t="s">
        <v>50</v>
      </c>
      <c r="H60" s="1"/>
      <c r="I60" s="1">
        <f>100-19.35-20.57-37.65</f>
        <v>22.430000000000007</v>
      </c>
      <c r="J60">
        <v>2.58</v>
      </c>
      <c r="K60">
        <v>330</v>
      </c>
      <c r="L60">
        <v>13.7</v>
      </c>
      <c r="M60">
        <f t="shared" si="6"/>
        <v>290.45</v>
      </c>
      <c r="N60">
        <f t="shared" si="6"/>
        <v>290.45</v>
      </c>
      <c r="P60">
        <f>31.1 * 60 *60 /1000</f>
        <v>111.96</v>
      </c>
      <c r="Q60">
        <v>2330000000000000</v>
      </c>
      <c r="T60">
        <v>271.73</v>
      </c>
      <c r="AD60" t="str">
        <f t="shared" si="2"/>
        <v>Lobo (2015)|Lobo (2015)|Ground|GTCP85 APU|1|</v>
      </c>
      <c r="AM60" s="13"/>
      <c r="AP60" s="13" t="e" cm="1">
        <f t="array" ref="AP60">T60 / _xlfn.XLOOKUP($AD60 &amp; "|" &amp; $H60, $AD:$AD &amp; "|" &amp; $G:$G, T:T)</f>
        <v>#N/A</v>
      </c>
      <c r="AU60" s="13"/>
      <c r="AW60" s="13" t="e" cm="1">
        <f t="array" ref="AW60">_xlfn.XLOOKUP($AD60 &amp; "|" &amp; $H60, $AD:$AD &amp; "|" &amp; $G:$G, L:L)</f>
        <v>#N/A</v>
      </c>
      <c r="AY60" s="13"/>
      <c r="AZ60" t="s">
        <v>232</v>
      </c>
    </row>
    <row r="61" spans="1:52" x14ac:dyDescent="0.2">
      <c r="A61" t="s">
        <v>64</v>
      </c>
      <c r="B61" t="s">
        <v>64</v>
      </c>
      <c r="C61" t="s">
        <v>110</v>
      </c>
      <c r="D61" t="s">
        <v>70</v>
      </c>
      <c r="E61">
        <v>1</v>
      </c>
      <c r="G61" s="1" t="s">
        <v>69</v>
      </c>
      <c r="H61" s="1" t="s">
        <v>50</v>
      </c>
      <c r="I61" s="1">
        <f>100-19.35-71.35-6.58</f>
        <v>2.7200000000000113</v>
      </c>
      <c r="J61">
        <v>7.0000000000000007E-2</v>
      </c>
      <c r="K61">
        <v>180</v>
      </c>
      <c r="L61">
        <v>15.2</v>
      </c>
      <c r="M61">
        <f t="shared" si="6"/>
        <v>290.45</v>
      </c>
      <c r="N61">
        <f t="shared" si="6"/>
        <v>290.45</v>
      </c>
      <c r="P61">
        <f>31.1 * 60 *60 /1000</f>
        <v>111.96</v>
      </c>
      <c r="Q61">
        <v>4054200000000000</v>
      </c>
      <c r="T61">
        <f>T60*(1-0.93)</f>
        <v>19.021099999999986</v>
      </c>
      <c r="AA61">
        <f>0.15*10^15</f>
        <v>150000000000000</v>
      </c>
      <c r="AD61" t="str">
        <f t="shared" si="2"/>
        <v>Lobo (2015)|Lobo (2015)|Ground|GTCP85 APU|1|</v>
      </c>
      <c r="AE61" s="13" cm="1">
        <f t="array" ref="AE61">I61 / _xlfn.XLOOKUP($AD61 &amp; "|" &amp; $H61, $AD:$AD &amp; "|" &amp; $G:$G, I:I)</f>
        <v>0.12126616139099466</v>
      </c>
      <c r="AF61" s="13" cm="1">
        <f t="array" ref="AF61">J61 / _xlfn.XLOOKUP($AD61 &amp; "|" &amp; $H61, $AD:$AD &amp; "|" &amp; $G:$G, J:J)</f>
        <v>2.7131782945736437E-2</v>
      </c>
      <c r="AG61" s="13" cm="1">
        <f t="array" ref="AG61">K61 / _xlfn.XLOOKUP($AD61 &amp; "|" &amp; $H61, $AD:$AD &amp; "|" &amp; $G:$G, K:K)</f>
        <v>0.54545454545454541</v>
      </c>
      <c r="AH61" s="13" cm="1">
        <f t="array" ref="AH61">L61 / _xlfn.XLOOKUP($AD61 &amp; "|" &amp; $H61, $AD:$AD &amp; "|" &amp; $G:$G, L:L)</f>
        <v>1.1094890510948905</v>
      </c>
      <c r="AI61" s="13" cm="1">
        <f t="array" ref="AI61">M61 / _xlfn.XLOOKUP($AD61 &amp; "|" &amp; $H61, $AD:$AD &amp; "|" &amp; $G:$G, M:M)</f>
        <v>1</v>
      </c>
      <c r="AJ61" s="13" cm="1">
        <f t="array" ref="AJ61">N61 / _xlfn.XLOOKUP($AD61 &amp; "|" &amp; $H61, $AD:$AD &amp; "|" &amp; $G:$G, N:N)</f>
        <v>1</v>
      </c>
      <c r="AK61" s="13" t="e" cm="1">
        <f t="array" ref="AK61">O61 / _xlfn.XLOOKUP($AD61 &amp; "|" &amp; $H61, $AD:$AD &amp; "|" &amp; $G:$G, O:O)</f>
        <v>#DIV/0!</v>
      </c>
      <c r="AL61" s="13" cm="1">
        <f t="array" ref="AL61">P61 / _xlfn.XLOOKUP($AD61 &amp; "|" &amp; $H61, $AD:$AD &amp; "|" &amp; $G:$G, P:P)</f>
        <v>1.7570621468926553</v>
      </c>
      <c r="AM61" s="13" cm="1">
        <f t="array" ref="AM61">Q61 / _xlfn.XLOOKUP($AD61 &amp; "|" &amp; $H61, $AD:$AD &amp; "|" &amp; $G:$G, Q:Q)</f>
        <v>0.85894067796610174</v>
      </c>
      <c r="AP61" s="13" cm="1">
        <f t="array" ref="AP61">T61 / _xlfn.XLOOKUP($AD61 &amp; "|" &amp; $H61, $AD:$AD &amp; "|" &amp; $G:$G, T:T)</f>
        <v>2.5503948726887528E-2</v>
      </c>
      <c r="AU61" s="13"/>
      <c r="AW61" s="13" cm="1">
        <f t="array" ref="AW61">_xlfn.XLOOKUP($AD61 &amp; "|" &amp; $H61, $AD:$AD &amp; "|" &amp; $G:$G, L:L)</f>
        <v>13.7</v>
      </c>
      <c r="AY61" s="13"/>
      <c r="AZ61" t="s">
        <v>232</v>
      </c>
    </row>
    <row r="62" spans="1:52" x14ac:dyDescent="0.2">
      <c r="A62" t="s">
        <v>65</v>
      </c>
      <c r="B62" t="s">
        <v>66</v>
      </c>
      <c r="C62" t="s">
        <v>110</v>
      </c>
      <c r="D62" t="s">
        <v>55</v>
      </c>
      <c r="E62">
        <v>1</v>
      </c>
      <c r="F62" t="s">
        <v>219</v>
      </c>
      <c r="G62" s="1"/>
      <c r="H62" s="1" t="s">
        <v>50</v>
      </c>
      <c r="L62">
        <v>13.78</v>
      </c>
      <c r="O62">
        <v>30</v>
      </c>
      <c r="P62" s="6"/>
      <c r="Q62">
        <f>1.65*10^14</f>
        <v>165000000000000</v>
      </c>
      <c r="AD62" t="str">
        <f t="shared" si="2"/>
        <v>Brem (2015)|A-PRIDE 7|Ground|CFM56-7B|1|Approach</v>
      </c>
      <c r="AW62" s="13" cm="1">
        <f t="array" ref="AW62">_xlfn.XLOOKUP($AD62 &amp; "|" &amp; $H62, $AD:$AD &amp; "|" &amp; $G:$G, L:L)</f>
        <v>14.31</v>
      </c>
      <c r="AZ62" t="s">
        <v>232</v>
      </c>
    </row>
    <row r="63" spans="1:52" x14ac:dyDescent="0.2">
      <c r="A63" t="s">
        <v>65</v>
      </c>
      <c r="B63" t="s">
        <v>66</v>
      </c>
      <c r="C63" t="s">
        <v>110</v>
      </c>
      <c r="D63" t="s">
        <v>55</v>
      </c>
      <c r="E63">
        <v>1</v>
      </c>
      <c r="F63" t="s">
        <v>219</v>
      </c>
      <c r="G63" s="1"/>
      <c r="H63" s="1" t="s">
        <v>50</v>
      </c>
      <c r="L63">
        <v>13.86</v>
      </c>
      <c r="O63">
        <v>30</v>
      </c>
      <c r="P63" s="6"/>
      <c r="Q63">
        <f>1.5*10^14</f>
        <v>150000000000000</v>
      </c>
      <c r="AD63" t="str">
        <f>A63 &amp; "|" &amp; B63 &amp; "|" &amp; C63 &amp; "|" &amp; D63 &amp; "|" &amp; E63 &amp;"|" &amp; F63</f>
        <v>Brem (2015)|A-PRIDE 7|Ground|CFM56-7B|1|Approach</v>
      </c>
      <c r="AE63" s="13" t="e" cm="1">
        <f t="array" ref="AE63">I63 / _xlfn.XLOOKUP($AD63 &amp; "|" &amp; $H63, $AD:$AD &amp; "|" &amp; $G:$G, I:I)</f>
        <v>#DIV/0!</v>
      </c>
      <c r="AF63" s="13" t="e" cm="1">
        <f t="array" ref="AF63">J63 / _xlfn.XLOOKUP($AD63 &amp; "|" &amp; $H63, $AD:$AD &amp; "|" &amp; $G:$G, J:J)</f>
        <v>#DIV/0!</v>
      </c>
      <c r="AG63" s="13" t="e" cm="1">
        <f t="array" ref="AG63">K63 / _xlfn.XLOOKUP($AD63 &amp; "|" &amp; $H63, $AD:$AD &amp; "|" &amp; $G:$G, K:K)</f>
        <v>#DIV/0!</v>
      </c>
      <c r="AH63" s="13" cm="1">
        <f t="array" ref="AH63">L63 / _xlfn.XLOOKUP($AD63 &amp; "|" &amp; $H63, $AD:$AD &amp; "|" &amp; $G:$G, L:L)</f>
        <v>0.96855345911949675</v>
      </c>
      <c r="AI63" s="13" t="e" cm="1">
        <f t="array" ref="AI63">M63 / _xlfn.XLOOKUP($AD63 &amp; "|" &amp; $H63, $AD:$AD &amp; "|" &amp; $G:$G, M:M)</f>
        <v>#DIV/0!</v>
      </c>
      <c r="AJ63" s="13" t="e" cm="1">
        <f t="array" ref="AJ63">N63 / _xlfn.XLOOKUP($AD63 &amp; "|" &amp; $H63, $AD:$AD &amp; "|" &amp; $G:$G, N:N)</f>
        <v>#DIV/0!</v>
      </c>
      <c r="AK63" s="13" cm="1">
        <f t="array" ref="AK63">O63 / _xlfn.XLOOKUP($AD63 &amp; "|" &amp; $H63, $AD:$AD &amp; "|" &amp; $G:$G, O:O)</f>
        <v>1</v>
      </c>
      <c r="AL63" s="13" t="e" cm="1">
        <f t="array" ref="AL63">P63 / _xlfn.XLOOKUP($AD63 &amp; "|" &amp; $H63, $AD:$AD &amp; "|" &amp; $G:$G, P:P)</f>
        <v>#DIV/0!</v>
      </c>
      <c r="AM63" s="13" cm="1">
        <f t="array" ref="AM63">Q63 / _xlfn.XLOOKUP($AD63 &amp; "|" &amp; $H63, $AD:$AD &amp; "|" &amp; $G:$G, Q:Q)</f>
        <v>1.3636363636363635</v>
      </c>
      <c r="AW63" s="13" cm="1">
        <f t="array" ref="AW63">_xlfn.XLOOKUP($AD63 &amp; "|" &amp; $H63, $AD:$AD &amp; "|" &amp; $G:$G, L:L)</f>
        <v>14.31</v>
      </c>
      <c r="AZ63" t="s">
        <v>232</v>
      </c>
    </row>
    <row r="64" spans="1:52" x14ac:dyDescent="0.2">
      <c r="A64" t="s">
        <v>65</v>
      </c>
      <c r="B64" t="s">
        <v>66</v>
      </c>
      <c r="C64" t="s">
        <v>110</v>
      </c>
      <c r="D64" t="s">
        <v>55</v>
      </c>
      <c r="E64">
        <v>1</v>
      </c>
      <c r="F64" t="s">
        <v>219</v>
      </c>
      <c r="G64" s="1"/>
      <c r="H64" s="1" t="s">
        <v>50</v>
      </c>
      <c r="L64">
        <v>13.91</v>
      </c>
      <c r="O64">
        <v>30</v>
      </c>
      <c r="P64" s="6"/>
      <c r="Q64">
        <f>1.47*10^14</f>
        <v>147000000000000</v>
      </c>
      <c r="AD64" t="str">
        <f>A64 &amp; "|" &amp; B64 &amp; "|" &amp; C64 &amp; "|" &amp; D64 &amp; "|" &amp; E64 &amp;"|" &amp; F64</f>
        <v>Brem (2015)|A-PRIDE 7|Ground|CFM56-7B|1|Approach</v>
      </c>
      <c r="AE64" s="13" t="e" cm="1">
        <f t="array" ref="AE64">I64 / _xlfn.XLOOKUP($AD64 &amp; "|" &amp; $H64, $AD:$AD &amp; "|" &amp; $G:$G, I:I)</f>
        <v>#DIV/0!</v>
      </c>
      <c r="AF64" s="13" t="e" cm="1">
        <f t="array" ref="AF64">J64 / _xlfn.XLOOKUP($AD64 &amp; "|" &amp; $H64, $AD:$AD &amp; "|" &amp; $G:$G, J:J)</f>
        <v>#DIV/0!</v>
      </c>
      <c r="AG64" s="13" t="e" cm="1">
        <f t="array" ref="AG64">K64 / _xlfn.XLOOKUP($AD64 &amp; "|" &amp; $H64, $AD:$AD &amp; "|" &amp; $G:$G, K:K)</f>
        <v>#DIV/0!</v>
      </c>
      <c r="AH64" s="13" cm="1">
        <f t="array" ref="AH64">L64 / _xlfn.XLOOKUP($AD64 &amp; "|" &amp; $H64, $AD:$AD &amp; "|" &amp; $G:$G, L:L)</f>
        <v>0.97204751921733057</v>
      </c>
      <c r="AI64" s="13" t="e" cm="1">
        <f t="array" ref="AI64">M64 / _xlfn.XLOOKUP($AD64 &amp; "|" &amp; $H64, $AD:$AD &amp; "|" &amp; $G:$G, M:M)</f>
        <v>#DIV/0!</v>
      </c>
      <c r="AJ64" s="13" t="e" cm="1">
        <f t="array" ref="AJ64">N64 / _xlfn.XLOOKUP($AD64 &amp; "|" &amp; $H64, $AD:$AD &amp; "|" &amp; $G:$G, N:N)</f>
        <v>#DIV/0!</v>
      </c>
      <c r="AK64" s="13" cm="1">
        <f t="array" ref="AK64">O64 / _xlfn.XLOOKUP($AD64 &amp; "|" &amp; $H64, $AD:$AD &amp; "|" &amp; $G:$G, O:O)</f>
        <v>1</v>
      </c>
      <c r="AL64" s="13" t="e" cm="1">
        <f t="array" ref="AL64">P64 / _xlfn.XLOOKUP($AD64 &amp; "|" &amp; $H64, $AD:$AD &amp; "|" &amp; $G:$G, P:P)</f>
        <v>#DIV/0!</v>
      </c>
      <c r="AM64" s="13" cm="1">
        <f t="array" ref="AM64">Q64 / _xlfn.XLOOKUP($AD64 &amp; "|" &amp; $H64, $AD:$AD &amp; "|" &amp; $G:$G, Q:Q)</f>
        <v>1.3363636363636362</v>
      </c>
      <c r="AW64" s="13" cm="1">
        <f t="array" ref="AW64">_xlfn.XLOOKUP($AD64 &amp; "|" &amp; $H64, $AD:$AD &amp; "|" &amp; $G:$G, L:L)</f>
        <v>14.31</v>
      </c>
      <c r="AZ64" t="s">
        <v>232</v>
      </c>
    </row>
    <row r="65" spans="1:52" x14ac:dyDescent="0.2">
      <c r="A65" t="s">
        <v>65</v>
      </c>
      <c r="B65" t="s">
        <v>66</v>
      </c>
      <c r="C65" t="s">
        <v>110</v>
      </c>
      <c r="D65" t="s">
        <v>55</v>
      </c>
      <c r="E65">
        <v>1</v>
      </c>
      <c r="F65" t="s">
        <v>219</v>
      </c>
      <c r="G65" s="1"/>
      <c r="H65" s="1" t="s">
        <v>50</v>
      </c>
      <c r="L65">
        <v>13.98</v>
      </c>
      <c r="O65">
        <v>30</v>
      </c>
      <c r="P65" s="6"/>
      <c r="Q65">
        <f>1.39*10^14</f>
        <v>138999999999999.98</v>
      </c>
      <c r="AD65" t="str">
        <f t="shared" si="2"/>
        <v>Brem (2015)|A-PRIDE 7|Ground|CFM56-7B|1|Approach</v>
      </c>
      <c r="AE65" s="13" t="e" cm="1">
        <f t="array" ref="AE65">I65 / _xlfn.XLOOKUP($AD65 &amp; "|" &amp; $H65, $AD:$AD &amp; "|" &amp; $G:$G, I:I)</f>
        <v>#DIV/0!</v>
      </c>
      <c r="AF65" s="13" t="e" cm="1">
        <f t="array" ref="AF65">J65 / _xlfn.XLOOKUP($AD65 &amp; "|" &amp; $H65, $AD:$AD &amp; "|" &amp; $G:$G, J:J)</f>
        <v>#DIV/0!</v>
      </c>
      <c r="AG65" s="13" t="e" cm="1">
        <f t="array" ref="AG65">K65 / _xlfn.XLOOKUP($AD65 &amp; "|" &amp; $H65, $AD:$AD &amp; "|" &amp; $G:$G, K:K)</f>
        <v>#DIV/0!</v>
      </c>
      <c r="AH65" s="13" cm="1">
        <f t="array" ref="AH65">L65 / _xlfn.XLOOKUP($AD65 &amp; "|" &amp; $H65, $AD:$AD &amp; "|" &amp; $G:$G, L:L)</f>
        <v>0.97693920335429774</v>
      </c>
      <c r="AI65" s="13" t="e" cm="1">
        <f t="array" ref="AI65">M65 / _xlfn.XLOOKUP($AD65 &amp; "|" &amp; $H65, $AD:$AD &amp; "|" &amp; $G:$G, M:M)</f>
        <v>#DIV/0!</v>
      </c>
      <c r="AJ65" s="13" t="e" cm="1">
        <f t="array" ref="AJ65">N65 / _xlfn.XLOOKUP($AD65 &amp; "|" &amp; $H65, $AD:$AD &amp; "|" &amp; $G:$G, N:N)</f>
        <v>#DIV/0!</v>
      </c>
      <c r="AK65" s="13" cm="1">
        <f t="array" ref="AK65">O65 / _xlfn.XLOOKUP($AD65 &amp; "|" &amp; $H65, $AD:$AD &amp; "|" &amp; $G:$G, O:O)</f>
        <v>1</v>
      </c>
      <c r="AL65" s="13" t="e" cm="1">
        <f t="array" ref="AL65">P65 / _xlfn.XLOOKUP($AD65 &amp; "|" &amp; $H65, $AD:$AD &amp; "|" &amp; $G:$G, P:P)</f>
        <v>#DIV/0!</v>
      </c>
      <c r="AM65" s="13" cm="1">
        <f t="array" ref="AM65">Q65 / _xlfn.XLOOKUP($AD65 &amp; "|" &amp; $H65, $AD:$AD &amp; "|" &amp; $G:$G, Q:Q)</f>
        <v>1.2636363636363632</v>
      </c>
      <c r="AW65" s="13" cm="1">
        <f t="array" ref="AW65">_xlfn.XLOOKUP($AD65 &amp; "|" &amp; $H65, $AD:$AD &amp; "|" &amp; $G:$G, L:L)</f>
        <v>14.31</v>
      </c>
      <c r="AZ65" t="s">
        <v>232</v>
      </c>
    </row>
    <row r="66" spans="1:52" x14ac:dyDescent="0.2">
      <c r="A66" t="s">
        <v>65</v>
      </c>
      <c r="B66" t="s">
        <v>66</v>
      </c>
      <c r="C66" t="s">
        <v>110</v>
      </c>
      <c r="D66" t="s">
        <v>55</v>
      </c>
      <c r="E66">
        <v>1</v>
      </c>
      <c r="F66" t="s">
        <v>219</v>
      </c>
      <c r="G66" s="1"/>
      <c r="H66" s="1" t="s">
        <v>50</v>
      </c>
      <c r="L66">
        <v>14</v>
      </c>
      <c r="O66">
        <v>30</v>
      </c>
      <c r="P66" s="6"/>
      <c r="Q66">
        <f>1.34*10^14</f>
        <v>134000000000000.02</v>
      </c>
      <c r="AD66" t="str">
        <f t="shared" si="2"/>
        <v>Brem (2015)|A-PRIDE 7|Ground|CFM56-7B|1|Approach</v>
      </c>
      <c r="AE66" s="13" t="e" cm="1">
        <f t="array" ref="AE66">I66 / _xlfn.XLOOKUP($AD66 &amp; "|" &amp; $H66, $AD:$AD &amp; "|" &amp; $G:$G, I:I)</f>
        <v>#DIV/0!</v>
      </c>
      <c r="AF66" s="13" t="e" cm="1">
        <f t="array" ref="AF66">J66 / _xlfn.XLOOKUP($AD66 &amp; "|" &amp; $H66, $AD:$AD &amp; "|" &amp; $G:$G, J:J)</f>
        <v>#DIV/0!</v>
      </c>
      <c r="AG66" s="13" t="e" cm="1">
        <f t="array" ref="AG66">K66 / _xlfn.XLOOKUP($AD66 &amp; "|" &amp; $H66, $AD:$AD &amp; "|" &amp; $G:$G, K:K)</f>
        <v>#DIV/0!</v>
      </c>
      <c r="AH66" s="13" cm="1">
        <f t="array" ref="AH66">L66 / _xlfn.XLOOKUP($AD66 &amp; "|" &amp; $H66, $AD:$AD &amp; "|" &amp; $G:$G, L:L)</f>
        <v>0.97833682739343109</v>
      </c>
      <c r="AI66" s="13" t="e" cm="1">
        <f t="array" ref="AI66">M66 / _xlfn.XLOOKUP($AD66 &amp; "|" &amp; $H66, $AD:$AD &amp; "|" &amp; $G:$G, M:M)</f>
        <v>#DIV/0!</v>
      </c>
      <c r="AJ66" s="13" t="e" cm="1">
        <f t="array" ref="AJ66">N66 / _xlfn.XLOOKUP($AD66 &amp; "|" &amp; $H66, $AD:$AD &amp; "|" &amp; $G:$G, N:N)</f>
        <v>#DIV/0!</v>
      </c>
      <c r="AK66" s="13" cm="1">
        <f t="array" ref="AK66">O66 / _xlfn.XLOOKUP($AD66 &amp; "|" &amp; $H66, $AD:$AD &amp; "|" &amp; $G:$G, O:O)</f>
        <v>1</v>
      </c>
      <c r="AL66" s="13" t="e" cm="1">
        <f t="array" ref="AL66">P66 / _xlfn.XLOOKUP($AD66 &amp; "|" &amp; $H66, $AD:$AD &amp; "|" &amp; $G:$G, P:P)</f>
        <v>#DIV/0!</v>
      </c>
      <c r="AM66" s="13" cm="1">
        <f t="array" ref="AM66">Q66 / _xlfn.XLOOKUP($AD66 &amp; "|" &amp; $H66, $AD:$AD &amp; "|" &amp; $G:$G, Q:Q)</f>
        <v>1.2181818181818183</v>
      </c>
      <c r="AW66" s="13" cm="1">
        <f t="array" ref="AW66">_xlfn.XLOOKUP($AD66 &amp; "|" &amp; $H66, $AD:$AD &amp; "|" &amp; $G:$G, L:L)</f>
        <v>14.31</v>
      </c>
      <c r="AZ66" t="s">
        <v>232</v>
      </c>
    </row>
    <row r="67" spans="1:52" x14ac:dyDescent="0.2">
      <c r="A67" t="s">
        <v>65</v>
      </c>
      <c r="B67" t="s">
        <v>66</v>
      </c>
      <c r="C67" t="s">
        <v>110</v>
      </c>
      <c r="D67" t="s">
        <v>55</v>
      </c>
      <c r="E67">
        <v>1</v>
      </c>
      <c r="F67" t="s">
        <v>219</v>
      </c>
      <c r="G67" s="1"/>
      <c r="H67" s="1" t="s">
        <v>50</v>
      </c>
      <c r="L67">
        <v>14.07</v>
      </c>
      <c r="O67">
        <v>30</v>
      </c>
      <c r="P67" s="6"/>
      <c r="Q67">
        <f>1.27*10^14</f>
        <v>127000000000000</v>
      </c>
      <c r="AD67" t="str">
        <f t="shared" si="2"/>
        <v>Brem (2015)|A-PRIDE 7|Ground|CFM56-7B|1|Approach</v>
      </c>
      <c r="AE67" s="13" t="e" cm="1">
        <f t="array" ref="AE67">I67 / _xlfn.XLOOKUP($AD67 &amp; "|" &amp; $H67, $AD:$AD &amp; "|" &amp; $G:$G, I:I)</f>
        <v>#DIV/0!</v>
      </c>
      <c r="AF67" s="13" t="e" cm="1">
        <f t="array" ref="AF67">J67 / _xlfn.XLOOKUP($AD67 &amp; "|" &amp; $H67, $AD:$AD &amp; "|" &amp; $G:$G, J:J)</f>
        <v>#DIV/0!</v>
      </c>
      <c r="AG67" s="13" t="e" cm="1">
        <f t="array" ref="AG67">K67 / _xlfn.XLOOKUP($AD67 &amp; "|" &amp; $H67, $AD:$AD &amp; "|" &amp; $G:$G, K:K)</f>
        <v>#DIV/0!</v>
      </c>
      <c r="AH67" s="13" cm="1">
        <f t="array" ref="AH67">L67 / _xlfn.XLOOKUP($AD67 &amp; "|" &amp; $H67, $AD:$AD &amp; "|" &amp; $G:$G, L:L)</f>
        <v>0.98322851153039836</v>
      </c>
      <c r="AI67" s="13" t="e" cm="1">
        <f t="array" ref="AI67">M67 / _xlfn.XLOOKUP($AD67 &amp; "|" &amp; $H67, $AD:$AD &amp; "|" &amp; $G:$G, M:M)</f>
        <v>#DIV/0!</v>
      </c>
      <c r="AJ67" s="13" t="e" cm="1">
        <f t="array" ref="AJ67">N67 / _xlfn.XLOOKUP($AD67 &amp; "|" &amp; $H67, $AD:$AD &amp; "|" &amp; $G:$G, N:N)</f>
        <v>#DIV/0!</v>
      </c>
      <c r="AK67" s="13" cm="1">
        <f t="array" ref="AK67">O67 / _xlfn.XLOOKUP($AD67 &amp; "|" &amp; $H67, $AD:$AD &amp; "|" &amp; $G:$G, O:O)</f>
        <v>1</v>
      </c>
      <c r="AL67" s="13" t="e" cm="1">
        <f t="array" ref="AL67">P67 / _xlfn.XLOOKUP($AD67 &amp; "|" &amp; $H67, $AD:$AD &amp; "|" &amp; $G:$G, P:P)</f>
        <v>#DIV/0!</v>
      </c>
      <c r="AM67" s="13" cm="1">
        <f t="array" ref="AM67">Q67 / _xlfn.XLOOKUP($AD67 &amp; "|" &amp; $H67, $AD:$AD &amp; "|" &amp; $G:$G, Q:Q)</f>
        <v>1.1545454545454543</v>
      </c>
      <c r="AW67" s="13" cm="1">
        <f t="array" ref="AW67">_xlfn.XLOOKUP($AD67 &amp; "|" &amp; $H67, $AD:$AD &amp; "|" &amp; $G:$G, L:L)</f>
        <v>14.31</v>
      </c>
      <c r="AZ67" t="s">
        <v>232</v>
      </c>
    </row>
    <row r="68" spans="1:52" x14ac:dyDescent="0.2">
      <c r="A68" t="s">
        <v>65</v>
      </c>
      <c r="B68" t="s">
        <v>66</v>
      </c>
      <c r="C68" t="s">
        <v>110</v>
      </c>
      <c r="D68" t="s">
        <v>55</v>
      </c>
      <c r="E68">
        <v>1</v>
      </c>
      <c r="F68" t="s">
        <v>219</v>
      </c>
      <c r="G68" s="1" t="s">
        <v>50</v>
      </c>
      <c r="H68" s="1" t="s">
        <v>50</v>
      </c>
      <c r="L68">
        <v>14.31</v>
      </c>
      <c r="O68">
        <v>30</v>
      </c>
      <c r="P68" s="6"/>
      <c r="Q68">
        <f>1.1*10^14</f>
        <v>110000000000000.02</v>
      </c>
      <c r="AD68" t="str">
        <f t="shared" si="2"/>
        <v>Brem (2015)|A-PRIDE 7|Ground|CFM56-7B|1|Approach</v>
      </c>
      <c r="AE68" s="13" t="e" cm="1">
        <f t="array" ref="AE68">I68 / _xlfn.XLOOKUP($AD68 &amp; "|" &amp; $H68, $AD:$AD &amp; "|" &amp; $G:$G, I:I)</f>
        <v>#DIV/0!</v>
      </c>
      <c r="AF68" s="13" t="e" cm="1">
        <f t="array" ref="AF68">J68 / _xlfn.XLOOKUP($AD68 &amp; "|" &amp; $H68, $AD:$AD &amp; "|" &amp; $G:$G, J:J)</f>
        <v>#DIV/0!</v>
      </c>
      <c r="AG68" s="13" t="e" cm="1">
        <f t="array" ref="AG68">K68 / _xlfn.XLOOKUP($AD68 &amp; "|" &amp; $H68, $AD:$AD &amp; "|" &amp; $G:$G, K:K)</f>
        <v>#DIV/0!</v>
      </c>
      <c r="AH68" s="13" cm="1">
        <f t="array" ref="AH68">L68 / _xlfn.XLOOKUP($AD68 &amp; "|" &amp; $H68, $AD:$AD &amp; "|" &amp; $G:$G, L:L)</f>
        <v>1</v>
      </c>
      <c r="AI68" s="13" t="e" cm="1">
        <f t="array" ref="AI68">M68 / _xlfn.XLOOKUP($AD68 &amp; "|" &amp; $H68, $AD:$AD &amp; "|" &amp; $G:$G, M:M)</f>
        <v>#DIV/0!</v>
      </c>
      <c r="AJ68" s="13" t="e" cm="1">
        <f t="array" ref="AJ68">N68 / _xlfn.XLOOKUP($AD68 &amp; "|" &amp; $H68, $AD:$AD &amp; "|" &amp; $G:$G, N:N)</f>
        <v>#DIV/0!</v>
      </c>
      <c r="AK68" s="13" cm="1">
        <f t="array" ref="AK68">O68 / _xlfn.XLOOKUP($AD68 &amp; "|" &amp; $H68, $AD:$AD &amp; "|" &amp; $G:$G, O:O)</f>
        <v>1</v>
      </c>
      <c r="AL68" s="13" t="e" cm="1">
        <f t="array" ref="AL68">P68 / _xlfn.XLOOKUP($AD68 &amp; "|" &amp; $H68, $AD:$AD &amp; "|" &amp; $G:$G, P:P)</f>
        <v>#DIV/0!</v>
      </c>
      <c r="AM68" s="13"/>
      <c r="AW68" s="13" cm="1">
        <f t="array" ref="AW68">_xlfn.XLOOKUP($AD68 &amp; "|" &amp; $H68, $AD:$AD &amp; "|" &amp; $G:$G, L:L)</f>
        <v>14.31</v>
      </c>
      <c r="AZ68" t="s">
        <v>232</v>
      </c>
    </row>
    <row r="69" spans="1:52" x14ac:dyDescent="0.2">
      <c r="A69" t="s">
        <v>65</v>
      </c>
      <c r="B69" t="s">
        <v>66</v>
      </c>
      <c r="C69" t="s">
        <v>110</v>
      </c>
      <c r="D69" t="s">
        <v>55</v>
      </c>
      <c r="E69">
        <v>1</v>
      </c>
      <c r="F69" t="s">
        <v>193</v>
      </c>
      <c r="G69" s="1"/>
      <c r="H69" s="1" t="s">
        <v>50</v>
      </c>
      <c r="L69">
        <v>13.77</v>
      </c>
      <c r="O69">
        <v>65</v>
      </c>
      <c r="P69" s="6"/>
      <c r="Q69">
        <f>4.59*10^14</f>
        <v>459000000000000</v>
      </c>
      <c r="AD69" t="str">
        <f t="shared" si="2"/>
        <v>Brem (2015)|A-PRIDE 7|Ground|CFM56-7B|1|Mid-power</v>
      </c>
      <c r="AE69" s="13" t="e" cm="1">
        <f t="array" ref="AE69">I69 / _xlfn.XLOOKUP($AD69 &amp; "|" &amp; $H69, $AD:$AD &amp; "|" &amp; $G:$G, I:I)</f>
        <v>#DIV/0!</v>
      </c>
      <c r="AF69" s="13" t="e" cm="1">
        <f t="array" ref="AF69">J69 / _xlfn.XLOOKUP($AD69 &amp; "|" &amp; $H69, $AD:$AD &amp; "|" &amp; $G:$G, J:J)</f>
        <v>#DIV/0!</v>
      </c>
      <c r="AG69" s="13" t="e" cm="1">
        <f t="array" ref="AG69">K69 / _xlfn.XLOOKUP($AD69 &amp; "|" &amp; $H69, $AD:$AD &amp; "|" &amp; $G:$G, K:K)</f>
        <v>#DIV/0!</v>
      </c>
      <c r="AH69" s="13" cm="1">
        <f t="array" ref="AH69">L69 / _xlfn.XLOOKUP($AD69 &amp; "|" &amp; $H69, $AD:$AD &amp; "|" &amp; $G:$G, L:L)</f>
        <v>0.96226415094339612</v>
      </c>
      <c r="AI69" s="13" t="e" cm="1">
        <f t="array" ref="AI69">M69 / _xlfn.XLOOKUP($AD69 &amp; "|" &amp; $H69, $AD:$AD &amp; "|" &amp; $G:$G, M:M)</f>
        <v>#DIV/0!</v>
      </c>
      <c r="AJ69" s="13" t="e" cm="1">
        <f t="array" ref="AJ69">N69 / _xlfn.XLOOKUP($AD69 &amp; "|" &amp; $H69, $AD:$AD &amp; "|" &amp; $G:$G, N:N)</f>
        <v>#DIV/0!</v>
      </c>
      <c r="AK69" s="13" cm="1">
        <f t="array" ref="AK69">O69 / _xlfn.XLOOKUP($AD69 &amp; "|" &amp; $H69, $AD:$AD &amp; "|" &amp; $G:$G, O:O)</f>
        <v>1</v>
      </c>
      <c r="AL69" s="13" t="e" cm="1">
        <f t="array" ref="AL69">P69 / _xlfn.XLOOKUP($AD69 &amp; "|" &amp; $H69, $AD:$AD &amp; "|" &amp; $G:$G, P:P)</f>
        <v>#DIV/0!</v>
      </c>
      <c r="AM69" s="13" cm="1">
        <f t="array" ref="AM69">Q69 / _xlfn.XLOOKUP($AD69 &amp; "|" &amp; $H69, $AD:$AD &amp; "|" &amp; $G:$G, Q:Q)</f>
        <v>1.176923076923077</v>
      </c>
      <c r="AW69" s="13" cm="1">
        <f t="array" ref="AW69">_xlfn.XLOOKUP($AD69 &amp; "|" &amp; $H69, $AD:$AD &amp; "|" &amp; $G:$G, L:L)</f>
        <v>14.31</v>
      </c>
      <c r="AZ69" t="s">
        <v>232</v>
      </c>
    </row>
    <row r="70" spans="1:52" x14ac:dyDescent="0.2">
      <c r="A70" t="s">
        <v>65</v>
      </c>
      <c r="B70" t="s">
        <v>66</v>
      </c>
      <c r="C70" t="s">
        <v>110</v>
      </c>
      <c r="D70" t="s">
        <v>55</v>
      </c>
      <c r="E70">
        <v>1</v>
      </c>
      <c r="F70" t="s">
        <v>193</v>
      </c>
      <c r="G70" s="1"/>
      <c r="H70" s="1" t="s">
        <v>50</v>
      </c>
      <c r="L70">
        <v>13.86</v>
      </c>
      <c r="O70">
        <v>65</v>
      </c>
      <c r="P70" s="6"/>
      <c r="Q70">
        <f>4.56*10^14</f>
        <v>455999999999999.94</v>
      </c>
      <c r="AD70" t="str">
        <f t="shared" si="2"/>
        <v>Brem (2015)|A-PRIDE 7|Ground|CFM56-7B|1|Mid-power</v>
      </c>
      <c r="AE70" s="13" t="e" cm="1">
        <f t="array" ref="AE70">I70 / _xlfn.XLOOKUP($AD70 &amp; "|" &amp; $H70, $AD:$AD &amp; "|" &amp; $G:$G, I:I)</f>
        <v>#DIV/0!</v>
      </c>
      <c r="AF70" s="13" t="e" cm="1">
        <f t="array" ref="AF70">J70 / _xlfn.XLOOKUP($AD70 &amp; "|" &amp; $H70, $AD:$AD &amp; "|" &amp; $G:$G, J:J)</f>
        <v>#DIV/0!</v>
      </c>
      <c r="AG70" s="13" t="e" cm="1">
        <f t="array" ref="AG70">K70 / _xlfn.XLOOKUP($AD70 &amp; "|" &amp; $H70, $AD:$AD &amp; "|" &amp; $G:$G, K:K)</f>
        <v>#DIV/0!</v>
      </c>
      <c r="AH70" s="13" cm="1">
        <f t="array" ref="AH70">L70 / _xlfn.XLOOKUP($AD70 &amp; "|" &amp; $H70, $AD:$AD &amp; "|" &amp; $G:$G, L:L)</f>
        <v>0.96855345911949675</v>
      </c>
      <c r="AI70" s="13" t="e" cm="1">
        <f t="array" ref="AI70">M70 / _xlfn.XLOOKUP($AD70 &amp; "|" &amp; $H70, $AD:$AD &amp; "|" &amp; $G:$G, M:M)</f>
        <v>#DIV/0!</v>
      </c>
      <c r="AJ70" s="13" t="e" cm="1">
        <f t="array" ref="AJ70">N70 / _xlfn.XLOOKUP($AD70 &amp; "|" &amp; $H70, $AD:$AD &amp; "|" &amp; $G:$G, N:N)</f>
        <v>#DIV/0!</v>
      </c>
      <c r="AK70" s="13" cm="1">
        <f t="array" ref="AK70">O70 / _xlfn.XLOOKUP($AD70 &amp; "|" &amp; $H70, $AD:$AD &amp; "|" &amp; $G:$G, O:O)</f>
        <v>1</v>
      </c>
      <c r="AL70" s="13" t="e" cm="1">
        <f t="array" ref="AL70">P70 / _xlfn.XLOOKUP($AD70 &amp; "|" &amp; $H70, $AD:$AD &amp; "|" &amp; $G:$G, P:P)</f>
        <v>#DIV/0!</v>
      </c>
      <c r="AM70" s="13" cm="1">
        <f t="array" ref="AM70">Q70 / _xlfn.XLOOKUP($AD70 &amp; "|" &amp; $H70, $AD:$AD &amp; "|" &amp; $G:$G, Q:Q)</f>
        <v>1.1692307692307691</v>
      </c>
      <c r="AW70" s="13" cm="1">
        <f t="array" ref="AW70">_xlfn.XLOOKUP($AD70 &amp; "|" &amp; $H70, $AD:$AD &amp; "|" &amp; $G:$G, L:L)</f>
        <v>14.31</v>
      </c>
      <c r="AZ70" t="s">
        <v>232</v>
      </c>
    </row>
    <row r="71" spans="1:52" x14ac:dyDescent="0.2">
      <c r="A71" t="s">
        <v>65</v>
      </c>
      <c r="B71" t="s">
        <v>66</v>
      </c>
      <c r="C71" t="s">
        <v>110</v>
      </c>
      <c r="D71" t="s">
        <v>55</v>
      </c>
      <c r="E71">
        <v>1</v>
      </c>
      <c r="F71" t="s">
        <v>193</v>
      </c>
      <c r="G71" s="1"/>
      <c r="H71" s="1" t="s">
        <v>50</v>
      </c>
      <c r="L71">
        <v>13.91</v>
      </c>
      <c r="O71">
        <v>65</v>
      </c>
      <c r="P71" s="6"/>
      <c r="Q71">
        <f>4.51*10^14</f>
        <v>451000000000000</v>
      </c>
      <c r="AD71" t="str">
        <f t="shared" ref="AD71:AD130" si="7">A71 &amp; "|" &amp; B71 &amp; "|" &amp; C71 &amp; "|" &amp; D71 &amp; "|" &amp; E71 &amp;"|" &amp; F71</f>
        <v>Brem (2015)|A-PRIDE 7|Ground|CFM56-7B|1|Mid-power</v>
      </c>
      <c r="AE71" s="13" t="e" cm="1">
        <f t="array" ref="AE71">I71 / _xlfn.XLOOKUP($AD71 &amp; "|" &amp; $H71, $AD:$AD &amp; "|" &amp; $G:$G, I:I)</f>
        <v>#DIV/0!</v>
      </c>
      <c r="AF71" s="13" t="e" cm="1">
        <f t="array" ref="AF71">J71 / _xlfn.XLOOKUP($AD71 &amp; "|" &amp; $H71, $AD:$AD &amp; "|" &amp; $G:$G, J:J)</f>
        <v>#DIV/0!</v>
      </c>
      <c r="AG71" s="13" t="e" cm="1">
        <f t="array" ref="AG71">K71 / _xlfn.XLOOKUP($AD71 &amp; "|" &amp; $H71, $AD:$AD &amp; "|" &amp; $G:$G, K:K)</f>
        <v>#DIV/0!</v>
      </c>
      <c r="AH71" s="13" cm="1">
        <f t="array" ref="AH71">L71 / _xlfn.XLOOKUP($AD71 &amp; "|" &amp; $H71, $AD:$AD &amp; "|" &amp; $G:$G, L:L)</f>
        <v>0.97204751921733057</v>
      </c>
      <c r="AI71" s="13" t="e" cm="1">
        <f t="array" ref="AI71">M71 / _xlfn.XLOOKUP($AD71 &amp; "|" &amp; $H71, $AD:$AD &amp; "|" &amp; $G:$G, M:M)</f>
        <v>#DIV/0!</v>
      </c>
      <c r="AJ71" s="13" t="e" cm="1">
        <f t="array" ref="AJ71">N71 / _xlfn.XLOOKUP($AD71 &amp; "|" &amp; $H71, $AD:$AD &amp; "|" &amp; $G:$G, N:N)</f>
        <v>#DIV/0!</v>
      </c>
      <c r="AK71" s="13" cm="1">
        <f t="array" ref="AK71">O71 / _xlfn.XLOOKUP($AD71 &amp; "|" &amp; $H71, $AD:$AD &amp; "|" &amp; $G:$G, O:O)</f>
        <v>1</v>
      </c>
      <c r="AL71" s="13" t="e" cm="1">
        <f t="array" ref="AL71">P71 / _xlfn.XLOOKUP($AD71 &amp; "|" &amp; $H71, $AD:$AD &amp; "|" &amp; $G:$G, P:P)</f>
        <v>#DIV/0!</v>
      </c>
      <c r="AM71" s="13" cm="1">
        <f t="array" ref="AM71">Q71 / _xlfn.XLOOKUP($AD71 &amp; "|" &amp; $H71, $AD:$AD &amp; "|" &amp; $G:$G, Q:Q)</f>
        <v>1.1564102564102565</v>
      </c>
      <c r="AW71" s="13" cm="1">
        <f t="array" ref="AW71">_xlfn.XLOOKUP($AD71 &amp; "|" &amp; $H71, $AD:$AD &amp; "|" &amp; $G:$G, L:L)</f>
        <v>14.31</v>
      </c>
      <c r="AZ71" t="s">
        <v>232</v>
      </c>
    </row>
    <row r="72" spans="1:52" x14ac:dyDescent="0.2">
      <c r="A72" t="s">
        <v>65</v>
      </c>
      <c r="B72" t="s">
        <v>66</v>
      </c>
      <c r="C72" t="s">
        <v>110</v>
      </c>
      <c r="D72" t="s">
        <v>55</v>
      </c>
      <c r="E72">
        <v>1</v>
      </c>
      <c r="F72" t="s">
        <v>193</v>
      </c>
      <c r="G72" s="1"/>
      <c r="H72" s="1" t="s">
        <v>50</v>
      </c>
      <c r="L72">
        <v>13.96</v>
      </c>
      <c r="O72">
        <v>65</v>
      </c>
      <c r="P72" s="6"/>
      <c r="Q72">
        <f>4.36*10^14</f>
        <v>436000000000000.06</v>
      </c>
      <c r="AD72" t="str">
        <f t="shared" si="7"/>
        <v>Brem (2015)|A-PRIDE 7|Ground|CFM56-7B|1|Mid-power</v>
      </c>
      <c r="AE72" s="13" t="e" cm="1">
        <f t="array" ref="AE72">I72 / _xlfn.XLOOKUP($AD72 &amp; "|" &amp; $H72, $AD:$AD &amp; "|" &amp; $G:$G, I:I)</f>
        <v>#DIV/0!</v>
      </c>
      <c r="AF72" s="13" t="e" cm="1">
        <f t="array" ref="AF72">J72 / _xlfn.XLOOKUP($AD72 &amp; "|" &amp; $H72, $AD:$AD &amp; "|" &amp; $G:$G, J:J)</f>
        <v>#DIV/0!</v>
      </c>
      <c r="AG72" s="13" t="e" cm="1">
        <f t="array" ref="AG72">K72 / _xlfn.XLOOKUP($AD72 &amp; "|" &amp; $H72, $AD:$AD &amp; "|" &amp; $G:$G, K:K)</f>
        <v>#DIV/0!</v>
      </c>
      <c r="AH72" s="13" cm="1">
        <f t="array" ref="AH72">L72 / _xlfn.XLOOKUP($AD72 &amp; "|" &amp; $H72, $AD:$AD &amp; "|" &amp; $G:$G, L:L)</f>
        <v>0.97554157931516428</v>
      </c>
      <c r="AI72" s="13" t="e" cm="1">
        <f t="array" ref="AI72">M72 / _xlfn.XLOOKUP($AD72 &amp; "|" &amp; $H72, $AD:$AD &amp; "|" &amp; $G:$G, M:M)</f>
        <v>#DIV/0!</v>
      </c>
      <c r="AJ72" s="13" t="e" cm="1">
        <f t="array" ref="AJ72">N72 / _xlfn.XLOOKUP($AD72 &amp; "|" &amp; $H72, $AD:$AD &amp; "|" &amp; $G:$G, N:N)</f>
        <v>#DIV/0!</v>
      </c>
      <c r="AK72" s="13" cm="1">
        <f t="array" ref="AK72">O72 / _xlfn.XLOOKUP($AD72 &amp; "|" &amp; $H72, $AD:$AD &amp; "|" &amp; $G:$G, O:O)</f>
        <v>1</v>
      </c>
      <c r="AL72" s="13" t="e" cm="1">
        <f t="array" ref="AL72">P72 / _xlfn.XLOOKUP($AD72 &amp; "|" &amp; $H72, $AD:$AD &amp; "|" &amp; $G:$G, P:P)</f>
        <v>#DIV/0!</v>
      </c>
      <c r="AM72" s="13" cm="1">
        <f t="array" ref="AM72">Q72 / _xlfn.XLOOKUP($AD72 &amp; "|" &amp; $H72, $AD:$AD &amp; "|" &amp; $G:$G, Q:Q)</f>
        <v>1.1179487179487182</v>
      </c>
      <c r="AW72" s="13" cm="1">
        <f t="array" ref="AW72">_xlfn.XLOOKUP($AD72 &amp; "|" &amp; $H72, $AD:$AD &amp; "|" &amp; $G:$G, L:L)</f>
        <v>14.31</v>
      </c>
      <c r="AZ72" t="s">
        <v>232</v>
      </c>
    </row>
    <row r="73" spans="1:52" x14ac:dyDescent="0.2">
      <c r="A73" t="s">
        <v>65</v>
      </c>
      <c r="B73" t="s">
        <v>66</v>
      </c>
      <c r="C73" t="s">
        <v>110</v>
      </c>
      <c r="D73" t="s">
        <v>55</v>
      </c>
      <c r="E73">
        <v>1</v>
      </c>
      <c r="F73" t="s">
        <v>193</v>
      </c>
      <c r="G73" s="1"/>
      <c r="H73" s="1" t="s">
        <v>50</v>
      </c>
      <c r="L73">
        <v>13.97</v>
      </c>
      <c r="O73">
        <v>65</v>
      </c>
      <c r="P73" s="6"/>
      <c r="Q73">
        <f>4.35*10^14</f>
        <v>434999999999999.94</v>
      </c>
      <c r="AD73" t="str">
        <f t="shared" si="7"/>
        <v>Brem (2015)|A-PRIDE 7|Ground|CFM56-7B|1|Mid-power</v>
      </c>
      <c r="AE73" s="13" t="e" cm="1">
        <f t="array" ref="AE73">I73 / _xlfn.XLOOKUP($AD73 &amp; "|" &amp; $H73, $AD:$AD &amp; "|" &amp; $G:$G, I:I)</f>
        <v>#DIV/0!</v>
      </c>
      <c r="AF73" s="13" t="e" cm="1">
        <f t="array" ref="AF73">J73 / _xlfn.XLOOKUP($AD73 &amp; "|" &amp; $H73, $AD:$AD &amp; "|" &amp; $G:$G, J:J)</f>
        <v>#DIV/0!</v>
      </c>
      <c r="AG73" s="13" t="e" cm="1">
        <f t="array" ref="AG73">K73 / _xlfn.XLOOKUP($AD73 &amp; "|" &amp; $H73, $AD:$AD &amp; "|" &amp; $G:$G, K:K)</f>
        <v>#DIV/0!</v>
      </c>
      <c r="AH73" s="13" cm="1">
        <f t="array" ref="AH73">L73 / _xlfn.XLOOKUP($AD73 &amp; "|" &amp; $H73, $AD:$AD &amp; "|" &amp; $G:$G, L:L)</f>
        <v>0.97624039133473095</v>
      </c>
      <c r="AI73" s="13" t="e" cm="1">
        <f t="array" ref="AI73">M73 / _xlfn.XLOOKUP($AD73 &amp; "|" &amp; $H73, $AD:$AD &amp; "|" &amp; $G:$G, M:M)</f>
        <v>#DIV/0!</v>
      </c>
      <c r="AJ73" s="13" t="e" cm="1">
        <f t="array" ref="AJ73">N73 / _xlfn.XLOOKUP($AD73 &amp; "|" &amp; $H73, $AD:$AD &amp; "|" &amp; $G:$G, N:N)</f>
        <v>#DIV/0!</v>
      </c>
      <c r="AK73" s="13" cm="1">
        <f t="array" ref="AK73">O73 / _xlfn.XLOOKUP($AD73 &amp; "|" &amp; $H73, $AD:$AD &amp; "|" &amp; $G:$G, O:O)</f>
        <v>1</v>
      </c>
      <c r="AL73" s="13" t="e" cm="1">
        <f t="array" ref="AL73">P73 / _xlfn.XLOOKUP($AD73 &amp; "|" &amp; $H73, $AD:$AD &amp; "|" &amp; $G:$G, P:P)</f>
        <v>#DIV/0!</v>
      </c>
      <c r="AM73" s="13" cm="1">
        <f t="array" ref="AM73">Q73 / _xlfn.XLOOKUP($AD73 &amp; "|" &amp; $H73, $AD:$AD &amp; "|" &amp; $G:$G, Q:Q)</f>
        <v>1.1153846153846152</v>
      </c>
      <c r="AW73" s="13" cm="1">
        <f t="array" ref="AW73">_xlfn.XLOOKUP($AD73 &amp; "|" &amp; $H73, $AD:$AD &amp; "|" &amp; $G:$G, L:L)</f>
        <v>14.31</v>
      </c>
      <c r="AZ73" t="s">
        <v>232</v>
      </c>
    </row>
    <row r="74" spans="1:52" x14ac:dyDescent="0.2">
      <c r="A74" t="s">
        <v>65</v>
      </c>
      <c r="B74" t="s">
        <v>66</v>
      </c>
      <c r="C74" t="s">
        <v>110</v>
      </c>
      <c r="D74" t="s">
        <v>55</v>
      </c>
      <c r="E74">
        <v>1</v>
      </c>
      <c r="F74" t="s">
        <v>193</v>
      </c>
      <c r="G74" s="1"/>
      <c r="H74" s="1" t="s">
        <v>50</v>
      </c>
      <c r="L74">
        <v>14.06</v>
      </c>
      <c r="O74">
        <v>65</v>
      </c>
      <c r="P74" s="6"/>
      <c r="Q74">
        <f>4.22*10^14</f>
        <v>422000000000000</v>
      </c>
      <c r="AD74" t="str">
        <f t="shared" si="7"/>
        <v>Brem (2015)|A-PRIDE 7|Ground|CFM56-7B|1|Mid-power</v>
      </c>
      <c r="AE74" s="13" t="e" cm="1">
        <f t="array" ref="AE74">I74 / _xlfn.XLOOKUP($AD74 &amp; "|" &amp; $H74, $AD:$AD &amp; "|" &amp; $G:$G, I:I)</f>
        <v>#DIV/0!</v>
      </c>
      <c r="AF74" s="13" t="e" cm="1">
        <f t="array" ref="AF74">J74 / _xlfn.XLOOKUP($AD74 &amp; "|" &amp; $H74, $AD:$AD &amp; "|" &amp; $G:$G, J:J)</f>
        <v>#DIV/0!</v>
      </c>
      <c r="AG74" s="13" t="e" cm="1">
        <f t="array" ref="AG74">K74 / _xlfn.XLOOKUP($AD74 &amp; "|" &amp; $H74, $AD:$AD &amp; "|" &amp; $G:$G, K:K)</f>
        <v>#DIV/0!</v>
      </c>
      <c r="AH74" s="13" cm="1">
        <f t="array" ref="AH74">L74 / _xlfn.XLOOKUP($AD74 &amp; "|" &amp; $H74, $AD:$AD &amp; "|" &amp; $G:$G, L:L)</f>
        <v>0.98252969951083158</v>
      </c>
      <c r="AI74" s="13" t="e" cm="1">
        <f t="array" ref="AI74">M74 / _xlfn.XLOOKUP($AD74 &amp; "|" &amp; $H74, $AD:$AD &amp; "|" &amp; $G:$G, M:M)</f>
        <v>#DIV/0!</v>
      </c>
      <c r="AJ74" s="13" t="e" cm="1">
        <f t="array" ref="AJ74">N74 / _xlfn.XLOOKUP($AD74 &amp; "|" &amp; $H74, $AD:$AD &amp; "|" &amp; $G:$G, N:N)</f>
        <v>#DIV/0!</v>
      </c>
      <c r="AK74" s="13" cm="1">
        <f t="array" ref="AK74">O74 / _xlfn.XLOOKUP($AD74 &amp; "|" &amp; $H74, $AD:$AD &amp; "|" &amp; $G:$G, O:O)</f>
        <v>1</v>
      </c>
      <c r="AL74" s="13" t="e" cm="1">
        <f t="array" ref="AL74">P74 / _xlfn.XLOOKUP($AD74 &amp; "|" &amp; $H74, $AD:$AD &amp; "|" &amp; $G:$G, P:P)</f>
        <v>#DIV/0!</v>
      </c>
      <c r="AM74" s="13" cm="1">
        <f t="array" ref="AM74">Q74 / _xlfn.XLOOKUP($AD74 &amp; "|" &amp; $H74, $AD:$AD &amp; "|" &amp; $G:$G, Q:Q)</f>
        <v>1.082051282051282</v>
      </c>
      <c r="AW74" s="13" cm="1">
        <f t="array" ref="AW74">_xlfn.XLOOKUP($AD74 &amp; "|" &amp; $H74, $AD:$AD &amp; "|" &amp; $G:$G, L:L)</f>
        <v>14.31</v>
      </c>
      <c r="AZ74" t="s">
        <v>232</v>
      </c>
    </row>
    <row r="75" spans="1:52" x14ac:dyDescent="0.2">
      <c r="A75" t="s">
        <v>65</v>
      </c>
      <c r="B75" t="s">
        <v>66</v>
      </c>
      <c r="C75" t="s">
        <v>110</v>
      </c>
      <c r="D75" t="s">
        <v>55</v>
      </c>
      <c r="E75">
        <v>1</v>
      </c>
      <c r="F75" t="s">
        <v>193</v>
      </c>
      <c r="G75" s="1" t="s">
        <v>50</v>
      </c>
      <c r="H75" s="1" t="s">
        <v>50</v>
      </c>
      <c r="L75">
        <v>14.31</v>
      </c>
      <c r="O75">
        <v>65</v>
      </c>
      <c r="P75" s="6"/>
      <c r="Q75">
        <f>3.9*10^14</f>
        <v>390000000000000</v>
      </c>
      <c r="AD75" t="str">
        <f t="shared" si="7"/>
        <v>Brem (2015)|A-PRIDE 7|Ground|CFM56-7B|1|Mid-power</v>
      </c>
      <c r="AE75" s="13" t="e" cm="1">
        <f t="array" ref="AE75">I75 / _xlfn.XLOOKUP($AD75 &amp; "|" &amp; $H75, $AD:$AD &amp; "|" &amp; $G:$G, I:I)</f>
        <v>#DIV/0!</v>
      </c>
      <c r="AF75" s="13" t="e" cm="1">
        <f t="array" ref="AF75">J75 / _xlfn.XLOOKUP($AD75 &amp; "|" &amp; $H75, $AD:$AD &amp; "|" &amp; $G:$G, J:J)</f>
        <v>#DIV/0!</v>
      </c>
      <c r="AG75" s="13" t="e" cm="1">
        <f t="array" ref="AG75">K75 / _xlfn.XLOOKUP($AD75 &amp; "|" &amp; $H75, $AD:$AD &amp; "|" &amp; $G:$G, K:K)</f>
        <v>#DIV/0!</v>
      </c>
      <c r="AH75" s="13" cm="1">
        <f t="array" ref="AH75">L75 / _xlfn.XLOOKUP($AD75 &amp; "|" &amp; $H75, $AD:$AD &amp; "|" &amp; $G:$G, L:L)</f>
        <v>1</v>
      </c>
      <c r="AI75" s="13" t="e" cm="1">
        <f t="array" ref="AI75">M75 / _xlfn.XLOOKUP($AD75 &amp; "|" &amp; $H75, $AD:$AD &amp; "|" &amp; $G:$G, M:M)</f>
        <v>#DIV/0!</v>
      </c>
      <c r="AJ75" s="13" t="e" cm="1">
        <f t="array" ref="AJ75">N75 / _xlfn.XLOOKUP($AD75 &amp; "|" &amp; $H75, $AD:$AD &amp; "|" &amp; $G:$G, N:N)</f>
        <v>#DIV/0!</v>
      </c>
      <c r="AK75" s="13" cm="1">
        <f t="array" ref="AK75">O75 / _xlfn.XLOOKUP($AD75 &amp; "|" &amp; $H75, $AD:$AD &amp; "|" &amp; $G:$G, O:O)</f>
        <v>1</v>
      </c>
      <c r="AL75" s="13" t="e" cm="1">
        <f t="array" ref="AL75">P75 / _xlfn.XLOOKUP($AD75 &amp; "|" &amp; $H75, $AD:$AD &amp; "|" &amp; $G:$G, P:P)</f>
        <v>#DIV/0!</v>
      </c>
      <c r="AM75" s="13"/>
      <c r="AW75" s="13" cm="1">
        <f t="array" ref="AW75">_xlfn.XLOOKUP($AD75 &amp; "|" &amp; $H75, $AD:$AD &amp; "|" &amp; $G:$G, L:L)</f>
        <v>14.31</v>
      </c>
      <c r="AZ75" t="s">
        <v>232</v>
      </c>
    </row>
    <row r="76" spans="1:52" x14ac:dyDescent="0.2">
      <c r="A76" t="s">
        <v>65</v>
      </c>
      <c r="B76" t="s">
        <v>66</v>
      </c>
      <c r="C76" t="s">
        <v>110</v>
      </c>
      <c r="D76" t="s">
        <v>55</v>
      </c>
      <c r="E76">
        <v>1</v>
      </c>
      <c r="F76" t="s">
        <v>187</v>
      </c>
      <c r="G76" s="1"/>
      <c r="H76" s="1" t="s">
        <v>50</v>
      </c>
      <c r="L76">
        <v>13.78</v>
      </c>
      <c r="O76">
        <v>85</v>
      </c>
      <c r="P76" s="6"/>
      <c r="Q76">
        <f>3.88*10^14</f>
        <v>388000000000000</v>
      </c>
      <c r="AD76" t="str">
        <f t="shared" si="7"/>
        <v>Brem (2015)|A-PRIDE 7|Ground|CFM56-7B|1|Climb</v>
      </c>
      <c r="AE76" s="13" t="e" cm="1">
        <f t="array" ref="AE76">I76 / _xlfn.XLOOKUP($AD76 &amp; "|" &amp; $H76, $AD:$AD &amp; "|" &amp; $G:$G, I:I)</f>
        <v>#DIV/0!</v>
      </c>
      <c r="AF76" s="13" t="e" cm="1">
        <f t="array" ref="AF76">J76 / _xlfn.XLOOKUP($AD76 &amp; "|" &amp; $H76, $AD:$AD &amp; "|" &amp; $G:$G, J:J)</f>
        <v>#DIV/0!</v>
      </c>
      <c r="AG76" s="13" t="e" cm="1">
        <f t="array" ref="AG76">K76 / _xlfn.XLOOKUP($AD76 &amp; "|" &amp; $H76, $AD:$AD &amp; "|" &amp; $G:$G, K:K)</f>
        <v>#DIV/0!</v>
      </c>
      <c r="AH76" s="13" cm="1">
        <f t="array" ref="AH76">L76 / _xlfn.XLOOKUP($AD76 &amp; "|" &amp; $H76, $AD:$AD &amp; "|" &amp; $G:$G, L:L)</f>
        <v>0.96296296296296291</v>
      </c>
      <c r="AI76" s="13" t="e" cm="1">
        <f t="array" ref="AI76">M76 / _xlfn.XLOOKUP($AD76 &amp; "|" &amp; $H76, $AD:$AD &amp; "|" &amp; $G:$G, M:M)</f>
        <v>#DIV/0!</v>
      </c>
      <c r="AJ76" s="13" t="e" cm="1">
        <f t="array" ref="AJ76">N76 / _xlfn.XLOOKUP($AD76 &amp; "|" &amp; $H76, $AD:$AD &amp; "|" &amp; $G:$G, N:N)</f>
        <v>#DIV/0!</v>
      </c>
      <c r="AK76" s="13" cm="1">
        <f t="array" ref="AK76">O76 / _xlfn.XLOOKUP($AD76 &amp; "|" &amp; $H76, $AD:$AD &amp; "|" &amp; $G:$G, O:O)</f>
        <v>1</v>
      </c>
      <c r="AL76" s="13" t="e" cm="1">
        <f t="array" ref="AL76">P76 / _xlfn.XLOOKUP($AD76 &amp; "|" &amp; $H76, $AD:$AD &amp; "|" &amp; $G:$G, P:P)</f>
        <v>#DIV/0!</v>
      </c>
      <c r="AM76" s="13" cm="1">
        <f t="array" ref="AM76">Q76 / _xlfn.XLOOKUP($AD76 &amp; "|" &amp; $H76, $AD:$AD &amp; "|" &amp; $G:$G, Q:Q)</f>
        <v>1.1085714285714285</v>
      </c>
      <c r="AW76" s="13" cm="1">
        <f t="array" ref="AW76">_xlfn.XLOOKUP($AD76 &amp; "|" &amp; $H76, $AD:$AD &amp; "|" &amp; $G:$G, L:L)</f>
        <v>14.31</v>
      </c>
      <c r="AZ76" t="s">
        <v>232</v>
      </c>
    </row>
    <row r="77" spans="1:52" x14ac:dyDescent="0.2">
      <c r="A77" t="s">
        <v>65</v>
      </c>
      <c r="B77" t="s">
        <v>66</v>
      </c>
      <c r="C77" t="s">
        <v>110</v>
      </c>
      <c r="D77" t="s">
        <v>55</v>
      </c>
      <c r="E77">
        <v>1</v>
      </c>
      <c r="F77" t="s">
        <v>187</v>
      </c>
      <c r="G77" s="1"/>
      <c r="H77" s="1" t="s">
        <v>50</v>
      </c>
      <c r="L77">
        <v>13.87</v>
      </c>
      <c r="O77">
        <v>85</v>
      </c>
      <c r="P77" s="6"/>
      <c r="Q77">
        <f>3.77*10^14</f>
        <v>377000000000000</v>
      </c>
      <c r="AD77" t="str">
        <f t="shared" si="7"/>
        <v>Brem (2015)|A-PRIDE 7|Ground|CFM56-7B|1|Climb</v>
      </c>
      <c r="AE77" s="13" t="e" cm="1">
        <f t="array" ref="AE77">I77 / _xlfn.XLOOKUP($AD77 &amp; "|" &amp; $H77, $AD:$AD &amp; "|" &amp; $G:$G, I:I)</f>
        <v>#DIV/0!</v>
      </c>
      <c r="AF77" s="13" t="e" cm="1">
        <f t="array" ref="AF77">J77 / _xlfn.XLOOKUP($AD77 &amp; "|" &amp; $H77, $AD:$AD &amp; "|" &amp; $G:$G, J:J)</f>
        <v>#DIV/0!</v>
      </c>
      <c r="AG77" s="13" t="e" cm="1">
        <f t="array" ref="AG77">K77 / _xlfn.XLOOKUP($AD77 &amp; "|" &amp; $H77, $AD:$AD &amp; "|" &amp; $G:$G, K:K)</f>
        <v>#DIV/0!</v>
      </c>
      <c r="AH77" s="13" cm="1">
        <f t="array" ref="AH77">L77 / _xlfn.XLOOKUP($AD77 &amp; "|" &amp; $H77, $AD:$AD &amp; "|" &amp; $G:$G, L:L)</f>
        <v>0.96925227113906354</v>
      </c>
      <c r="AI77" s="13" t="e" cm="1">
        <f t="array" ref="AI77">M77 / _xlfn.XLOOKUP($AD77 &amp; "|" &amp; $H77, $AD:$AD &amp; "|" &amp; $G:$G, M:M)</f>
        <v>#DIV/0!</v>
      </c>
      <c r="AJ77" s="13" t="e" cm="1">
        <f t="array" ref="AJ77">N77 / _xlfn.XLOOKUP($AD77 &amp; "|" &amp; $H77, $AD:$AD &amp; "|" &amp; $G:$G, N:N)</f>
        <v>#DIV/0!</v>
      </c>
      <c r="AK77" s="13" cm="1">
        <f t="array" ref="AK77">O77 / _xlfn.XLOOKUP($AD77 &amp; "|" &amp; $H77, $AD:$AD &amp; "|" &amp; $G:$G, O:O)</f>
        <v>1</v>
      </c>
      <c r="AL77" s="13" t="e" cm="1">
        <f t="array" ref="AL77">P77 / _xlfn.XLOOKUP($AD77 &amp; "|" &amp; $H77, $AD:$AD &amp; "|" &amp; $G:$G, P:P)</f>
        <v>#DIV/0!</v>
      </c>
      <c r="AM77" s="13" cm="1">
        <f t="array" ref="AM77">Q77 / _xlfn.XLOOKUP($AD77 &amp; "|" &amp; $H77, $AD:$AD &amp; "|" &amp; $G:$G, Q:Q)</f>
        <v>1.0771428571428572</v>
      </c>
      <c r="AW77" s="13" cm="1">
        <f t="array" ref="AW77">_xlfn.XLOOKUP($AD77 &amp; "|" &amp; $H77, $AD:$AD &amp; "|" &amp; $G:$G, L:L)</f>
        <v>14.31</v>
      </c>
      <c r="AZ77" t="s">
        <v>232</v>
      </c>
    </row>
    <row r="78" spans="1:52" x14ac:dyDescent="0.2">
      <c r="A78" t="s">
        <v>65</v>
      </c>
      <c r="B78" t="s">
        <v>66</v>
      </c>
      <c r="C78" t="s">
        <v>110</v>
      </c>
      <c r="D78" t="s">
        <v>55</v>
      </c>
      <c r="E78">
        <v>1</v>
      </c>
      <c r="F78" t="s">
        <v>187</v>
      </c>
      <c r="G78" s="1"/>
      <c r="H78" s="1" t="s">
        <v>50</v>
      </c>
      <c r="L78">
        <v>13.9</v>
      </c>
      <c r="O78">
        <v>85</v>
      </c>
      <c r="P78" s="6"/>
      <c r="Q78">
        <f>3.77*10^14</f>
        <v>377000000000000</v>
      </c>
      <c r="AD78" t="str">
        <f t="shared" si="7"/>
        <v>Brem (2015)|A-PRIDE 7|Ground|CFM56-7B|1|Climb</v>
      </c>
      <c r="AE78" s="13" t="e" cm="1">
        <f t="array" ref="AE78">I78 / _xlfn.XLOOKUP($AD78 &amp; "|" &amp; $H78, $AD:$AD &amp; "|" &amp; $G:$G, I:I)</f>
        <v>#DIV/0!</v>
      </c>
      <c r="AF78" s="13" t="e" cm="1">
        <f t="array" ref="AF78">J78 / _xlfn.XLOOKUP($AD78 &amp; "|" &amp; $H78, $AD:$AD &amp; "|" &amp; $G:$G, J:J)</f>
        <v>#DIV/0!</v>
      </c>
      <c r="AG78" s="13" t="e" cm="1">
        <f t="array" ref="AG78">K78 / _xlfn.XLOOKUP($AD78 &amp; "|" &amp; $H78, $AD:$AD &amp; "|" &amp; $G:$G, K:K)</f>
        <v>#DIV/0!</v>
      </c>
      <c r="AH78" s="13" cm="1">
        <f t="array" ref="AH78">L78 / _xlfn.XLOOKUP($AD78 &amp; "|" &amp; $H78, $AD:$AD &amp; "|" &amp; $G:$G, L:L)</f>
        <v>0.97134870719776378</v>
      </c>
      <c r="AI78" s="13" t="e" cm="1">
        <f t="array" ref="AI78">M78 / _xlfn.XLOOKUP($AD78 &amp; "|" &amp; $H78, $AD:$AD &amp; "|" &amp; $G:$G, M:M)</f>
        <v>#DIV/0!</v>
      </c>
      <c r="AJ78" s="13" t="e" cm="1">
        <f t="array" ref="AJ78">N78 / _xlfn.XLOOKUP($AD78 &amp; "|" &amp; $H78, $AD:$AD &amp; "|" &amp; $G:$G, N:N)</f>
        <v>#DIV/0!</v>
      </c>
      <c r="AK78" s="13" cm="1">
        <f t="array" ref="AK78">O78 / _xlfn.XLOOKUP($AD78 &amp; "|" &amp; $H78, $AD:$AD &amp; "|" &amp; $G:$G, O:O)</f>
        <v>1</v>
      </c>
      <c r="AL78" s="13" t="e" cm="1">
        <f t="array" ref="AL78">P78 / _xlfn.XLOOKUP($AD78 &amp; "|" &amp; $H78, $AD:$AD &amp; "|" &amp; $G:$G, P:P)</f>
        <v>#DIV/0!</v>
      </c>
      <c r="AM78" s="13" cm="1">
        <f t="array" ref="AM78">Q78 / _xlfn.XLOOKUP($AD78 &amp; "|" &amp; $H78, $AD:$AD &amp; "|" &amp; $G:$G, Q:Q)</f>
        <v>1.0771428571428572</v>
      </c>
      <c r="AW78" s="13" cm="1">
        <f t="array" ref="AW78">_xlfn.XLOOKUP($AD78 &amp; "|" &amp; $H78, $AD:$AD &amp; "|" &amp; $G:$G, L:L)</f>
        <v>14.31</v>
      </c>
      <c r="AZ78" t="s">
        <v>232</v>
      </c>
    </row>
    <row r="79" spans="1:52" x14ac:dyDescent="0.2">
      <c r="A79" t="s">
        <v>65</v>
      </c>
      <c r="B79" t="s">
        <v>66</v>
      </c>
      <c r="C79" t="s">
        <v>110</v>
      </c>
      <c r="D79" t="s">
        <v>55</v>
      </c>
      <c r="E79">
        <v>1</v>
      </c>
      <c r="F79" t="s">
        <v>187</v>
      </c>
      <c r="G79" s="1"/>
      <c r="H79" s="1" t="s">
        <v>50</v>
      </c>
      <c r="L79">
        <v>13.97</v>
      </c>
      <c r="O79">
        <v>85</v>
      </c>
      <c r="P79" s="6"/>
      <c r="Q79">
        <f>3.72*10^14</f>
        <v>372000000000000</v>
      </c>
      <c r="AD79" t="str">
        <f t="shared" si="7"/>
        <v>Brem (2015)|A-PRIDE 7|Ground|CFM56-7B|1|Climb</v>
      </c>
      <c r="AE79" s="13" t="e" cm="1">
        <f t="array" ref="AE79">I79 / _xlfn.XLOOKUP($AD79 &amp; "|" &amp; $H79, $AD:$AD &amp; "|" &amp; $G:$G, I:I)</f>
        <v>#DIV/0!</v>
      </c>
      <c r="AF79" s="13" t="e" cm="1">
        <f t="array" ref="AF79">J79 / _xlfn.XLOOKUP($AD79 &amp; "|" &amp; $H79, $AD:$AD &amp; "|" &amp; $G:$G, J:J)</f>
        <v>#DIV/0!</v>
      </c>
      <c r="AG79" s="13" t="e" cm="1">
        <f t="array" ref="AG79">K79 / _xlfn.XLOOKUP($AD79 &amp; "|" &amp; $H79, $AD:$AD &amp; "|" &amp; $G:$G, K:K)</f>
        <v>#DIV/0!</v>
      </c>
      <c r="AH79" s="13" cm="1">
        <f t="array" ref="AH79">L79 / _xlfn.XLOOKUP($AD79 &amp; "|" &amp; $H79, $AD:$AD &amp; "|" &amp; $G:$G, L:L)</f>
        <v>0.97624039133473095</v>
      </c>
      <c r="AI79" s="13" t="e" cm="1">
        <f t="array" ref="AI79">M79 / _xlfn.XLOOKUP($AD79 &amp; "|" &amp; $H79, $AD:$AD &amp; "|" &amp; $G:$G, M:M)</f>
        <v>#DIV/0!</v>
      </c>
      <c r="AJ79" s="13" t="e" cm="1">
        <f t="array" ref="AJ79">N79 / _xlfn.XLOOKUP($AD79 &amp; "|" &amp; $H79, $AD:$AD &amp; "|" &amp; $G:$G, N:N)</f>
        <v>#DIV/0!</v>
      </c>
      <c r="AK79" s="13" cm="1">
        <f t="array" ref="AK79">O79 / _xlfn.XLOOKUP($AD79 &amp; "|" &amp; $H79, $AD:$AD &amp; "|" &amp; $G:$G, O:O)</f>
        <v>1</v>
      </c>
      <c r="AL79" s="13" t="e" cm="1">
        <f t="array" ref="AL79">P79 / _xlfn.XLOOKUP($AD79 &amp; "|" &amp; $H79, $AD:$AD &amp; "|" &amp; $G:$G, P:P)</f>
        <v>#DIV/0!</v>
      </c>
      <c r="AM79" s="13" cm="1">
        <f t="array" ref="AM79">Q79 / _xlfn.XLOOKUP($AD79 &amp; "|" &amp; $H79, $AD:$AD &amp; "|" &amp; $G:$G, Q:Q)</f>
        <v>1.0628571428571429</v>
      </c>
      <c r="AW79" s="13" cm="1">
        <f t="array" ref="AW79">_xlfn.XLOOKUP($AD79 &amp; "|" &amp; $H79, $AD:$AD &amp; "|" &amp; $G:$G, L:L)</f>
        <v>14.31</v>
      </c>
      <c r="AZ79" t="s">
        <v>232</v>
      </c>
    </row>
    <row r="80" spans="1:52" x14ac:dyDescent="0.2">
      <c r="A80" t="s">
        <v>65</v>
      </c>
      <c r="B80" t="s">
        <v>66</v>
      </c>
      <c r="C80" t="s">
        <v>110</v>
      </c>
      <c r="D80" t="s">
        <v>55</v>
      </c>
      <c r="E80">
        <v>1</v>
      </c>
      <c r="F80" t="s">
        <v>187</v>
      </c>
      <c r="G80" s="1"/>
      <c r="H80" s="1" t="s">
        <v>50</v>
      </c>
      <c r="L80">
        <v>14.01</v>
      </c>
      <c r="O80">
        <v>85</v>
      </c>
      <c r="P80" s="6"/>
      <c r="Q80">
        <f>3.68*10^14</f>
        <v>368000000000000</v>
      </c>
      <c r="AD80" t="str">
        <f t="shared" si="7"/>
        <v>Brem (2015)|A-PRIDE 7|Ground|CFM56-7B|1|Climb</v>
      </c>
      <c r="AE80" s="13" t="e" cm="1">
        <f t="array" ref="AE80">I80 / _xlfn.XLOOKUP($AD80 &amp; "|" &amp; $H80, $AD:$AD &amp; "|" &amp; $G:$G, I:I)</f>
        <v>#DIV/0!</v>
      </c>
      <c r="AF80" s="13" t="e" cm="1">
        <f t="array" ref="AF80">J80 / _xlfn.XLOOKUP($AD80 &amp; "|" &amp; $H80, $AD:$AD &amp; "|" &amp; $G:$G, J:J)</f>
        <v>#DIV/0!</v>
      </c>
      <c r="AG80" s="13" t="e" cm="1">
        <f t="array" ref="AG80">K80 / _xlfn.XLOOKUP($AD80 &amp; "|" &amp; $H80, $AD:$AD &amp; "|" &amp; $G:$G, K:K)</f>
        <v>#DIV/0!</v>
      </c>
      <c r="AH80" s="13" cm="1">
        <f t="array" ref="AH80">L80 / _xlfn.XLOOKUP($AD80 &amp; "|" &amp; $H80, $AD:$AD &amp; "|" &amp; $G:$G, L:L)</f>
        <v>0.97903563941299787</v>
      </c>
      <c r="AI80" s="13" t="e" cm="1">
        <f t="array" ref="AI80">M80 / _xlfn.XLOOKUP($AD80 &amp; "|" &amp; $H80, $AD:$AD &amp; "|" &amp; $G:$G, M:M)</f>
        <v>#DIV/0!</v>
      </c>
      <c r="AJ80" s="13" t="e" cm="1">
        <f t="array" ref="AJ80">N80 / _xlfn.XLOOKUP($AD80 &amp; "|" &amp; $H80, $AD:$AD &amp; "|" &amp; $G:$G, N:N)</f>
        <v>#DIV/0!</v>
      </c>
      <c r="AK80" s="13" cm="1">
        <f t="array" ref="AK80">O80 / _xlfn.XLOOKUP($AD80 &amp; "|" &amp; $H80, $AD:$AD &amp; "|" &amp; $G:$G, O:O)</f>
        <v>1</v>
      </c>
      <c r="AL80" s="13" t="e" cm="1">
        <f t="array" ref="AL80">P80 / _xlfn.XLOOKUP($AD80 &amp; "|" &amp; $H80, $AD:$AD &amp; "|" &amp; $G:$G, P:P)</f>
        <v>#DIV/0!</v>
      </c>
      <c r="AM80" s="13" cm="1">
        <f t="array" ref="AM80">Q80 / _xlfn.XLOOKUP($AD80 &amp; "|" &amp; $H80, $AD:$AD &amp; "|" &amp; $G:$G, Q:Q)</f>
        <v>1.0514285714285714</v>
      </c>
      <c r="AW80" s="13" cm="1">
        <f t="array" ref="AW80">_xlfn.XLOOKUP($AD80 &amp; "|" &amp; $H80, $AD:$AD &amp; "|" &amp; $G:$G, L:L)</f>
        <v>14.31</v>
      </c>
      <c r="AZ80" t="s">
        <v>232</v>
      </c>
    </row>
    <row r="81" spans="1:52" x14ac:dyDescent="0.2">
      <c r="A81" t="s">
        <v>65</v>
      </c>
      <c r="B81" t="s">
        <v>66</v>
      </c>
      <c r="C81" t="s">
        <v>110</v>
      </c>
      <c r="D81" t="s">
        <v>55</v>
      </c>
      <c r="E81">
        <v>1</v>
      </c>
      <c r="F81" t="s">
        <v>187</v>
      </c>
      <c r="G81" s="1"/>
      <c r="H81" s="1" t="s">
        <v>50</v>
      </c>
      <c r="L81">
        <v>14.06</v>
      </c>
      <c r="O81">
        <v>85</v>
      </c>
      <c r="P81" s="6"/>
      <c r="Q81">
        <f>3.65*10^14</f>
        <v>365000000000000</v>
      </c>
      <c r="AD81" t="str">
        <f t="shared" si="7"/>
        <v>Brem (2015)|A-PRIDE 7|Ground|CFM56-7B|1|Climb</v>
      </c>
      <c r="AE81" s="13" t="e" cm="1">
        <f t="array" ref="AE81">I81 / _xlfn.XLOOKUP($AD81 &amp; "|" &amp; $H81, $AD:$AD &amp; "|" &amp; $G:$G, I:I)</f>
        <v>#DIV/0!</v>
      </c>
      <c r="AF81" s="13" t="e" cm="1">
        <f t="array" ref="AF81">J81 / _xlfn.XLOOKUP($AD81 &amp; "|" &amp; $H81, $AD:$AD &amp; "|" &amp; $G:$G, J:J)</f>
        <v>#DIV/0!</v>
      </c>
      <c r="AG81" s="13" t="e" cm="1">
        <f t="array" ref="AG81">K81 / _xlfn.XLOOKUP($AD81 &amp; "|" &amp; $H81, $AD:$AD &amp; "|" &amp; $G:$G, K:K)</f>
        <v>#DIV/0!</v>
      </c>
      <c r="AH81" s="13" cm="1">
        <f t="array" ref="AH81">L81 / _xlfn.XLOOKUP($AD81 &amp; "|" &amp; $H81, $AD:$AD &amp; "|" &amp; $G:$G, L:L)</f>
        <v>0.98252969951083158</v>
      </c>
      <c r="AI81" s="13" t="e" cm="1">
        <f t="array" ref="AI81">M81 / _xlfn.XLOOKUP($AD81 &amp; "|" &amp; $H81, $AD:$AD &amp; "|" &amp; $G:$G, M:M)</f>
        <v>#DIV/0!</v>
      </c>
      <c r="AJ81" s="13" t="e" cm="1">
        <f t="array" ref="AJ81">N81 / _xlfn.XLOOKUP($AD81 &amp; "|" &amp; $H81, $AD:$AD &amp; "|" &amp; $G:$G, N:N)</f>
        <v>#DIV/0!</v>
      </c>
      <c r="AK81" s="13" cm="1">
        <f t="array" ref="AK81">O81 / _xlfn.XLOOKUP($AD81 &amp; "|" &amp; $H81, $AD:$AD &amp; "|" &amp; $G:$G, O:O)</f>
        <v>1</v>
      </c>
      <c r="AL81" s="13" t="e" cm="1">
        <f t="array" ref="AL81">P81 / _xlfn.XLOOKUP($AD81 &amp; "|" &amp; $H81, $AD:$AD &amp; "|" &amp; $G:$G, P:P)</f>
        <v>#DIV/0!</v>
      </c>
      <c r="AM81" s="13" cm="1">
        <f t="array" ref="AM81">Q81 / _xlfn.XLOOKUP($AD81 &amp; "|" &amp; $H81, $AD:$AD &amp; "|" &amp; $G:$G, Q:Q)</f>
        <v>1.0428571428571429</v>
      </c>
      <c r="AW81" s="13" cm="1">
        <f t="array" ref="AW81">_xlfn.XLOOKUP($AD81 &amp; "|" &amp; $H81, $AD:$AD &amp; "|" &amp; $G:$G, L:L)</f>
        <v>14.31</v>
      </c>
      <c r="AZ81" t="s">
        <v>232</v>
      </c>
    </row>
    <row r="82" spans="1:52" x14ac:dyDescent="0.2">
      <c r="A82" t="s">
        <v>65</v>
      </c>
      <c r="B82" t="s">
        <v>66</v>
      </c>
      <c r="C82" t="s">
        <v>110</v>
      </c>
      <c r="D82" t="s">
        <v>55</v>
      </c>
      <c r="E82">
        <v>1</v>
      </c>
      <c r="F82" t="s">
        <v>187</v>
      </c>
      <c r="G82" s="1" t="s">
        <v>50</v>
      </c>
      <c r="H82" s="1" t="s">
        <v>50</v>
      </c>
      <c r="L82">
        <v>14.31</v>
      </c>
      <c r="O82">
        <v>85</v>
      </c>
      <c r="P82" s="6"/>
      <c r="Q82">
        <f>3.5*10^14</f>
        <v>350000000000000</v>
      </c>
      <c r="AD82" t="str">
        <f t="shared" si="7"/>
        <v>Brem (2015)|A-PRIDE 7|Ground|CFM56-7B|1|Climb</v>
      </c>
      <c r="AE82" s="13" t="e" cm="1">
        <f t="array" ref="AE82">I82 / _xlfn.XLOOKUP($AD82 &amp; "|" &amp; $H82, $AD:$AD &amp; "|" &amp; $G:$G, I:I)</f>
        <v>#DIV/0!</v>
      </c>
      <c r="AF82" s="13" t="e" cm="1">
        <f t="array" ref="AF82">J82 / _xlfn.XLOOKUP($AD82 &amp; "|" &amp; $H82, $AD:$AD &amp; "|" &amp; $G:$G, J:J)</f>
        <v>#DIV/0!</v>
      </c>
      <c r="AG82" s="13" t="e" cm="1">
        <f t="array" ref="AG82">K82 / _xlfn.XLOOKUP($AD82 &amp; "|" &amp; $H82, $AD:$AD &amp; "|" &amp; $G:$G, K:K)</f>
        <v>#DIV/0!</v>
      </c>
      <c r="AH82" s="13" cm="1">
        <f t="array" ref="AH82">L82 / _xlfn.XLOOKUP($AD82 &amp; "|" &amp; $H82, $AD:$AD &amp; "|" &amp; $G:$G, L:L)</f>
        <v>1</v>
      </c>
      <c r="AI82" s="13" t="e" cm="1">
        <f t="array" ref="AI82">M82 / _xlfn.XLOOKUP($AD82 &amp; "|" &amp; $H82, $AD:$AD &amp; "|" &amp; $G:$G, M:M)</f>
        <v>#DIV/0!</v>
      </c>
      <c r="AJ82" s="13" t="e" cm="1">
        <f t="array" ref="AJ82">N82 / _xlfn.XLOOKUP($AD82 &amp; "|" &amp; $H82, $AD:$AD &amp; "|" &amp; $G:$G, N:N)</f>
        <v>#DIV/0!</v>
      </c>
      <c r="AK82" s="13" cm="1">
        <f t="array" ref="AK82">O82 / _xlfn.XLOOKUP($AD82 &amp; "|" &amp; $H82, $AD:$AD &amp; "|" &amp; $G:$G, O:O)</f>
        <v>1</v>
      </c>
      <c r="AL82" s="13" t="e" cm="1">
        <f t="array" ref="AL82">P82 / _xlfn.XLOOKUP($AD82 &amp; "|" &amp; $H82, $AD:$AD &amp; "|" &amp; $G:$G, P:P)</f>
        <v>#DIV/0!</v>
      </c>
      <c r="AM82" s="13"/>
      <c r="AW82" s="13" cm="1">
        <f t="array" ref="AW82">_xlfn.XLOOKUP($AD82 &amp; "|" &amp; $H82, $AD:$AD &amp; "|" &amp; $G:$G, L:L)</f>
        <v>14.31</v>
      </c>
      <c r="AZ82" t="s">
        <v>232</v>
      </c>
    </row>
    <row r="83" spans="1:52" x14ac:dyDescent="0.2">
      <c r="A83" t="s">
        <v>65</v>
      </c>
      <c r="B83" t="s">
        <v>66</v>
      </c>
      <c r="C83" t="s">
        <v>110</v>
      </c>
      <c r="D83" t="s">
        <v>55</v>
      </c>
      <c r="E83">
        <v>1</v>
      </c>
      <c r="F83" t="s">
        <v>195</v>
      </c>
      <c r="G83" s="1"/>
      <c r="H83" s="1" t="s">
        <v>50</v>
      </c>
      <c r="L83">
        <v>13.77</v>
      </c>
      <c r="O83">
        <v>100</v>
      </c>
      <c r="P83" s="6"/>
      <c r="Q83">
        <f>3.14*10^14</f>
        <v>314000000000000</v>
      </c>
      <c r="AD83" t="str">
        <f t="shared" si="7"/>
        <v>Brem (2015)|A-PRIDE 7|Ground|CFM56-7B|1|Take-off</v>
      </c>
      <c r="AE83" s="13" t="e" cm="1">
        <f t="array" ref="AE83">I83 / _xlfn.XLOOKUP($AD83 &amp; "|" &amp; $H83, $AD:$AD &amp; "|" &amp; $G:$G, I:I)</f>
        <v>#DIV/0!</v>
      </c>
      <c r="AF83" s="13" t="e" cm="1">
        <f t="array" ref="AF83">J83 / _xlfn.XLOOKUP($AD83 &amp; "|" &amp; $H83, $AD:$AD &amp; "|" &amp; $G:$G, J:J)</f>
        <v>#DIV/0!</v>
      </c>
      <c r="AG83" s="13" t="e" cm="1">
        <f t="array" ref="AG83">K83 / _xlfn.XLOOKUP($AD83 &amp; "|" &amp; $H83, $AD:$AD &amp; "|" &amp; $G:$G, K:K)</f>
        <v>#DIV/0!</v>
      </c>
      <c r="AH83" s="13" cm="1">
        <f t="array" ref="AH83">L83 / _xlfn.XLOOKUP($AD83 &amp; "|" &amp; $H83, $AD:$AD &amp; "|" &amp; $G:$G, L:L)</f>
        <v>0.96226415094339612</v>
      </c>
      <c r="AI83" s="13" t="e" cm="1">
        <f t="array" ref="AI83">M83 / _xlfn.XLOOKUP($AD83 &amp; "|" &amp; $H83, $AD:$AD &amp; "|" &amp; $G:$G, M:M)</f>
        <v>#DIV/0!</v>
      </c>
      <c r="AJ83" s="13" t="e" cm="1">
        <f t="array" ref="AJ83">N83 / _xlfn.XLOOKUP($AD83 &amp; "|" &amp; $H83, $AD:$AD &amp; "|" &amp; $G:$G, N:N)</f>
        <v>#DIV/0!</v>
      </c>
      <c r="AK83" s="13" cm="1">
        <f t="array" ref="AK83">O83 / _xlfn.XLOOKUP($AD83 &amp; "|" &amp; $H83, $AD:$AD &amp; "|" &amp; $G:$G, O:O)</f>
        <v>1</v>
      </c>
      <c r="AL83" s="13" t="e" cm="1">
        <f t="array" ref="AL83">P83 / _xlfn.XLOOKUP($AD83 &amp; "|" &amp; $H83, $AD:$AD &amp; "|" &amp; $G:$G, P:P)</f>
        <v>#DIV/0!</v>
      </c>
      <c r="AM83" s="13" cm="1">
        <f t="array" ref="AM83">Q83 / _xlfn.XLOOKUP($AD83 &amp; "|" &amp; $H83, $AD:$AD &amp; "|" &amp; $G:$G, Q:Q)</f>
        <v>1.0466666666666666</v>
      </c>
      <c r="AW83" s="13" cm="1">
        <f t="array" ref="AW83">_xlfn.XLOOKUP($AD83 &amp; "|" &amp; $H83, $AD:$AD &amp; "|" &amp; $G:$G, L:L)</f>
        <v>14.31</v>
      </c>
      <c r="AZ83" t="s">
        <v>232</v>
      </c>
    </row>
    <row r="84" spans="1:52" x14ac:dyDescent="0.2">
      <c r="A84" t="s">
        <v>65</v>
      </c>
      <c r="B84" t="s">
        <v>66</v>
      </c>
      <c r="C84" t="s">
        <v>110</v>
      </c>
      <c r="D84" t="s">
        <v>55</v>
      </c>
      <c r="E84">
        <v>1</v>
      </c>
      <c r="F84" t="s">
        <v>195</v>
      </c>
      <c r="G84" s="1"/>
      <c r="H84" s="1" t="s">
        <v>50</v>
      </c>
      <c r="L84">
        <v>13.77</v>
      </c>
      <c r="O84">
        <v>100</v>
      </c>
      <c r="P84" s="6"/>
      <c r="Q84">
        <f>3.18*10^14</f>
        <v>318000000000000</v>
      </c>
      <c r="AD84" t="str">
        <f t="shared" si="7"/>
        <v>Brem (2015)|A-PRIDE 7|Ground|CFM56-7B|1|Take-off</v>
      </c>
      <c r="AE84" s="13" t="e" cm="1">
        <f t="array" ref="AE84">I84 / _xlfn.XLOOKUP($AD84 &amp; "|" &amp; $H84, $AD:$AD &amp; "|" &amp; $G:$G, I:I)</f>
        <v>#DIV/0!</v>
      </c>
      <c r="AF84" s="13" t="e" cm="1">
        <f t="array" ref="AF84">J84 / _xlfn.XLOOKUP($AD84 &amp; "|" &amp; $H84, $AD:$AD &amp; "|" &amp; $G:$G, J:J)</f>
        <v>#DIV/0!</v>
      </c>
      <c r="AG84" s="13" t="e" cm="1">
        <f t="array" ref="AG84">K84 / _xlfn.XLOOKUP($AD84 &amp; "|" &amp; $H84, $AD:$AD &amp; "|" &amp; $G:$G, K:K)</f>
        <v>#DIV/0!</v>
      </c>
      <c r="AH84" s="13" cm="1">
        <f t="array" ref="AH84">L84 / _xlfn.XLOOKUP($AD84 &amp; "|" &amp; $H84, $AD:$AD &amp; "|" &amp; $G:$G, L:L)</f>
        <v>0.96226415094339612</v>
      </c>
      <c r="AI84" s="13" t="e" cm="1">
        <f t="array" ref="AI84">M84 / _xlfn.XLOOKUP($AD84 &amp; "|" &amp; $H84, $AD:$AD &amp; "|" &amp; $G:$G, M:M)</f>
        <v>#DIV/0!</v>
      </c>
      <c r="AJ84" s="13" t="e" cm="1">
        <f t="array" ref="AJ84">N84 / _xlfn.XLOOKUP($AD84 &amp; "|" &amp; $H84, $AD:$AD &amp; "|" &amp; $G:$G, N:N)</f>
        <v>#DIV/0!</v>
      </c>
      <c r="AK84" s="13" cm="1">
        <f t="array" ref="AK84">O84 / _xlfn.XLOOKUP($AD84 &amp; "|" &amp; $H84, $AD:$AD &amp; "|" &amp; $G:$G, O:O)</f>
        <v>1</v>
      </c>
      <c r="AL84" s="13" t="e" cm="1">
        <f t="array" ref="AL84">P84 / _xlfn.XLOOKUP($AD84 &amp; "|" &amp; $H84, $AD:$AD &amp; "|" &amp; $G:$G, P:P)</f>
        <v>#DIV/0!</v>
      </c>
      <c r="AM84" s="13" cm="1">
        <f t="array" ref="AM84">Q84 / _xlfn.XLOOKUP($AD84 &amp; "|" &amp; $H84, $AD:$AD &amp; "|" &amp; $G:$G, Q:Q)</f>
        <v>1.06</v>
      </c>
      <c r="AW84" s="13" cm="1">
        <f t="array" ref="AW84">_xlfn.XLOOKUP($AD84 &amp; "|" &amp; $H84, $AD:$AD &amp; "|" &amp; $G:$G, L:L)</f>
        <v>14.31</v>
      </c>
      <c r="AZ84" t="s">
        <v>232</v>
      </c>
    </row>
    <row r="85" spans="1:52" x14ac:dyDescent="0.2">
      <c r="A85" t="s">
        <v>65</v>
      </c>
      <c r="B85" t="s">
        <v>66</v>
      </c>
      <c r="C85" t="s">
        <v>110</v>
      </c>
      <c r="D85" t="s">
        <v>55</v>
      </c>
      <c r="E85">
        <v>1</v>
      </c>
      <c r="F85" t="s">
        <v>195</v>
      </c>
      <c r="G85" s="1"/>
      <c r="H85" s="1" t="s">
        <v>50</v>
      </c>
      <c r="L85">
        <v>13.87</v>
      </c>
      <c r="O85">
        <v>100</v>
      </c>
      <c r="P85" s="6"/>
      <c r="Q85">
        <f>3.19*10^14</f>
        <v>319000000000000</v>
      </c>
      <c r="AD85" t="str">
        <f t="shared" si="7"/>
        <v>Brem (2015)|A-PRIDE 7|Ground|CFM56-7B|1|Take-off</v>
      </c>
      <c r="AE85" s="13" t="e" cm="1">
        <f t="array" ref="AE85">I85 / _xlfn.XLOOKUP($AD85 &amp; "|" &amp; $H85, $AD:$AD &amp; "|" &amp; $G:$G, I:I)</f>
        <v>#DIV/0!</v>
      </c>
      <c r="AF85" s="13" t="e" cm="1">
        <f t="array" ref="AF85">J85 / _xlfn.XLOOKUP($AD85 &amp; "|" &amp; $H85, $AD:$AD &amp; "|" &amp; $G:$G, J:J)</f>
        <v>#DIV/0!</v>
      </c>
      <c r="AG85" s="13" t="e" cm="1">
        <f t="array" ref="AG85">K85 / _xlfn.XLOOKUP($AD85 &amp; "|" &amp; $H85, $AD:$AD &amp; "|" &amp; $G:$G, K:K)</f>
        <v>#DIV/0!</v>
      </c>
      <c r="AH85" s="13" cm="1">
        <f t="array" ref="AH85">L85 / _xlfn.XLOOKUP($AD85 &amp; "|" &amp; $H85, $AD:$AD &amp; "|" &amp; $G:$G, L:L)</f>
        <v>0.96925227113906354</v>
      </c>
      <c r="AI85" s="13" t="e" cm="1">
        <f t="array" ref="AI85">M85 / _xlfn.XLOOKUP($AD85 &amp; "|" &amp; $H85, $AD:$AD &amp; "|" &amp; $G:$G, M:M)</f>
        <v>#DIV/0!</v>
      </c>
      <c r="AJ85" s="13" t="e" cm="1">
        <f t="array" ref="AJ85">N85 / _xlfn.XLOOKUP($AD85 &amp; "|" &amp; $H85, $AD:$AD &amp; "|" &amp; $G:$G, N:N)</f>
        <v>#DIV/0!</v>
      </c>
      <c r="AK85" s="13" cm="1">
        <f t="array" ref="AK85">O85 / _xlfn.XLOOKUP($AD85 &amp; "|" &amp; $H85, $AD:$AD &amp; "|" &amp; $G:$G, O:O)</f>
        <v>1</v>
      </c>
      <c r="AL85" s="13" t="e" cm="1">
        <f t="array" ref="AL85">P85 / _xlfn.XLOOKUP($AD85 &amp; "|" &amp; $H85, $AD:$AD &amp; "|" &amp; $G:$G, P:P)</f>
        <v>#DIV/0!</v>
      </c>
      <c r="AM85" s="13" cm="1">
        <f t="array" ref="AM85">Q85 / _xlfn.XLOOKUP($AD85 &amp; "|" &amp; $H85, $AD:$AD &amp; "|" &amp; $G:$G, Q:Q)</f>
        <v>1.0633333333333332</v>
      </c>
      <c r="AW85" s="13" cm="1">
        <f t="array" ref="AW85">_xlfn.XLOOKUP($AD85 &amp; "|" &amp; $H85, $AD:$AD &amp; "|" &amp; $G:$G, L:L)</f>
        <v>14.31</v>
      </c>
      <c r="AZ85" t="s">
        <v>232</v>
      </c>
    </row>
    <row r="86" spans="1:52" x14ac:dyDescent="0.2">
      <c r="A86" t="s">
        <v>65</v>
      </c>
      <c r="B86" t="s">
        <v>66</v>
      </c>
      <c r="C86" t="s">
        <v>110</v>
      </c>
      <c r="D86" t="s">
        <v>55</v>
      </c>
      <c r="E86">
        <v>1</v>
      </c>
      <c r="F86" t="s">
        <v>195</v>
      </c>
      <c r="G86" s="1"/>
      <c r="H86" s="1" t="s">
        <v>50</v>
      </c>
      <c r="L86">
        <v>13.91</v>
      </c>
      <c r="O86">
        <v>100</v>
      </c>
      <c r="P86" s="6"/>
      <c r="Q86">
        <f>3.08*10^14</f>
        <v>308000000000000</v>
      </c>
      <c r="AD86" t="str">
        <f t="shared" si="7"/>
        <v>Brem (2015)|A-PRIDE 7|Ground|CFM56-7B|1|Take-off</v>
      </c>
      <c r="AE86" s="13" t="e" cm="1">
        <f t="array" ref="AE86">I86 / _xlfn.XLOOKUP($AD86 &amp; "|" &amp; $H86, $AD:$AD &amp; "|" &amp; $G:$G, I:I)</f>
        <v>#DIV/0!</v>
      </c>
      <c r="AF86" s="13" t="e" cm="1">
        <f t="array" ref="AF86">J86 / _xlfn.XLOOKUP($AD86 &amp; "|" &amp; $H86, $AD:$AD &amp; "|" &amp; $G:$G, J:J)</f>
        <v>#DIV/0!</v>
      </c>
      <c r="AG86" s="13" t="e" cm="1">
        <f t="array" ref="AG86">K86 / _xlfn.XLOOKUP($AD86 &amp; "|" &amp; $H86, $AD:$AD &amp; "|" &amp; $G:$G, K:K)</f>
        <v>#DIV/0!</v>
      </c>
      <c r="AH86" s="13" cm="1">
        <f t="array" ref="AH86">L86 / _xlfn.XLOOKUP($AD86 &amp; "|" &amp; $H86, $AD:$AD &amp; "|" &amp; $G:$G, L:L)</f>
        <v>0.97204751921733057</v>
      </c>
      <c r="AI86" s="13" t="e" cm="1">
        <f t="array" ref="AI86">M86 / _xlfn.XLOOKUP($AD86 &amp; "|" &amp; $H86, $AD:$AD &amp; "|" &amp; $G:$G, M:M)</f>
        <v>#DIV/0!</v>
      </c>
      <c r="AJ86" s="13" t="e" cm="1">
        <f t="array" ref="AJ86">N86 / _xlfn.XLOOKUP($AD86 &amp; "|" &amp; $H86, $AD:$AD &amp; "|" &amp; $G:$G, N:N)</f>
        <v>#DIV/0!</v>
      </c>
      <c r="AK86" s="13" cm="1">
        <f t="array" ref="AK86">O86 / _xlfn.XLOOKUP($AD86 &amp; "|" &amp; $H86, $AD:$AD &amp; "|" &amp; $G:$G, O:O)</f>
        <v>1</v>
      </c>
      <c r="AL86" s="13" t="e" cm="1">
        <f t="array" ref="AL86">P86 / _xlfn.XLOOKUP($AD86 &amp; "|" &amp; $H86, $AD:$AD &amp; "|" &amp; $G:$G, P:P)</f>
        <v>#DIV/0!</v>
      </c>
      <c r="AM86" s="13" cm="1">
        <f t="array" ref="AM86">Q86 / _xlfn.XLOOKUP($AD86 &amp; "|" &amp; $H86, $AD:$AD &amp; "|" &amp; $G:$G, Q:Q)</f>
        <v>1.0266666666666666</v>
      </c>
      <c r="AW86" s="13" cm="1">
        <f t="array" ref="AW86">_xlfn.XLOOKUP($AD86 &amp; "|" &amp; $H86, $AD:$AD &amp; "|" &amp; $G:$G, L:L)</f>
        <v>14.31</v>
      </c>
      <c r="AZ86" t="s">
        <v>232</v>
      </c>
    </row>
    <row r="87" spans="1:52" x14ac:dyDescent="0.2">
      <c r="A87" t="s">
        <v>65</v>
      </c>
      <c r="B87" t="s">
        <v>66</v>
      </c>
      <c r="C87" t="s">
        <v>110</v>
      </c>
      <c r="D87" t="s">
        <v>55</v>
      </c>
      <c r="E87">
        <v>1</v>
      </c>
      <c r="F87" t="s">
        <v>195</v>
      </c>
      <c r="G87" s="1"/>
      <c r="H87" s="1" t="s">
        <v>50</v>
      </c>
      <c r="L87">
        <v>13.94</v>
      </c>
      <c r="O87">
        <v>100</v>
      </c>
      <c r="P87" s="6"/>
      <c r="Q87">
        <f>3.16*10^14</f>
        <v>316000000000000</v>
      </c>
      <c r="AD87" t="str">
        <f t="shared" si="7"/>
        <v>Brem (2015)|A-PRIDE 7|Ground|CFM56-7B|1|Take-off</v>
      </c>
      <c r="AE87" s="13" t="e" cm="1">
        <f t="array" ref="AE87">I87 / _xlfn.XLOOKUP($AD87 &amp; "|" &amp; $H87, $AD:$AD &amp; "|" &amp; $G:$G, I:I)</f>
        <v>#DIV/0!</v>
      </c>
      <c r="AF87" s="13" t="e" cm="1">
        <f t="array" ref="AF87">J87 / _xlfn.XLOOKUP($AD87 &amp; "|" &amp; $H87, $AD:$AD &amp; "|" &amp; $G:$G, J:J)</f>
        <v>#DIV/0!</v>
      </c>
      <c r="AG87" s="13" t="e" cm="1">
        <f t="array" ref="AG87">K87 / _xlfn.XLOOKUP($AD87 &amp; "|" &amp; $H87, $AD:$AD &amp; "|" &amp; $G:$G, K:K)</f>
        <v>#DIV/0!</v>
      </c>
      <c r="AH87" s="13" cm="1">
        <f t="array" ref="AH87">L87 / _xlfn.XLOOKUP($AD87 &amp; "|" &amp; $H87, $AD:$AD &amp; "|" &amp; $G:$G, L:L)</f>
        <v>0.9741439552760307</v>
      </c>
      <c r="AI87" s="13" t="e" cm="1">
        <f t="array" ref="AI87">M87 / _xlfn.XLOOKUP($AD87 &amp; "|" &amp; $H87, $AD:$AD &amp; "|" &amp; $G:$G, M:M)</f>
        <v>#DIV/0!</v>
      </c>
      <c r="AJ87" s="13" t="e" cm="1">
        <f t="array" ref="AJ87">N87 / _xlfn.XLOOKUP($AD87 &amp; "|" &amp; $H87, $AD:$AD &amp; "|" &amp; $G:$G, N:N)</f>
        <v>#DIV/0!</v>
      </c>
      <c r="AK87" s="13" cm="1">
        <f t="array" ref="AK87">O87 / _xlfn.XLOOKUP($AD87 &amp; "|" &amp; $H87, $AD:$AD &amp; "|" &amp; $G:$G, O:O)</f>
        <v>1</v>
      </c>
      <c r="AL87" s="13" t="e" cm="1">
        <f t="array" ref="AL87">P87 / _xlfn.XLOOKUP($AD87 &amp; "|" &amp; $H87, $AD:$AD &amp; "|" &amp; $G:$G, P:P)</f>
        <v>#DIV/0!</v>
      </c>
      <c r="AM87" s="13" cm="1">
        <f t="array" ref="AM87">Q87 / _xlfn.XLOOKUP($AD87 &amp; "|" &amp; $H87, $AD:$AD &amp; "|" &amp; $G:$G, Q:Q)</f>
        <v>1.0533333333333332</v>
      </c>
      <c r="AW87" s="13" cm="1">
        <f t="array" ref="AW87">_xlfn.XLOOKUP($AD87 &amp; "|" &amp; $H87, $AD:$AD &amp; "|" &amp; $G:$G, L:L)</f>
        <v>14.31</v>
      </c>
      <c r="AZ87" t="s">
        <v>232</v>
      </c>
    </row>
    <row r="88" spans="1:52" x14ac:dyDescent="0.2">
      <c r="A88" t="s">
        <v>65</v>
      </c>
      <c r="B88" t="s">
        <v>66</v>
      </c>
      <c r="C88" t="s">
        <v>110</v>
      </c>
      <c r="D88" t="s">
        <v>55</v>
      </c>
      <c r="E88">
        <v>1</v>
      </c>
      <c r="F88" t="s">
        <v>195</v>
      </c>
      <c r="G88" s="1"/>
      <c r="H88" s="1" t="s">
        <v>50</v>
      </c>
      <c r="L88">
        <v>13.97</v>
      </c>
      <c r="O88">
        <v>100</v>
      </c>
      <c r="P88" s="6"/>
      <c r="Q88">
        <f>3.05*10^14</f>
        <v>305000000000000</v>
      </c>
      <c r="AD88" t="str">
        <f t="shared" si="7"/>
        <v>Brem (2015)|A-PRIDE 7|Ground|CFM56-7B|1|Take-off</v>
      </c>
      <c r="AE88" s="13" t="e" cm="1">
        <f t="array" ref="AE88">I88 / _xlfn.XLOOKUP($AD88 &amp; "|" &amp; $H88, $AD:$AD &amp; "|" &amp; $G:$G, I:I)</f>
        <v>#DIV/0!</v>
      </c>
      <c r="AF88" s="13" t="e" cm="1">
        <f t="array" ref="AF88">J88 / _xlfn.XLOOKUP($AD88 &amp; "|" &amp; $H88, $AD:$AD &amp; "|" &amp; $G:$G, J:J)</f>
        <v>#DIV/0!</v>
      </c>
      <c r="AG88" s="13" t="e" cm="1">
        <f t="array" ref="AG88">K88 / _xlfn.XLOOKUP($AD88 &amp; "|" &amp; $H88, $AD:$AD &amp; "|" &amp; $G:$G, K:K)</f>
        <v>#DIV/0!</v>
      </c>
      <c r="AH88" s="13" cm="1">
        <f t="array" ref="AH88">L88 / _xlfn.XLOOKUP($AD88 &amp; "|" &amp; $H88, $AD:$AD &amp; "|" &amp; $G:$G, L:L)</f>
        <v>0.97624039133473095</v>
      </c>
      <c r="AI88" s="13" t="e" cm="1">
        <f t="array" ref="AI88">M88 / _xlfn.XLOOKUP($AD88 &amp; "|" &amp; $H88, $AD:$AD &amp; "|" &amp; $G:$G, M:M)</f>
        <v>#DIV/0!</v>
      </c>
      <c r="AJ88" s="13" t="e" cm="1">
        <f t="array" ref="AJ88">N88 / _xlfn.XLOOKUP($AD88 &amp; "|" &amp; $H88, $AD:$AD &amp; "|" &amp; $G:$G, N:N)</f>
        <v>#DIV/0!</v>
      </c>
      <c r="AK88" s="13" cm="1">
        <f t="array" ref="AK88">O88 / _xlfn.XLOOKUP($AD88 &amp; "|" &amp; $H88, $AD:$AD &amp; "|" &amp; $G:$G, O:O)</f>
        <v>1</v>
      </c>
      <c r="AL88" s="13" t="e" cm="1">
        <f t="array" ref="AL88">P88 / _xlfn.XLOOKUP($AD88 &amp; "|" &amp; $H88, $AD:$AD &amp; "|" &amp; $G:$G, P:P)</f>
        <v>#DIV/0!</v>
      </c>
      <c r="AM88" s="13" cm="1">
        <f t="array" ref="AM88">Q88 / _xlfn.XLOOKUP($AD88 &amp; "|" &amp; $H88, $AD:$AD &amp; "|" &amp; $G:$G, Q:Q)</f>
        <v>1.0166666666666666</v>
      </c>
      <c r="AW88" s="13" cm="1">
        <f t="array" ref="AW88">_xlfn.XLOOKUP($AD88 &amp; "|" &amp; $H88, $AD:$AD &amp; "|" &amp; $G:$G, L:L)</f>
        <v>14.31</v>
      </c>
      <c r="AZ88" t="s">
        <v>232</v>
      </c>
    </row>
    <row r="89" spans="1:52" x14ac:dyDescent="0.2">
      <c r="A89" t="s">
        <v>65</v>
      </c>
      <c r="B89" t="s">
        <v>66</v>
      </c>
      <c r="C89" t="s">
        <v>110</v>
      </c>
      <c r="D89" t="s">
        <v>55</v>
      </c>
      <c r="E89">
        <v>1</v>
      </c>
      <c r="F89" t="s">
        <v>195</v>
      </c>
      <c r="G89" s="1"/>
      <c r="H89" s="1" t="s">
        <v>50</v>
      </c>
      <c r="L89">
        <v>14.06</v>
      </c>
      <c r="O89">
        <v>100</v>
      </c>
      <c r="P89" s="6"/>
      <c r="Q89">
        <f>3.14*10^14</f>
        <v>314000000000000</v>
      </c>
      <c r="AD89" t="str">
        <f t="shared" si="7"/>
        <v>Brem (2015)|A-PRIDE 7|Ground|CFM56-7B|1|Take-off</v>
      </c>
      <c r="AE89" s="13" t="e" cm="1">
        <f t="array" ref="AE89">I89 / _xlfn.XLOOKUP($AD89 &amp; "|" &amp; $H89, $AD:$AD &amp; "|" &amp; $G:$G, I:I)</f>
        <v>#DIV/0!</v>
      </c>
      <c r="AF89" s="13" t="e" cm="1">
        <f t="array" ref="AF89">J89 / _xlfn.XLOOKUP($AD89 &amp; "|" &amp; $H89, $AD:$AD &amp; "|" &amp; $G:$G, J:J)</f>
        <v>#DIV/0!</v>
      </c>
      <c r="AG89" s="13" t="e" cm="1">
        <f t="array" ref="AG89">K89 / _xlfn.XLOOKUP($AD89 &amp; "|" &amp; $H89, $AD:$AD &amp; "|" &amp; $G:$G, K:K)</f>
        <v>#DIV/0!</v>
      </c>
      <c r="AH89" s="13" cm="1">
        <f t="array" ref="AH89">L89 / _xlfn.XLOOKUP($AD89 &amp; "|" &amp; $H89, $AD:$AD &amp; "|" &amp; $G:$G, L:L)</f>
        <v>0.98252969951083158</v>
      </c>
      <c r="AI89" s="13" t="e" cm="1">
        <f t="array" ref="AI89">M89 / _xlfn.XLOOKUP($AD89 &amp; "|" &amp; $H89, $AD:$AD &amp; "|" &amp; $G:$G, M:M)</f>
        <v>#DIV/0!</v>
      </c>
      <c r="AJ89" s="13" t="e" cm="1">
        <f t="array" ref="AJ89">N89 / _xlfn.XLOOKUP($AD89 &amp; "|" &amp; $H89, $AD:$AD &amp; "|" &amp; $G:$G, N:N)</f>
        <v>#DIV/0!</v>
      </c>
      <c r="AK89" s="13" cm="1">
        <f t="array" ref="AK89">O89 / _xlfn.XLOOKUP($AD89 &amp; "|" &amp; $H89, $AD:$AD &amp; "|" &amp; $G:$G, O:O)</f>
        <v>1</v>
      </c>
      <c r="AL89" s="13" t="e" cm="1">
        <f t="array" ref="AL89">P89 / _xlfn.XLOOKUP($AD89 &amp; "|" &amp; $H89, $AD:$AD &amp; "|" &amp; $G:$G, P:P)</f>
        <v>#DIV/0!</v>
      </c>
      <c r="AM89" s="13" cm="1">
        <f t="array" ref="AM89">Q89 / _xlfn.XLOOKUP($AD89 &amp; "|" &amp; $H89, $AD:$AD &amp; "|" &amp; $G:$G, Q:Q)</f>
        <v>1.0466666666666666</v>
      </c>
      <c r="AW89" s="13" cm="1">
        <f t="array" ref="AW89">_xlfn.XLOOKUP($AD89 &amp; "|" &amp; $H89, $AD:$AD &amp; "|" &amp; $G:$G, L:L)</f>
        <v>14.31</v>
      </c>
      <c r="AZ89" t="s">
        <v>232</v>
      </c>
    </row>
    <row r="90" spans="1:52" x14ac:dyDescent="0.2">
      <c r="A90" t="s">
        <v>65</v>
      </c>
      <c r="B90" t="s">
        <v>66</v>
      </c>
      <c r="C90" t="s">
        <v>110</v>
      </c>
      <c r="D90" t="s">
        <v>55</v>
      </c>
      <c r="E90">
        <v>1</v>
      </c>
      <c r="F90" t="s">
        <v>195</v>
      </c>
      <c r="G90" s="1" t="s">
        <v>50</v>
      </c>
      <c r="H90" s="1" t="s">
        <v>50</v>
      </c>
      <c r="L90">
        <v>14.31</v>
      </c>
      <c r="O90">
        <v>100</v>
      </c>
      <c r="P90" s="6"/>
      <c r="Q90">
        <f>3*10^14</f>
        <v>300000000000000</v>
      </c>
      <c r="AD90" t="str">
        <f t="shared" si="7"/>
        <v>Brem (2015)|A-PRIDE 7|Ground|CFM56-7B|1|Take-off</v>
      </c>
      <c r="AE90" s="13" t="e" cm="1">
        <f t="array" ref="AE90">I90 / _xlfn.XLOOKUP($AD90 &amp; "|" &amp; $H90, $AD:$AD &amp; "|" &amp; $G:$G, I:I)</f>
        <v>#DIV/0!</v>
      </c>
      <c r="AF90" s="13" t="e" cm="1">
        <f t="array" ref="AF90">J90 / _xlfn.XLOOKUP($AD90 &amp; "|" &amp; $H90, $AD:$AD &amp; "|" &amp; $G:$G, J:J)</f>
        <v>#DIV/0!</v>
      </c>
      <c r="AG90" s="13" t="e" cm="1">
        <f t="array" ref="AG90">K90 / _xlfn.XLOOKUP($AD90 &amp; "|" &amp; $H90, $AD:$AD &amp; "|" &amp; $G:$G, K:K)</f>
        <v>#DIV/0!</v>
      </c>
      <c r="AH90" s="13" cm="1">
        <f t="array" ref="AH90">L90 / _xlfn.XLOOKUP($AD90 &amp; "|" &amp; $H90, $AD:$AD &amp; "|" &amp; $G:$G, L:L)</f>
        <v>1</v>
      </c>
      <c r="AI90" s="13" t="e" cm="1">
        <f t="array" ref="AI90">M90 / _xlfn.XLOOKUP($AD90 &amp; "|" &amp; $H90, $AD:$AD &amp; "|" &amp; $G:$G, M:M)</f>
        <v>#DIV/0!</v>
      </c>
      <c r="AJ90" s="13" t="e" cm="1">
        <f t="array" ref="AJ90">N90 / _xlfn.XLOOKUP($AD90 &amp; "|" &amp; $H90, $AD:$AD &amp; "|" &amp; $G:$G, N:N)</f>
        <v>#DIV/0!</v>
      </c>
      <c r="AK90" s="13" cm="1">
        <f t="array" ref="AK90">O90 / _xlfn.XLOOKUP($AD90 &amp; "|" &amp; $H90, $AD:$AD &amp; "|" &amp; $G:$G, O:O)</f>
        <v>1</v>
      </c>
      <c r="AL90" s="13" t="e" cm="1">
        <f t="array" ref="AL90">P90 / _xlfn.XLOOKUP($AD90 &amp; "|" &amp; $H90, $AD:$AD &amp; "|" &amp; $G:$G, P:P)</f>
        <v>#DIV/0!</v>
      </c>
      <c r="AM90" s="13"/>
      <c r="AW90" s="13" cm="1">
        <f t="array" ref="AW90">_xlfn.XLOOKUP($AD90 &amp; "|" &amp; $H90, $AD:$AD &amp; "|" &amp; $G:$G, L:L)</f>
        <v>14.31</v>
      </c>
      <c r="AZ90" t="s">
        <v>232</v>
      </c>
    </row>
    <row r="91" spans="1:52" x14ac:dyDescent="0.2">
      <c r="A91" t="s">
        <v>77</v>
      </c>
      <c r="B91" t="s">
        <v>78</v>
      </c>
      <c r="C91" t="s">
        <v>110</v>
      </c>
      <c r="D91" t="s">
        <v>55</v>
      </c>
      <c r="E91">
        <v>1</v>
      </c>
      <c r="F91" t="s">
        <v>190</v>
      </c>
      <c r="G91" t="s">
        <v>79</v>
      </c>
      <c r="I91" s="8">
        <v>18.100000000000001</v>
      </c>
      <c r="J91">
        <v>0.79</v>
      </c>
      <c r="L91">
        <v>13.57</v>
      </c>
      <c r="M91">
        <v>282.89999999999998</v>
      </c>
      <c r="N91">
        <v>282.89999999999998</v>
      </c>
      <c r="O91">
        <v>3</v>
      </c>
      <c r="P91" s="9">
        <v>316.536</v>
      </c>
      <c r="Q91" s="4">
        <v>2048340000000000</v>
      </c>
      <c r="AD91" t="str">
        <f t="shared" si="7"/>
        <v>Durdina (2021)|EMPAIREX 1|Ground|CFM56-7B|1|Idle (min)</v>
      </c>
      <c r="AW91" s="13" t="e" cm="1">
        <f t="array" ref="AW91">_xlfn.XLOOKUP($AD91 &amp; "|" &amp; $H91, $AD:$AD &amp; "|" &amp; $G:$G, L:L)</f>
        <v>#N/A</v>
      </c>
      <c r="AZ91" t="s">
        <v>231</v>
      </c>
    </row>
    <row r="92" spans="1:52" x14ac:dyDescent="0.2">
      <c r="A92" t="s">
        <v>77</v>
      </c>
      <c r="B92" t="s">
        <v>78</v>
      </c>
      <c r="C92" t="s">
        <v>110</v>
      </c>
      <c r="D92" t="s">
        <v>55</v>
      </c>
      <c r="E92">
        <v>1</v>
      </c>
      <c r="F92" t="s">
        <v>191</v>
      </c>
      <c r="G92" t="s">
        <v>79</v>
      </c>
      <c r="I92" s="8">
        <v>18.100000000000001</v>
      </c>
      <c r="J92">
        <v>0.79</v>
      </c>
      <c r="L92">
        <v>13.57</v>
      </c>
      <c r="M92">
        <v>282.89999999999998</v>
      </c>
      <c r="N92">
        <v>282.89999999999998</v>
      </c>
      <c r="O92">
        <v>7</v>
      </c>
      <c r="P92" s="10">
        <f>0.12518*60*60</f>
        <v>450.64800000000002</v>
      </c>
      <c r="Q92" s="4">
        <v>301922000000000</v>
      </c>
      <c r="AD92" t="str">
        <f t="shared" si="7"/>
        <v>Durdina (2021)|EMPAIREX 1|Ground|CFM56-7B|1|Idle (approach)</v>
      </c>
      <c r="AW92" s="13" t="e" cm="1">
        <f t="array" ref="AW92">_xlfn.XLOOKUP($AD92 &amp; "|" &amp; $H92, $AD:$AD &amp; "|" &amp; $G:$G, L:L)</f>
        <v>#N/A</v>
      </c>
      <c r="AZ92" t="s">
        <v>231</v>
      </c>
    </row>
    <row r="93" spans="1:52" x14ac:dyDescent="0.2">
      <c r="A93" t="s">
        <v>77</v>
      </c>
      <c r="B93" t="s">
        <v>78</v>
      </c>
      <c r="C93" t="s">
        <v>110</v>
      </c>
      <c r="D93" t="s">
        <v>55</v>
      </c>
      <c r="E93">
        <v>1</v>
      </c>
      <c r="F93" t="s">
        <v>192</v>
      </c>
      <c r="G93" t="s">
        <v>79</v>
      </c>
      <c r="I93" s="8">
        <v>18.100000000000001</v>
      </c>
      <c r="J93">
        <v>0.79</v>
      </c>
      <c r="L93">
        <v>13.57</v>
      </c>
      <c r="M93">
        <v>282.89999999999998</v>
      </c>
      <c r="N93">
        <v>282.89999999999998</v>
      </c>
      <c r="O93">
        <v>30</v>
      </c>
      <c r="P93" s="10">
        <f>0.33939*60*60</f>
        <v>1221.8040000000001</v>
      </c>
      <c r="Q93" s="4">
        <v>458823000000000</v>
      </c>
      <c r="AD93" t="str">
        <f t="shared" si="7"/>
        <v>Durdina (2021)|EMPAIREX 1|Ground|CFM56-7B|1|Intermediate</v>
      </c>
      <c r="AW93" s="13" t="e" cm="1">
        <f t="array" ref="AW93">_xlfn.XLOOKUP($AD93 &amp; "|" &amp; $H93, $AD:$AD &amp; "|" &amp; $G:$G, L:L)</f>
        <v>#N/A</v>
      </c>
      <c r="AZ93" t="s">
        <v>231</v>
      </c>
    </row>
    <row r="94" spans="1:52" x14ac:dyDescent="0.2">
      <c r="A94" t="s">
        <v>77</v>
      </c>
      <c r="B94" t="s">
        <v>78</v>
      </c>
      <c r="C94" t="s">
        <v>110</v>
      </c>
      <c r="D94" t="s">
        <v>55</v>
      </c>
      <c r="E94">
        <v>1</v>
      </c>
      <c r="F94" t="s">
        <v>194</v>
      </c>
      <c r="G94" t="s">
        <v>79</v>
      </c>
      <c r="I94" s="8">
        <v>18.100000000000001</v>
      </c>
      <c r="J94">
        <v>0.79</v>
      </c>
      <c r="L94">
        <v>13.57</v>
      </c>
      <c r="M94">
        <v>282.89999999999998</v>
      </c>
      <c r="N94">
        <v>282.89999999999998</v>
      </c>
      <c r="O94">
        <v>50</v>
      </c>
      <c r="P94" s="9">
        <v>2096.518</v>
      </c>
      <c r="Q94" s="4">
        <v>700478000000000</v>
      </c>
      <c r="AD94" t="str">
        <f t="shared" si="7"/>
        <v>Durdina (2021)|EMPAIREX 1|Ground|CFM56-7B|1|Mid-high power</v>
      </c>
      <c r="AW94" s="13" t="e" cm="1">
        <f t="array" ref="AW94">_xlfn.XLOOKUP($AD94 &amp; "|" &amp; $H94, $AD:$AD &amp; "|" &amp; $G:$G, L:L)</f>
        <v>#N/A</v>
      </c>
      <c r="AZ94" t="s">
        <v>231</v>
      </c>
    </row>
    <row r="95" spans="1:52" x14ac:dyDescent="0.2">
      <c r="A95" t="s">
        <v>77</v>
      </c>
      <c r="B95" t="s">
        <v>78</v>
      </c>
      <c r="C95" t="s">
        <v>110</v>
      </c>
      <c r="D95" t="s">
        <v>55</v>
      </c>
      <c r="E95">
        <v>1</v>
      </c>
      <c r="F95" t="s">
        <v>196</v>
      </c>
      <c r="G95" t="s">
        <v>79</v>
      </c>
      <c r="I95" s="8">
        <v>18.100000000000001</v>
      </c>
      <c r="J95">
        <v>0.79</v>
      </c>
      <c r="L95">
        <v>13.57</v>
      </c>
      <c r="M95">
        <v>282.89999999999998</v>
      </c>
      <c r="N95">
        <v>282.89999999999998</v>
      </c>
      <c r="O95">
        <v>65</v>
      </c>
      <c r="P95" s="9">
        <v>2752.5540000000001</v>
      </c>
      <c r="Q95" s="4">
        <v>1590330000000000</v>
      </c>
      <c r="AD95" t="str">
        <f t="shared" si="7"/>
        <v>Durdina (2021)|EMPAIREX 1|Ground|CFM56-7B|1|High power</v>
      </c>
      <c r="AW95" s="13" t="e" cm="1">
        <f t="array" ref="AW95">_xlfn.XLOOKUP($AD95 &amp; "|" &amp; $H95, $AD:$AD &amp; "|" &amp; $G:$G, L:L)</f>
        <v>#N/A</v>
      </c>
      <c r="AZ95" t="s">
        <v>231</v>
      </c>
    </row>
    <row r="96" spans="1:52" x14ac:dyDescent="0.2">
      <c r="A96" t="s">
        <v>77</v>
      </c>
      <c r="B96" t="s">
        <v>78</v>
      </c>
      <c r="C96" t="s">
        <v>110</v>
      </c>
      <c r="D96" t="s">
        <v>55</v>
      </c>
      <c r="E96">
        <v>1</v>
      </c>
      <c r="F96" t="s">
        <v>187</v>
      </c>
      <c r="G96" t="s">
        <v>79</v>
      </c>
      <c r="I96" s="8">
        <v>18.100000000000001</v>
      </c>
      <c r="J96">
        <v>0.79</v>
      </c>
      <c r="L96">
        <v>13.57</v>
      </c>
      <c r="M96">
        <v>282.89999999999998</v>
      </c>
      <c r="N96">
        <v>282.89999999999998</v>
      </c>
      <c r="O96">
        <v>85</v>
      </c>
      <c r="P96" s="10">
        <f>1.00756*60*60</f>
        <v>3627.2159999999999</v>
      </c>
      <c r="Q96" s="4">
        <v>1500590000000000</v>
      </c>
      <c r="AD96" t="str">
        <f t="shared" si="7"/>
        <v>Durdina (2021)|EMPAIREX 1|Ground|CFM56-7B|1|Climb</v>
      </c>
      <c r="AW96" s="13" t="e" cm="1">
        <f t="array" ref="AW96">_xlfn.XLOOKUP($AD96 &amp; "|" &amp; $H96, $AD:$AD &amp; "|" &amp; $G:$G, L:L)</f>
        <v>#N/A</v>
      </c>
      <c r="AZ96" t="s">
        <v>231</v>
      </c>
    </row>
    <row r="97" spans="1:52" x14ac:dyDescent="0.2">
      <c r="A97" t="s">
        <v>77</v>
      </c>
      <c r="B97" t="s">
        <v>78</v>
      </c>
      <c r="C97" t="s">
        <v>110</v>
      </c>
      <c r="D97" t="s">
        <v>55</v>
      </c>
      <c r="E97">
        <v>1</v>
      </c>
      <c r="F97" t="s">
        <v>195</v>
      </c>
      <c r="G97" t="s">
        <v>79</v>
      </c>
      <c r="I97" s="8">
        <v>18.100000000000001</v>
      </c>
      <c r="J97">
        <v>0.79</v>
      </c>
      <c r="L97">
        <v>13.57</v>
      </c>
      <c r="M97">
        <v>282.89999999999998</v>
      </c>
      <c r="N97">
        <v>282.89999999999998</v>
      </c>
      <c r="O97">
        <v>100</v>
      </c>
      <c r="P97" s="10">
        <f>1.23901*60*60</f>
        <v>4460.4359999999997</v>
      </c>
      <c r="Q97" s="4">
        <v>1233600000000000</v>
      </c>
      <c r="AD97" t="str">
        <f t="shared" si="7"/>
        <v>Durdina (2021)|EMPAIREX 1|Ground|CFM56-7B|1|Take-off</v>
      </c>
      <c r="AW97" s="13" t="e" cm="1">
        <f t="array" ref="AW97">_xlfn.XLOOKUP($AD97 &amp; "|" &amp; $H97, $AD:$AD &amp; "|" &amp; $G:$G, L:L)</f>
        <v>#N/A</v>
      </c>
      <c r="AZ97" t="s">
        <v>231</v>
      </c>
    </row>
    <row r="98" spans="1:52" x14ac:dyDescent="0.2">
      <c r="A98" t="s">
        <v>77</v>
      </c>
      <c r="B98" t="s">
        <v>78</v>
      </c>
      <c r="C98" t="s">
        <v>110</v>
      </c>
      <c r="D98" t="s">
        <v>55</v>
      </c>
      <c r="E98">
        <v>1</v>
      </c>
      <c r="F98" t="s">
        <v>190</v>
      </c>
      <c r="G98" t="s">
        <v>80</v>
      </c>
      <c r="H98" t="s">
        <v>79</v>
      </c>
      <c r="I98" s="8">
        <v>11.3</v>
      </c>
      <c r="J98">
        <v>0.53</v>
      </c>
      <c r="L98">
        <v>14.05</v>
      </c>
      <c r="M98">
        <v>282.89999999999998</v>
      </c>
      <c r="N98">
        <v>282.89999999999998</v>
      </c>
      <c r="O98">
        <v>3</v>
      </c>
      <c r="P98" s="9">
        <v>316.536</v>
      </c>
      <c r="Q98" s="4">
        <v>772116000000000</v>
      </c>
      <c r="AD98" t="str">
        <f t="shared" si="7"/>
        <v>Durdina (2021)|EMPAIREX 1|Ground|CFM56-7B|1|Idle (min)</v>
      </c>
      <c r="AE98" s="13" cm="1">
        <f t="array" ref="AE98">I98 / _xlfn.XLOOKUP($AD98 &amp; "|" &amp; $H98, $AD:$AD &amp; "|" &amp; $G:$G, I:I)</f>
        <v>0.62430939226519333</v>
      </c>
      <c r="AF98" s="13" cm="1">
        <f t="array" ref="AF98">J98 / _xlfn.XLOOKUP($AD98 &amp; "|" &amp; $H98, $AD:$AD &amp; "|" &amp; $G:$G, J:J)</f>
        <v>0.67088607594936711</v>
      </c>
      <c r="AG98" s="13" t="e" cm="1">
        <f t="array" ref="AG98">K98 / _xlfn.XLOOKUP($AD98 &amp; "|" &amp; $H98, $AD:$AD &amp; "|" &amp; $G:$G, K:K)</f>
        <v>#DIV/0!</v>
      </c>
      <c r="AH98" s="13" cm="1">
        <f t="array" ref="AH98">L98 / _xlfn.XLOOKUP($AD98 &amp; "|" &amp; $H98, $AD:$AD &amp; "|" &amp; $G:$G, L:L)</f>
        <v>1.0353721444362565</v>
      </c>
      <c r="AI98" s="13" cm="1">
        <f t="array" ref="AI98">M98 / _xlfn.XLOOKUP($AD98 &amp; "|" &amp; $H98, $AD:$AD &amp; "|" &amp; $G:$G, M:M)</f>
        <v>1</v>
      </c>
      <c r="AJ98" s="13" cm="1">
        <f t="array" ref="AJ98">N98 / _xlfn.XLOOKUP($AD98 &amp; "|" &amp; $H98, $AD:$AD &amp; "|" &amp; $G:$G, N:N)</f>
        <v>1</v>
      </c>
      <c r="AK98" s="13" cm="1">
        <f t="array" ref="AK98">O98 / _xlfn.XLOOKUP($AD98 &amp; "|" &amp; $H98, $AD:$AD &amp; "|" &amp; $G:$G, O:O)</f>
        <v>1</v>
      </c>
      <c r="AL98" s="13" cm="1">
        <f t="array" ref="AL98">P98 / _xlfn.XLOOKUP($AD98 &amp; "|" &amp; $H98, $AD:$AD &amp; "|" &amp; $G:$G, P:P)</f>
        <v>1</v>
      </c>
      <c r="AM98" s="13" cm="1">
        <f t="array" ref="AM98">Q98 / _xlfn.XLOOKUP($AD98 &amp; "|" &amp; $H98, $AD:$AD &amp; "|" &amp; $G:$G, Q:Q)</f>
        <v>0.37694718650224085</v>
      </c>
      <c r="AU98" s="13"/>
      <c r="AW98" s="13" cm="1">
        <f t="array" ref="AW98">_xlfn.XLOOKUP($AD98 &amp; "|" &amp; $H98, $AD:$AD &amp; "|" &amp; $G:$G, L:L)</f>
        <v>13.57</v>
      </c>
      <c r="AY98" s="13"/>
      <c r="AZ98" t="s">
        <v>231</v>
      </c>
    </row>
    <row r="99" spans="1:52" x14ac:dyDescent="0.2">
      <c r="A99" t="s">
        <v>77</v>
      </c>
      <c r="B99" t="s">
        <v>78</v>
      </c>
      <c r="C99" t="s">
        <v>110</v>
      </c>
      <c r="D99" t="s">
        <v>55</v>
      </c>
      <c r="E99">
        <v>1</v>
      </c>
      <c r="F99" t="s">
        <v>191</v>
      </c>
      <c r="G99" t="s">
        <v>80</v>
      </c>
      <c r="H99" t="s">
        <v>79</v>
      </c>
      <c r="I99" s="8">
        <v>11.3</v>
      </c>
      <c r="J99">
        <v>0.53</v>
      </c>
      <c r="L99">
        <v>14.05</v>
      </c>
      <c r="M99">
        <v>282.89999999999998</v>
      </c>
      <c r="N99">
        <v>282.89999999999998</v>
      </c>
      <c r="O99">
        <v>7</v>
      </c>
      <c r="P99" s="10">
        <f>0.12518*60*60</f>
        <v>450.64800000000002</v>
      </c>
      <c r="Q99" s="4">
        <v>120377000000000</v>
      </c>
      <c r="AD99" t="str">
        <f t="shared" si="7"/>
        <v>Durdina (2021)|EMPAIREX 1|Ground|CFM56-7B|1|Idle (approach)</v>
      </c>
      <c r="AE99" s="13" cm="1">
        <f t="array" ref="AE99">I99 / _xlfn.XLOOKUP($AD99 &amp; "|" &amp; $H99, $AD:$AD &amp; "|" &amp; $G:$G, I:I)</f>
        <v>0.62430939226519333</v>
      </c>
      <c r="AF99" s="13" cm="1">
        <f t="array" ref="AF99">J99 / _xlfn.XLOOKUP($AD99 &amp; "|" &amp; $H99, $AD:$AD &amp; "|" &amp; $G:$G, J:J)</f>
        <v>0.67088607594936711</v>
      </c>
      <c r="AG99" s="13" t="e" cm="1">
        <f t="array" ref="AG99">K99 / _xlfn.XLOOKUP($AD99 &amp; "|" &amp; $H99, $AD:$AD &amp; "|" &amp; $G:$G, K:K)</f>
        <v>#DIV/0!</v>
      </c>
      <c r="AH99" s="13" cm="1">
        <f t="array" ref="AH99">L99 / _xlfn.XLOOKUP($AD99 &amp; "|" &amp; $H99, $AD:$AD &amp; "|" &amp; $G:$G, L:L)</f>
        <v>1.0353721444362565</v>
      </c>
      <c r="AI99" s="13" cm="1">
        <f t="array" ref="AI99">M99 / _xlfn.XLOOKUP($AD99 &amp; "|" &amp; $H99, $AD:$AD &amp; "|" &amp; $G:$G, M:M)</f>
        <v>1</v>
      </c>
      <c r="AJ99" s="13" cm="1">
        <f t="array" ref="AJ99">N99 / _xlfn.XLOOKUP($AD99 &amp; "|" &amp; $H99, $AD:$AD &amp; "|" &amp; $G:$G, N:N)</f>
        <v>1</v>
      </c>
      <c r="AK99" s="13" cm="1">
        <f t="array" ref="AK99">O99 / _xlfn.XLOOKUP($AD99 &amp; "|" &amp; $H99, $AD:$AD &amp; "|" &amp; $G:$G, O:O)</f>
        <v>1</v>
      </c>
      <c r="AL99" s="13" cm="1">
        <f t="array" ref="AL99">P99 / _xlfn.XLOOKUP($AD99 &amp; "|" &amp; $H99, $AD:$AD &amp; "|" &amp; $G:$G, P:P)</f>
        <v>1</v>
      </c>
      <c r="AM99" s="13" cm="1">
        <f t="array" ref="AM99">Q99 / _xlfn.XLOOKUP($AD99 &amp; "|" &amp; $H99, $AD:$AD &amp; "|" &amp; $G:$G, Q:Q)</f>
        <v>0.39870231384264809</v>
      </c>
      <c r="AU99" s="13"/>
      <c r="AW99" s="13" cm="1">
        <f t="array" ref="AW99">_xlfn.XLOOKUP($AD99 &amp; "|" &amp; $H99, $AD:$AD &amp; "|" &amp; $G:$G, L:L)</f>
        <v>13.57</v>
      </c>
      <c r="AY99" s="13"/>
      <c r="AZ99" t="s">
        <v>231</v>
      </c>
    </row>
    <row r="100" spans="1:52" x14ac:dyDescent="0.2">
      <c r="A100" t="s">
        <v>77</v>
      </c>
      <c r="B100" t="s">
        <v>78</v>
      </c>
      <c r="C100" t="s">
        <v>110</v>
      </c>
      <c r="D100" t="s">
        <v>55</v>
      </c>
      <c r="E100">
        <v>1</v>
      </c>
      <c r="F100" t="s">
        <v>192</v>
      </c>
      <c r="G100" t="s">
        <v>80</v>
      </c>
      <c r="H100" t="s">
        <v>79</v>
      </c>
      <c r="I100" s="8">
        <v>11.3</v>
      </c>
      <c r="J100">
        <v>0.53</v>
      </c>
      <c r="L100">
        <v>14.05</v>
      </c>
      <c r="M100">
        <v>282.89999999999998</v>
      </c>
      <c r="N100">
        <v>282.89999999999998</v>
      </c>
      <c r="O100">
        <v>30</v>
      </c>
      <c r="P100" s="10">
        <f>0.33939*60*60</f>
        <v>1221.8040000000001</v>
      </c>
      <c r="Q100" s="4">
        <v>311177000000000</v>
      </c>
      <c r="AD100" t="str">
        <f t="shared" si="7"/>
        <v>Durdina (2021)|EMPAIREX 1|Ground|CFM56-7B|1|Intermediate</v>
      </c>
      <c r="AE100" s="13" cm="1">
        <f t="array" ref="AE100">I100 / _xlfn.XLOOKUP($AD100 &amp; "|" &amp; $H100, $AD:$AD &amp; "|" &amp; $G:$G, I:I)</f>
        <v>0.62430939226519333</v>
      </c>
      <c r="AF100" s="13" cm="1">
        <f t="array" ref="AF100">J100 / _xlfn.XLOOKUP($AD100 &amp; "|" &amp; $H100, $AD:$AD &amp; "|" &amp; $G:$G, J:J)</f>
        <v>0.67088607594936711</v>
      </c>
      <c r="AG100" s="13" t="e" cm="1">
        <f t="array" ref="AG100">K100 / _xlfn.XLOOKUP($AD100 &amp; "|" &amp; $H100, $AD:$AD &amp; "|" &amp; $G:$G, K:K)</f>
        <v>#DIV/0!</v>
      </c>
      <c r="AH100" s="13" cm="1">
        <f t="array" ref="AH100">L100 / _xlfn.XLOOKUP($AD100 &amp; "|" &amp; $H100, $AD:$AD &amp; "|" &amp; $G:$G, L:L)</f>
        <v>1.0353721444362565</v>
      </c>
      <c r="AI100" s="13" cm="1">
        <f t="array" ref="AI100">M100 / _xlfn.XLOOKUP($AD100 &amp; "|" &amp; $H100, $AD:$AD &amp; "|" &amp; $G:$G, M:M)</f>
        <v>1</v>
      </c>
      <c r="AJ100" s="13" cm="1">
        <f t="array" ref="AJ100">N100 / _xlfn.XLOOKUP($AD100 &amp; "|" &amp; $H100, $AD:$AD &amp; "|" &amp; $G:$G, N:N)</f>
        <v>1</v>
      </c>
      <c r="AK100" s="13" cm="1">
        <f t="array" ref="AK100">O100 / _xlfn.XLOOKUP($AD100 &amp; "|" &amp; $H100, $AD:$AD &amp; "|" &amp; $G:$G, O:O)</f>
        <v>1</v>
      </c>
      <c r="AL100" s="13" cm="1">
        <f t="array" ref="AL100">P100 / _xlfn.XLOOKUP($AD100 &amp; "|" &amp; $H100, $AD:$AD &amp; "|" &amp; $G:$G, P:P)</f>
        <v>1</v>
      </c>
      <c r="AM100" s="13" cm="1">
        <f t="array" ref="AM100">Q100 / _xlfn.XLOOKUP($AD100 &amp; "|" &amp; $H100, $AD:$AD &amp; "|" &amp; $G:$G, Q:Q)</f>
        <v>0.67820706459789504</v>
      </c>
      <c r="AU100" s="13"/>
      <c r="AW100" s="13" cm="1">
        <f t="array" ref="AW100">_xlfn.XLOOKUP($AD100 &amp; "|" &amp; $H100, $AD:$AD &amp; "|" &amp; $G:$G, L:L)</f>
        <v>13.57</v>
      </c>
      <c r="AY100" s="13"/>
      <c r="AZ100" t="s">
        <v>231</v>
      </c>
    </row>
    <row r="101" spans="1:52" x14ac:dyDescent="0.2">
      <c r="A101" t="s">
        <v>77</v>
      </c>
      <c r="B101" t="s">
        <v>78</v>
      </c>
      <c r="C101" t="s">
        <v>110</v>
      </c>
      <c r="D101" t="s">
        <v>55</v>
      </c>
      <c r="E101">
        <v>1</v>
      </c>
      <c r="F101" t="s">
        <v>194</v>
      </c>
      <c r="G101" t="s">
        <v>80</v>
      </c>
      <c r="H101" t="s">
        <v>79</v>
      </c>
      <c r="I101" s="8">
        <v>11.3</v>
      </c>
      <c r="J101">
        <v>0.53</v>
      </c>
      <c r="L101">
        <v>14.05</v>
      </c>
      <c r="M101">
        <v>282.89999999999998</v>
      </c>
      <c r="N101">
        <v>282.89999999999998</v>
      </c>
      <c r="O101">
        <v>50</v>
      </c>
      <c r="P101" s="9">
        <v>2096.518</v>
      </c>
      <c r="Q101" s="4">
        <v>557079000000000</v>
      </c>
      <c r="AD101" t="str">
        <f t="shared" si="7"/>
        <v>Durdina (2021)|EMPAIREX 1|Ground|CFM56-7B|1|Mid-high power</v>
      </c>
      <c r="AE101" s="13" cm="1">
        <f t="array" ref="AE101">I101 / _xlfn.XLOOKUP($AD101 &amp; "|" &amp; $H101, $AD:$AD &amp; "|" &amp; $G:$G, I:I)</f>
        <v>0.62430939226519333</v>
      </c>
      <c r="AF101" s="13" cm="1">
        <f t="array" ref="AF101">J101 / _xlfn.XLOOKUP($AD101 &amp; "|" &amp; $H101, $AD:$AD &amp; "|" &amp; $G:$G, J:J)</f>
        <v>0.67088607594936711</v>
      </c>
      <c r="AG101" s="13" t="e" cm="1">
        <f t="array" ref="AG101">K101 / _xlfn.XLOOKUP($AD101 &amp; "|" &amp; $H101, $AD:$AD &amp; "|" &amp; $G:$G, K:K)</f>
        <v>#DIV/0!</v>
      </c>
      <c r="AH101" s="13" cm="1">
        <f t="array" ref="AH101">L101 / _xlfn.XLOOKUP($AD101 &amp; "|" &amp; $H101, $AD:$AD &amp; "|" &amp; $G:$G, L:L)</f>
        <v>1.0353721444362565</v>
      </c>
      <c r="AI101" s="13" cm="1">
        <f t="array" ref="AI101">M101 / _xlfn.XLOOKUP($AD101 &amp; "|" &amp; $H101, $AD:$AD &amp; "|" &amp; $G:$G, M:M)</f>
        <v>1</v>
      </c>
      <c r="AJ101" s="13" cm="1">
        <f t="array" ref="AJ101">N101 / _xlfn.XLOOKUP($AD101 &amp; "|" &amp; $H101, $AD:$AD &amp; "|" &amp; $G:$G, N:N)</f>
        <v>1</v>
      </c>
      <c r="AK101" s="13" cm="1">
        <f t="array" ref="AK101">O101 / _xlfn.XLOOKUP($AD101 &amp; "|" &amp; $H101, $AD:$AD &amp; "|" &amp; $G:$G, O:O)</f>
        <v>1</v>
      </c>
      <c r="AL101" s="13" cm="1">
        <f t="array" ref="AL101">P101 / _xlfn.XLOOKUP($AD101 &amp; "|" &amp; $H101, $AD:$AD &amp; "|" &amp; $G:$G, P:P)</f>
        <v>1</v>
      </c>
      <c r="AM101" s="13" cm="1">
        <f t="array" ref="AM101">Q101 / _xlfn.XLOOKUP($AD101 &amp; "|" &amp; $H101, $AD:$AD &amp; "|" &amp; $G:$G, Q:Q)</f>
        <v>0.79528407744425944</v>
      </c>
      <c r="AU101" s="13"/>
      <c r="AW101" s="13" cm="1">
        <f t="array" ref="AW101">_xlfn.XLOOKUP($AD101 &amp; "|" &amp; $H101, $AD:$AD &amp; "|" &amp; $G:$G, L:L)</f>
        <v>13.57</v>
      </c>
      <c r="AY101" s="13"/>
      <c r="AZ101" t="s">
        <v>231</v>
      </c>
    </row>
    <row r="102" spans="1:52" x14ac:dyDescent="0.2">
      <c r="A102" t="s">
        <v>77</v>
      </c>
      <c r="B102" t="s">
        <v>78</v>
      </c>
      <c r="C102" t="s">
        <v>110</v>
      </c>
      <c r="D102" t="s">
        <v>55</v>
      </c>
      <c r="E102">
        <v>1</v>
      </c>
      <c r="F102" t="s">
        <v>196</v>
      </c>
      <c r="G102" t="s">
        <v>80</v>
      </c>
      <c r="H102" t="s">
        <v>79</v>
      </c>
      <c r="I102" s="8">
        <v>11.3</v>
      </c>
      <c r="J102">
        <v>0.53</v>
      </c>
      <c r="L102">
        <v>14.05</v>
      </c>
      <c r="M102">
        <v>282.89999999999998</v>
      </c>
      <c r="N102">
        <v>282.89999999999998</v>
      </c>
      <c r="O102">
        <v>65</v>
      </c>
      <c r="P102" s="9">
        <v>2752.5540000000001</v>
      </c>
      <c r="Q102" s="4">
        <v>1398980000000000</v>
      </c>
      <c r="AD102" t="str">
        <f t="shared" si="7"/>
        <v>Durdina (2021)|EMPAIREX 1|Ground|CFM56-7B|1|High power</v>
      </c>
      <c r="AE102" s="13" cm="1">
        <f t="array" ref="AE102">I102 / _xlfn.XLOOKUP($AD102 &amp; "|" &amp; $H102, $AD:$AD &amp; "|" &amp; $G:$G, I:I)</f>
        <v>0.62430939226519333</v>
      </c>
      <c r="AF102" s="13" cm="1">
        <f t="array" ref="AF102">J102 / _xlfn.XLOOKUP($AD102 &amp; "|" &amp; $H102, $AD:$AD &amp; "|" &amp; $G:$G, J:J)</f>
        <v>0.67088607594936711</v>
      </c>
      <c r="AG102" s="13" t="e" cm="1">
        <f t="array" ref="AG102">K102 / _xlfn.XLOOKUP($AD102 &amp; "|" &amp; $H102, $AD:$AD &amp; "|" &amp; $G:$G, K:K)</f>
        <v>#DIV/0!</v>
      </c>
      <c r="AH102" s="13" cm="1">
        <f t="array" ref="AH102">L102 / _xlfn.XLOOKUP($AD102 &amp; "|" &amp; $H102, $AD:$AD &amp; "|" &amp; $G:$G, L:L)</f>
        <v>1.0353721444362565</v>
      </c>
      <c r="AI102" s="13" cm="1">
        <f t="array" ref="AI102">M102 / _xlfn.XLOOKUP($AD102 &amp; "|" &amp; $H102, $AD:$AD &amp; "|" &amp; $G:$G, M:M)</f>
        <v>1</v>
      </c>
      <c r="AJ102" s="13" cm="1">
        <f t="array" ref="AJ102">N102 / _xlfn.XLOOKUP($AD102 &amp; "|" &amp; $H102, $AD:$AD &amp; "|" &amp; $G:$G, N:N)</f>
        <v>1</v>
      </c>
      <c r="AK102" s="13" cm="1">
        <f t="array" ref="AK102">O102 / _xlfn.XLOOKUP($AD102 &amp; "|" &amp; $H102, $AD:$AD &amp; "|" &amp; $G:$G, O:O)</f>
        <v>1</v>
      </c>
      <c r="AL102" s="13" cm="1">
        <f t="array" ref="AL102">P102 / _xlfn.XLOOKUP($AD102 &amp; "|" &amp; $H102, $AD:$AD &amp; "|" &amp; $G:$G, P:P)</f>
        <v>1</v>
      </c>
      <c r="AM102" s="13" cm="1">
        <f t="array" ref="AM102">Q102 / _xlfn.XLOOKUP($AD102 &amp; "|" &amp; $H102, $AD:$AD &amp; "|" &amp; $G:$G, Q:Q)</f>
        <v>0.87967906032081389</v>
      </c>
      <c r="AU102" s="13"/>
      <c r="AW102" s="13" cm="1">
        <f t="array" ref="AW102">_xlfn.XLOOKUP($AD102 &amp; "|" &amp; $H102, $AD:$AD &amp; "|" &amp; $G:$G, L:L)</f>
        <v>13.57</v>
      </c>
      <c r="AY102" s="13"/>
      <c r="AZ102" t="s">
        <v>231</v>
      </c>
    </row>
    <row r="103" spans="1:52" x14ac:dyDescent="0.2">
      <c r="A103" t="s">
        <v>77</v>
      </c>
      <c r="B103" t="s">
        <v>78</v>
      </c>
      <c r="C103" t="s">
        <v>110</v>
      </c>
      <c r="D103" t="s">
        <v>55</v>
      </c>
      <c r="E103">
        <v>1</v>
      </c>
      <c r="F103" t="s">
        <v>187</v>
      </c>
      <c r="G103" t="s">
        <v>80</v>
      </c>
      <c r="H103" t="s">
        <v>79</v>
      </c>
      <c r="I103" s="8">
        <v>11.3</v>
      </c>
      <c r="J103">
        <v>0.53</v>
      </c>
      <c r="L103">
        <v>14.05</v>
      </c>
      <c r="M103">
        <v>282.89999999999998</v>
      </c>
      <c r="N103">
        <v>282.89999999999998</v>
      </c>
      <c r="O103">
        <v>85</v>
      </c>
      <c r="P103" s="10">
        <f>1.00756*60*60</f>
        <v>3627.2159999999999</v>
      </c>
      <c r="Q103" s="4">
        <v>1344380000000000</v>
      </c>
      <c r="AD103" t="str">
        <f t="shared" si="7"/>
        <v>Durdina (2021)|EMPAIREX 1|Ground|CFM56-7B|1|Climb</v>
      </c>
      <c r="AE103" s="13" cm="1">
        <f t="array" ref="AE103">I103 / _xlfn.XLOOKUP($AD103 &amp; "|" &amp; $H103, $AD:$AD &amp; "|" &amp; $G:$G, I:I)</f>
        <v>0.62430939226519333</v>
      </c>
      <c r="AF103" s="13" cm="1">
        <f t="array" ref="AF103">J103 / _xlfn.XLOOKUP($AD103 &amp; "|" &amp; $H103, $AD:$AD &amp; "|" &amp; $G:$G, J:J)</f>
        <v>0.67088607594936711</v>
      </c>
      <c r="AG103" s="13" t="e" cm="1">
        <f t="array" ref="AG103">K103 / _xlfn.XLOOKUP($AD103 &amp; "|" &amp; $H103, $AD:$AD &amp; "|" &amp; $G:$G, K:K)</f>
        <v>#DIV/0!</v>
      </c>
      <c r="AH103" s="13" cm="1">
        <f t="array" ref="AH103">L103 / _xlfn.XLOOKUP($AD103 &amp; "|" &amp; $H103, $AD:$AD &amp; "|" &amp; $G:$G, L:L)</f>
        <v>1.0353721444362565</v>
      </c>
      <c r="AI103" s="13" cm="1">
        <f t="array" ref="AI103">M103 / _xlfn.XLOOKUP($AD103 &amp; "|" &amp; $H103, $AD:$AD &amp; "|" &amp; $G:$G, M:M)</f>
        <v>1</v>
      </c>
      <c r="AJ103" s="13" cm="1">
        <f t="array" ref="AJ103">N103 / _xlfn.XLOOKUP($AD103 &amp; "|" &amp; $H103, $AD:$AD &amp; "|" &amp; $G:$G, N:N)</f>
        <v>1</v>
      </c>
      <c r="AK103" s="13" cm="1">
        <f t="array" ref="AK103">O103 / _xlfn.XLOOKUP($AD103 &amp; "|" &amp; $H103, $AD:$AD &amp; "|" &amp; $G:$G, O:O)</f>
        <v>1</v>
      </c>
      <c r="AL103" s="13" cm="1">
        <f t="array" ref="AL103">P103 / _xlfn.XLOOKUP($AD103 &amp; "|" &amp; $H103, $AD:$AD &amp; "|" &amp; $G:$G, P:P)</f>
        <v>1</v>
      </c>
      <c r="AM103" s="13" cm="1">
        <f t="array" ref="AM103">Q103 / _xlfn.XLOOKUP($AD103 &amp; "|" &amp; $H103, $AD:$AD &amp; "|" &amp; $G:$G, Q:Q)</f>
        <v>0.895900945628053</v>
      </c>
      <c r="AU103" s="13"/>
      <c r="AW103" s="13" cm="1">
        <f t="array" ref="AW103">_xlfn.XLOOKUP($AD103 &amp; "|" &amp; $H103, $AD:$AD &amp; "|" &amp; $G:$G, L:L)</f>
        <v>13.57</v>
      </c>
      <c r="AY103" s="13"/>
      <c r="AZ103" t="s">
        <v>231</v>
      </c>
    </row>
    <row r="104" spans="1:52" x14ac:dyDescent="0.2">
      <c r="A104" t="s">
        <v>77</v>
      </c>
      <c r="B104" t="s">
        <v>78</v>
      </c>
      <c r="C104" t="s">
        <v>110</v>
      </c>
      <c r="D104" t="s">
        <v>55</v>
      </c>
      <c r="E104">
        <v>1</v>
      </c>
      <c r="F104" t="s">
        <v>195</v>
      </c>
      <c r="G104" t="s">
        <v>80</v>
      </c>
      <c r="H104" t="s">
        <v>79</v>
      </c>
      <c r="I104" s="8">
        <v>11.3</v>
      </c>
      <c r="J104">
        <v>0.53</v>
      </c>
      <c r="L104">
        <v>14.05</v>
      </c>
      <c r="M104">
        <v>282.89999999999998</v>
      </c>
      <c r="N104">
        <v>282.89999999999998</v>
      </c>
      <c r="O104">
        <v>100</v>
      </c>
      <c r="P104">
        <f>1.23901*60*60</f>
        <v>4460.4359999999997</v>
      </c>
      <c r="Q104" s="4">
        <v>1149430000000000</v>
      </c>
      <c r="AD104" t="str">
        <f t="shared" si="7"/>
        <v>Durdina (2021)|EMPAIREX 1|Ground|CFM56-7B|1|Take-off</v>
      </c>
      <c r="AE104" s="13" cm="1">
        <f t="array" ref="AE104">I104 / _xlfn.XLOOKUP($AD104 &amp; "|" &amp; $H104, $AD:$AD &amp; "|" &amp; $G:$G, I:I)</f>
        <v>0.62430939226519333</v>
      </c>
      <c r="AF104" s="13" cm="1">
        <f t="array" ref="AF104">J104 / _xlfn.XLOOKUP($AD104 &amp; "|" &amp; $H104, $AD:$AD &amp; "|" &amp; $G:$G, J:J)</f>
        <v>0.67088607594936711</v>
      </c>
      <c r="AG104" s="13" t="e" cm="1">
        <f t="array" ref="AG104">K104 / _xlfn.XLOOKUP($AD104 &amp; "|" &amp; $H104, $AD:$AD &amp; "|" &amp; $G:$G, K:K)</f>
        <v>#DIV/0!</v>
      </c>
      <c r="AH104" s="13" cm="1">
        <f t="array" ref="AH104">L104 / _xlfn.XLOOKUP($AD104 &amp; "|" &amp; $H104, $AD:$AD &amp; "|" &amp; $G:$G, L:L)</f>
        <v>1.0353721444362565</v>
      </c>
      <c r="AI104" s="13" cm="1">
        <f t="array" ref="AI104">M104 / _xlfn.XLOOKUP($AD104 &amp; "|" &amp; $H104, $AD:$AD &amp; "|" &amp; $G:$G, M:M)</f>
        <v>1</v>
      </c>
      <c r="AJ104" s="13" cm="1">
        <f t="array" ref="AJ104">N104 / _xlfn.XLOOKUP($AD104 &amp; "|" &amp; $H104, $AD:$AD &amp; "|" &amp; $G:$G, N:N)</f>
        <v>1</v>
      </c>
      <c r="AK104" s="13" cm="1">
        <f t="array" ref="AK104">O104 / _xlfn.XLOOKUP($AD104 &amp; "|" &amp; $H104, $AD:$AD &amp; "|" &amp; $G:$G, O:O)</f>
        <v>1</v>
      </c>
      <c r="AL104" s="13" cm="1">
        <f t="array" ref="AL104">P104 / _xlfn.XLOOKUP($AD104 &amp; "|" &amp; $H104, $AD:$AD &amp; "|" &amp; $G:$G, P:P)</f>
        <v>1</v>
      </c>
      <c r="AM104" s="13" cm="1">
        <f t="array" ref="AM104">Q104 / _xlfn.XLOOKUP($AD104 &amp; "|" &amp; $H104, $AD:$AD &amp; "|" &amp; $G:$G, Q:Q)</f>
        <v>0.9317688067444877</v>
      </c>
      <c r="AU104" s="13"/>
      <c r="AW104" s="13" cm="1">
        <f t="array" ref="AW104">_xlfn.XLOOKUP($AD104 &amp; "|" &amp; $H104, $AD:$AD &amp; "|" &amp; $G:$G, L:L)</f>
        <v>13.57</v>
      </c>
      <c r="AY104" s="13"/>
      <c r="AZ104" t="s">
        <v>231</v>
      </c>
    </row>
    <row r="105" spans="1:52" x14ac:dyDescent="0.2">
      <c r="A105" t="s">
        <v>82</v>
      </c>
      <c r="B105" t="s">
        <v>83</v>
      </c>
      <c r="C105" t="s">
        <v>110</v>
      </c>
      <c r="D105" t="s">
        <v>86</v>
      </c>
      <c r="E105">
        <v>1</v>
      </c>
      <c r="F105" t="s">
        <v>189</v>
      </c>
      <c r="G105" t="s">
        <v>87</v>
      </c>
      <c r="I105">
        <v>21.98</v>
      </c>
      <c r="J105">
        <v>2.2599999999999998</v>
      </c>
      <c r="K105" s="7"/>
      <c r="L105">
        <v>13.65</v>
      </c>
      <c r="O105">
        <v>7</v>
      </c>
      <c r="Q105" s="4"/>
      <c r="AD105" t="str">
        <f t="shared" si="7"/>
        <v>Snijders (2011)|Delft|Ground|JT15D-4|1|Idle</v>
      </c>
      <c r="AW105" s="13" t="e" cm="1">
        <f t="array" ref="AW105">_xlfn.XLOOKUP($AD105 &amp; "|" &amp; $H105, $AD:$AD &amp; "|" &amp; $G:$G, L:L)</f>
        <v>#N/A</v>
      </c>
      <c r="AZ105" t="s">
        <v>233</v>
      </c>
    </row>
    <row r="106" spans="1:52" x14ac:dyDescent="0.2">
      <c r="A106" t="s">
        <v>82</v>
      </c>
      <c r="B106" t="s">
        <v>83</v>
      </c>
      <c r="C106" t="s">
        <v>110</v>
      </c>
      <c r="D106" t="s">
        <v>86</v>
      </c>
      <c r="E106">
        <v>1</v>
      </c>
      <c r="F106" t="s">
        <v>189</v>
      </c>
      <c r="G106" t="s">
        <v>88</v>
      </c>
      <c r="H106" t="s">
        <v>87</v>
      </c>
      <c r="I106">
        <v>8.3000000000000007</v>
      </c>
      <c r="J106" s="7"/>
      <c r="K106" s="7"/>
      <c r="L106">
        <f>13.65*0.1 + 15.46*0.9</f>
        <v>15.279000000000002</v>
      </c>
      <c r="O106">
        <v>7</v>
      </c>
      <c r="AD106" t="str">
        <f t="shared" si="7"/>
        <v>Snijders (2011)|Delft|Ground|JT15D-4|1|Idle</v>
      </c>
      <c r="AE106" s="13" cm="1">
        <f t="array" ref="AE106">I106 / _xlfn.XLOOKUP($AD106 &amp; "|" &amp; $H106, $AD:$AD &amp; "|" &amp; $G:$G, I:I)</f>
        <v>0.37761601455868976</v>
      </c>
      <c r="AF106" s="13" cm="1">
        <f t="array" ref="AF106">J106 / _xlfn.XLOOKUP($AD106 &amp; "|" &amp; $H106, $AD:$AD &amp; "|" &amp; $G:$G, J:J)</f>
        <v>0</v>
      </c>
      <c r="AG106" s="13" t="e" cm="1">
        <f t="array" ref="AG106">K106 / _xlfn.XLOOKUP($AD106 &amp; "|" &amp; $H106, $AD:$AD &amp; "|" &amp; $G:$G, K:K)</f>
        <v>#DIV/0!</v>
      </c>
      <c r="AH106" s="13" cm="1">
        <f t="array" ref="AH106">L106 / _xlfn.XLOOKUP($AD106 &amp; "|" &amp; $H106, $AD:$AD &amp; "|" &amp; $G:$G, L:L)</f>
        <v>1.1193406593406594</v>
      </c>
      <c r="AI106" s="13" t="e" cm="1">
        <f t="array" ref="AI106">M106 / _xlfn.XLOOKUP($AD106 &amp; "|" &amp; $H106, $AD:$AD &amp; "|" &amp; $G:$G, M:M)</f>
        <v>#DIV/0!</v>
      </c>
      <c r="AJ106" s="13" t="e" cm="1">
        <f t="array" ref="AJ106">N106 / _xlfn.XLOOKUP($AD106 &amp; "|" &amp; $H106, $AD:$AD &amp; "|" &amp; $G:$G, N:N)</f>
        <v>#DIV/0!</v>
      </c>
      <c r="AK106" s="13" cm="1">
        <f t="array" ref="AK106">O106 / _xlfn.XLOOKUP($AD106 &amp; "|" &amp; $H106, $AD:$AD &amp; "|" &amp; $G:$G, O:O)</f>
        <v>1</v>
      </c>
      <c r="AL106" s="13" t="e" cm="1">
        <f t="array" ref="AL106">P106 / _xlfn.XLOOKUP($AD106 &amp; "|" &amp; $H106, $AD:$AD &amp; "|" &amp; $G:$G, P:P)</f>
        <v>#DIV/0!</v>
      </c>
      <c r="AM106">
        <v>0.37</v>
      </c>
      <c r="AN106">
        <v>0.37</v>
      </c>
      <c r="AW106" s="13" cm="1">
        <f t="array" ref="AW106">_xlfn.XLOOKUP($AD106 &amp; "|" &amp; $H106, $AD:$AD &amp; "|" &amp; $G:$G, L:L)</f>
        <v>13.65</v>
      </c>
      <c r="AZ106" t="s">
        <v>233</v>
      </c>
    </row>
    <row r="107" spans="1:52" x14ac:dyDescent="0.2">
      <c r="A107" t="s">
        <v>82</v>
      </c>
      <c r="B107" t="s">
        <v>83</v>
      </c>
      <c r="C107" t="s">
        <v>110</v>
      </c>
      <c r="D107" t="s">
        <v>86</v>
      </c>
      <c r="E107">
        <v>1</v>
      </c>
      <c r="F107" t="s">
        <v>189</v>
      </c>
      <c r="G107" t="s">
        <v>89</v>
      </c>
      <c r="H107" t="s">
        <v>87</v>
      </c>
      <c r="I107">
        <v>12</v>
      </c>
      <c r="J107" s="7"/>
      <c r="K107" s="7"/>
      <c r="L107">
        <f>13.65*0.2 + 15.46*0.8</f>
        <v>15.098000000000003</v>
      </c>
      <c r="O107">
        <v>7</v>
      </c>
      <c r="Q107" s="3"/>
      <c r="AD107" t="str">
        <f t="shared" si="7"/>
        <v>Snijders (2011)|Delft|Ground|JT15D-4|1|Idle</v>
      </c>
      <c r="AE107" s="13" cm="1">
        <f t="array" ref="AE107">I107 / _xlfn.XLOOKUP($AD107 &amp; "|" &amp; $H107, $AD:$AD &amp; "|" &amp; $G:$G, I:I)</f>
        <v>0.54595086442220198</v>
      </c>
      <c r="AF107" s="13" cm="1">
        <f t="array" ref="AF107">J107 / _xlfn.XLOOKUP($AD107 &amp; "|" &amp; $H107, $AD:$AD &amp; "|" &amp; $G:$G, J:J)</f>
        <v>0</v>
      </c>
      <c r="AG107" s="13" t="e" cm="1">
        <f t="array" ref="AG107">K107 / _xlfn.XLOOKUP($AD107 &amp; "|" &amp; $H107, $AD:$AD &amp; "|" &amp; $G:$G, K:K)</f>
        <v>#DIV/0!</v>
      </c>
      <c r="AH107" s="13" cm="1">
        <f t="array" ref="AH107">L107 / _xlfn.XLOOKUP($AD107 &amp; "|" &amp; $H107, $AD:$AD &amp; "|" &amp; $G:$G, L:L)</f>
        <v>1.1060805860805862</v>
      </c>
      <c r="AI107" s="13" t="e" cm="1">
        <f t="array" ref="AI107">M107 / _xlfn.XLOOKUP($AD107 &amp; "|" &amp; $H107, $AD:$AD &amp; "|" &amp; $G:$G, M:M)</f>
        <v>#DIV/0!</v>
      </c>
      <c r="AJ107" s="13" t="e" cm="1">
        <f t="array" ref="AJ107">N107 / _xlfn.XLOOKUP($AD107 &amp; "|" &amp; $H107, $AD:$AD &amp; "|" &amp; $G:$G, N:N)</f>
        <v>#DIV/0!</v>
      </c>
      <c r="AK107" s="13" cm="1">
        <f t="array" ref="AK107">O107 / _xlfn.XLOOKUP($AD107 &amp; "|" &amp; $H107, $AD:$AD &amp; "|" &amp; $G:$G, O:O)</f>
        <v>1</v>
      </c>
      <c r="AL107" s="13" t="e" cm="1">
        <f t="array" ref="AL107">P107 / _xlfn.XLOOKUP($AD107 &amp; "|" &amp; $H107, $AD:$AD &amp; "|" &amp; $G:$G, P:P)</f>
        <v>#DIV/0!</v>
      </c>
      <c r="AM107">
        <v>0.57999999999999996</v>
      </c>
      <c r="AN107">
        <v>0.57999999999999996</v>
      </c>
      <c r="AW107" s="13" cm="1">
        <f t="array" ref="AW107">_xlfn.XLOOKUP($AD107 &amp; "|" &amp; $H107, $AD:$AD &amp; "|" &amp; $G:$G, L:L)</f>
        <v>13.65</v>
      </c>
      <c r="AZ107" t="s">
        <v>233</v>
      </c>
    </row>
    <row r="108" spans="1:52" x14ac:dyDescent="0.2">
      <c r="A108" t="s">
        <v>82</v>
      </c>
      <c r="B108" t="s">
        <v>83</v>
      </c>
      <c r="C108" t="s">
        <v>110</v>
      </c>
      <c r="D108" t="s">
        <v>86</v>
      </c>
      <c r="E108">
        <v>1</v>
      </c>
      <c r="F108" t="s">
        <v>189</v>
      </c>
      <c r="G108" t="s">
        <v>90</v>
      </c>
      <c r="H108" t="s">
        <v>87</v>
      </c>
      <c r="I108">
        <v>14.2</v>
      </c>
      <c r="J108" s="7"/>
      <c r="K108" s="7"/>
      <c r="L108">
        <f>13.65*0.3 + 15.46*0.7</f>
        <v>14.916999999999998</v>
      </c>
      <c r="O108">
        <v>7</v>
      </c>
      <c r="Q108" s="3"/>
      <c r="AD108" t="str">
        <f t="shared" si="7"/>
        <v>Snijders (2011)|Delft|Ground|JT15D-4|1|Idle</v>
      </c>
      <c r="AE108" s="13" cm="1">
        <f t="array" ref="AE108">I108 / _xlfn.XLOOKUP($AD108 &amp; "|" &amp; $H108, $AD:$AD &amp; "|" &amp; $G:$G, I:I)</f>
        <v>0.64604185623293897</v>
      </c>
      <c r="AF108" s="13" cm="1">
        <f t="array" ref="AF108">J108 / _xlfn.XLOOKUP($AD108 &amp; "|" &amp; $H108, $AD:$AD &amp; "|" &amp; $G:$G, J:J)</f>
        <v>0</v>
      </c>
      <c r="AG108" s="13" t="e" cm="1">
        <f t="array" ref="AG108">K108 / _xlfn.XLOOKUP($AD108 &amp; "|" &amp; $H108, $AD:$AD &amp; "|" &amp; $G:$G, K:K)</f>
        <v>#DIV/0!</v>
      </c>
      <c r="AH108" s="13" cm="1">
        <f t="array" ref="AH108">L108 / _xlfn.XLOOKUP($AD108 &amp; "|" &amp; $H108, $AD:$AD &amp; "|" &amp; $G:$G, L:L)</f>
        <v>1.0928205128205126</v>
      </c>
      <c r="AI108" s="13" t="e" cm="1">
        <f t="array" ref="AI108">M108 / _xlfn.XLOOKUP($AD108 &amp; "|" &amp; $H108, $AD:$AD &amp; "|" &amp; $G:$G, M:M)</f>
        <v>#DIV/0!</v>
      </c>
      <c r="AJ108" s="13" t="e" cm="1">
        <f t="array" ref="AJ108">N108 / _xlfn.XLOOKUP($AD108 &amp; "|" &amp; $H108, $AD:$AD &amp; "|" &amp; $G:$G, N:N)</f>
        <v>#DIV/0!</v>
      </c>
      <c r="AK108" s="13" cm="1">
        <f t="array" ref="AK108">O108 / _xlfn.XLOOKUP($AD108 &amp; "|" &amp; $H108, $AD:$AD &amp; "|" &amp; $G:$G, O:O)</f>
        <v>1</v>
      </c>
      <c r="AL108" s="13" t="e" cm="1">
        <f t="array" ref="AL108">P108 / _xlfn.XLOOKUP($AD108 &amp; "|" &amp; $H108, $AD:$AD &amp; "|" &amp; $G:$G, P:P)</f>
        <v>#DIV/0!</v>
      </c>
      <c r="AM108">
        <v>0.64</v>
      </c>
      <c r="AN108">
        <v>0.64</v>
      </c>
      <c r="AW108" s="13" cm="1">
        <f t="array" ref="AW108">_xlfn.XLOOKUP($AD108 &amp; "|" &amp; $H108, $AD:$AD &amp; "|" &amp; $G:$G, L:L)</f>
        <v>13.65</v>
      </c>
      <c r="AZ108" t="s">
        <v>233</v>
      </c>
    </row>
    <row r="109" spans="1:52" x14ac:dyDescent="0.2">
      <c r="A109" t="s">
        <v>82</v>
      </c>
      <c r="B109" t="s">
        <v>83</v>
      </c>
      <c r="C109" t="s">
        <v>110</v>
      </c>
      <c r="D109" t="s">
        <v>86</v>
      </c>
      <c r="E109">
        <v>1</v>
      </c>
      <c r="F109" t="s">
        <v>189</v>
      </c>
      <c r="G109" t="s">
        <v>91</v>
      </c>
      <c r="H109" t="s">
        <v>87</v>
      </c>
      <c r="I109">
        <v>16.899999999999999</v>
      </c>
      <c r="J109" s="7"/>
      <c r="K109" s="7"/>
      <c r="L109">
        <f>13.65*0.5 + 15.46*0.5</f>
        <v>14.555</v>
      </c>
      <c r="O109">
        <v>7</v>
      </c>
      <c r="Q109" s="3"/>
      <c r="AD109" t="str">
        <f t="shared" si="7"/>
        <v>Snijders (2011)|Delft|Ground|JT15D-4|1|Idle</v>
      </c>
      <c r="AE109" s="13" cm="1">
        <f t="array" ref="AE109">I109 / _xlfn.XLOOKUP($AD109 &amp; "|" &amp; $H109, $AD:$AD &amp; "|" &amp; $G:$G, I:I)</f>
        <v>0.76888080072793441</v>
      </c>
      <c r="AF109" s="13" cm="1">
        <f t="array" ref="AF109">J109 / _xlfn.XLOOKUP($AD109 &amp; "|" &amp; $H109, $AD:$AD &amp; "|" &amp; $G:$G, J:J)</f>
        <v>0</v>
      </c>
      <c r="AG109" s="13" t="e" cm="1">
        <f t="array" ref="AG109">K109 / _xlfn.XLOOKUP($AD109 &amp; "|" &amp; $H109, $AD:$AD &amp; "|" &amp; $G:$G, K:K)</f>
        <v>#DIV/0!</v>
      </c>
      <c r="AH109" s="13" cm="1">
        <f t="array" ref="AH109">L109 / _xlfn.XLOOKUP($AD109 &amp; "|" &amp; $H109, $AD:$AD &amp; "|" &amp; $G:$G, L:L)</f>
        <v>1.0663003663003663</v>
      </c>
      <c r="AI109" s="13" t="e" cm="1">
        <f t="array" ref="AI109">M109 / _xlfn.XLOOKUP($AD109 &amp; "|" &amp; $H109, $AD:$AD &amp; "|" &amp; $G:$G, M:M)</f>
        <v>#DIV/0!</v>
      </c>
      <c r="AJ109" s="13" t="e" cm="1">
        <f t="array" ref="AJ109">N109 / _xlfn.XLOOKUP($AD109 &amp; "|" &amp; $H109, $AD:$AD &amp; "|" &amp; $G:$G, N:N)</f>
        <v>#DIV/0!</v>
      </c>
      <c r="AK109" s="13" cm="1">
        <f t="array" ref="AK109">O109 / _xlfn.XLOOKUP($AD109 &amp; "|" &amp; $H109, $AD:$AD &amp; "|" &amp; $G:$G, O:O)</f>
        <v>1</v>
      </c>
      <c r="AL109" s="13" t="e" cm="1">
        <f t="array" ref="AL109">P109 / _xlfn.XLOOKUP($AD109 &amp; "|" &amp; $H109, $AD:$AD &amp; "|" &amp; $G:$G, P:P)</f>
        <v>#DIV/0!</v>
      </c>
      <c r="AM109">
        <v>1.1000000000000001</v>
      </c>
      <c r="AN109">
        <v>1.1000000000000001</v>
      </c>
      <c r="AW109" s="13" cm="1">
        <f t="array" ref="AW109">_xlfn.XLOOKUP($AD109 &amp; "|" &amp; $H109, $AD:$AD &amp; "|" &amp; $G:$G, L:L)</f>
        <v>13.65</v>
      </c>
      <c r="AZ109" t="s">
        <v>233</v>
      </c>
    </row>
    <row r="110" spans="1:52" x14ac:dyDescent="0.2">
      <c r="A110" t="s">
        <v>82</v>
      </c>
      <c r="B110" t="s">
        <v>83</v>
      </c>
      <c r="C110" t="s">
        <v>110</v>
      </c>
      <c r="D110" t="s">
        <v>86</v>
      </c>
      <c r="E110">
        <v>1</v>
      </c>
      <c r="F110" t="s">
        <v>189</v>
      </c>
      <c r="G110" t="s">
        <v>92</v>
      </c>
      <c r="H110" t="s">
        <v>87</v>
      </c>
      <c r="I110">
        <v>20.399999999999999</v>
      </c>
      <c r="J110" s="7"/>
      <c r="K110" s="7"/>
      <c r="L110">
        <f>13.46</f>
        <v>13.46</v>
      </c>
      <c r="O110">
        <v>7</v>
      </c>
      <c r="Q110" s="2"/>
      <c r="AD110" t="str">
        <f t="shared" si="7"/>
        <v>Snijders (2011)|Delft|Ground|JT15D-4|1|Idle</v>
      </c>
      <c r="AE110" s="13" cm="1">
        <f t="array" ref="AE110">I110 / _xlfn.XLOOKUP($AD110 &amp; "|" &amp; $H110, $AD:$AD &amp; "|" &amp; $G:$G, I:I)</f>
        <v>0.92811646951774329</v>
      </c>
      <c r="AF110" s="13" cm="1">
        <f t="array" ref="AF110">J110 / _xlfn.XLOOKUP($AD110 &amp; "|" &amp; $H110, $AD:$AD &amp; "|" &amp; $G:$G, J:J)</f>
        <v>0</v>
      </c>
      <c r="AG110" s="13" t="e" cm="1">
        <f t="array" ref="AG110">K110 / _xlfn.XLOOKUP($AD110 &amp; "|" &amp; $H110, $AD:$AD &amp; "|" &amp; $G:$G, K:K)</f>
        <v>#DIV/0!</v>
      </c>
      <c r="AH110" s="13" cm="1">
        <f t="array" ref="AH110">L110 / _xlfn.XLOOKUP($AD110 &amp; "|" &amp; $H110, $AD:$AD &amp; "|" &amp; $G:$G, L:L)</f>
        <v>0.98608058608058613</v>
      </c>
      <c r="AI110" s="13" t="e" cm="1">
        <f t="array" ref="AI110">M110 / _xlfn.XLOOKUP($AD110 &amp; "|" &amp; $H110, $AD:$AD &amp; "|" &amp; $G:$G, M:M)</f>
        <v>#DIV/0!</v>
      </c>
      <c r="AJ110" s="13" t="e" cm="1">
        <f t="array" ref="AJ110">N110 / _xlfn.XLOOKUP($AD110 &amp; "|" &amp; $H110, $AD:$AD &amp; "|" &amp; $G:$G, N:N)</f>
        <v>#DIV/0!</v>
      </c>
      <c r="AK110" s="13" cm="1">
        <f t="array" ref="AK110">O110 / _xlfn.XLOOKUP($AD110 &amp; "|" &amp; $H110, $AD:$AD &amp; "|" &amp; $G:$G, O:O)</f>
        <v>1</v>
      </c>
      <c r="AL110" s="13" t="e" cm="1">
        <f t="array" ref="AL110">P110 / _xlfn.XLOOKUP($AD110 &amp; "|" &amp; $H110, $AD:$AD &amp; "|" &amp; $G:$G, P:P)</f>
        <v>#DIV/0!</v>
      </c>
      <c r="AM110">
        <v>1.49</v>
      </c>
      <c r="AN110">
        <v>1.49</v>
      </c>
      <c r="AW110" s="13" cm="1">
        <f t="array" ref="AW110">_xlfn.XLOOKUP($AD110 &amp; "|" &amp; $H110, $AD:$AD &amp; "|" &amp; $G:$G, L:L)</f>
        <v>13.65</v>
      </c>
      <c r="AZ110" t="s">
        <v>233</v>
      </c>
    </row>
    <row r="111" spans="1:52" x14ac:dyDescent="0.2">
      <c r="A111" t="s">
        <v>82</v>
      </c>
      <c r="B111" t="s">
        <v>83</v>
      </c>
      <c r="C111" t="s">
        <v>110</v>
      </c>
      <c r="D111" t="s">
        <v>86</v>
      </c>
      <c r="E111">
        <v>1</v>
      </c>
      <c r="F111" t="s">
        <v>189</v>
      </c>
      <c r="G111" t="s">
        <v>93</v>
      </c>
      <c r="H111" t="s">
        <v>87</v>
      </c>
      <c r="I111">
        <v>8.5</v>
      </c>
      <c r="J111" s="7"/>
      <c r="K111" s="7"/>
      <c r="L111">
        <f t="shared" ref="L111" si="8">13.65*0.1 + 15.46*0.9</f>
        <v>15.279000000000002</v>
      </c>
      <c r="O111">
        <v>7</v>
      </c>
      <c r="Q111" s="3"/>
      <c r="AD111" t="str">
        <f t="shared" si="7"/>
        <v>Snijders (2011)|Delft|Ground|JT15D-4|1|Idle</v>
      </c>
      <c r="AE111" s="13" cm="1">
        <f t="array" ref="AE111">I111 / _xlfn.XLOOKUP($AD111 &amp; "|" &amp; $H111, $AD:$AD &amp; "|" &amp; $G:$G, I:I)</f>
        <v>0.38671519563239309</v>
      </c>
      <c r="AF111" s="13" cm="1">
        <f t="array" ref="AF111">J111 / _xlfn.XLOOKUP($AD111 &amp; "|" &amp; $H111, $AD:$AD &amp; "|" &amp; $G:$G, J:J)</f>
        <v>0</v>
      </c>
      <c r="AG111" s="13" t="e" cm="1">
        <f t="array" ref="AG111">K111 / _xlfn.XLOOKUP($AD111 &amp; "|" &amp; $H111, $AD:$AD &amp; "|" &amp; $G:$G, K:K)</f>
        <v>#DIV/0!</v>
      </c>
      <c r="AH111" s="13" cm="1">
        <f t="array" ref="AH111">L111 / _xlfn.XLOOKUP($AD111 &amp; "|" &amp; $H111, $AD:$AD &amp; "|" &amp; $G:$G, L:L)</f>
        <v>1.1193406593406594</v>
      </c>
      <c r="AI111" s="13" t="e" cm="1">
        <f t="array" ref="AI111">M111 / _xlfn.XLOOKUP($AD111 &amp; "|" &amp; $H111, $AD:$AD &amp; "|" &amp; $G:$G, M:M)</f>
        <v>#DIV/0!</v>
      </c>
      <c r="AJ111" s="13" t="e" cm="1">
        <f t="array" ref="AJ111">N111 / _xlfn.XLOOKUP($AD111 &amp; "|" &amp; $H111, $AD:$AD &amp; "|" &amp; $G:$G, N:N)</f>
        <v>#DIV/0!</v>
      </c>
      <c r="AK111" s="13" cm="1">
        <f t="array" ref="AK111">O111 / _xlfn.XLOOKUP($AD111 &amp; "|" &amp; $H111, $AD:$AD &amp; "|" &amp; $G:$G, O:O)</f>
        <v>1</v>
      </c>
      <c r="AL111" s="13" t="e" cm="1">
        <f t="array" ref="AL111">P111 / _xlfn.XLOOKUP($AD111 &amp; "|" &amp; $H111, $AD:$AD &amp; "|" &amp; $G:$G, P:P)</f>
        <v>#DIV/0!</v>
      </c>
      <c r="AM111">
        <v>0.33</v>
      </c>
      <c r="AN111">
        <v>0.33</v>
      </c>
      <c r="AW111" s="13" cm="1">
        <f t="array" ref="AW111">_xlfn.XLOOKUP($AD111 &amp; "|" &amp; $H111, $AD:$AD &amp; "|" &amp; $G:$G, L:L)</f>
        <v>13.65</v>
      </c>
      <c r="AZ111" t="s">
        <v>233</v>
      </c>
    </row>
    <row r="112" spans="1:52" x14ac:dyDescent="0.2">
      <c r="A112" t="s">
        <v>82</v>
      </c>
      <c r="B112" t="s">
        <v>83</v>
      </c>
      <c r="C112" t="s">
        <v>110</v>
      </c>
      <c r="D112" t="s">
        <v>86</v>
      </c>
      <c r="E112">
        <v>1</v>
      </c>
      <c r="F112" t="s">
        <v>189</v>
      </c>
      <c r="G112" t="s">
        <v>94</v>
      </c>
      <c r="H112" t="s">
        <v>87</v>
      </c>
      <c r="I112">
        <v>14.3</v>
      </c>
      <c r="J112" s="7"/>
      <c r="K112" s="7"/>
      <c r="L112">
        <f>13.46*0.2 + 15.46*0.8</f>
        <v>15.060000000000002</v>
      </c>
      <c r="O112">
        <v>7</v>
      </c>
      <c r="Q112" s="3"/>
      <c r="AD112" t="str">
        <f t="shared" si="7"/>
        <v>Snijders (2011)|Delft|Ground|JT15D-4|1|Idle</v>
      </c>
      <c r="AE112" s="13" cm="1">
        <f t="array" ref="AE112">I112 / _xlfn.XLOOKUP($AD112 &amp; "|" &amp; $H112, $AD:$AD &amp; "|" &amp; $G:$G, I:I)</f>
        <v>0.65059144676979075</v>
      </c>
      <c r="AF112" s="13" cm="1">
        <f t="array" ref="AF112">J112 / _xlfn.XLOOKUP($AD112 &amp; "|" &amp; $H112, $AD:$AD &amp; "|" &amp; $G:$G, J:J)</f>
        <v>0</v>
      </c>
      <c r="AG112" s="13" t="e" cm="1">
        <f t="array" ref="AG112">K112 / _xlfn.XLOOKUP($AD112 &amp; "|" &amp; $H112, $AD:$AD &amp; "|" &amp; $G:$G, K:K)</f>
        <v>#DIV/0!</v>
      </c>
      <c r="AH112" s="13" cm="1">
        <f t="array" ref="AH112">L112 / _xlfn.XLOOKUP($AD112 &amp; "|" &amp; $H112, $AD:$AD &amp; "|" &amp; $G:$G, L:L)</f>
        <v>1.1032967032967034</v>
      </c>
      <c r="AI112" s="13" t="e" cm="1">
        <f t="array" ref="AI112">M112 / _xlfn.XLOOKUP($AD112 &amp; "|" &amp; $H112, $AD:$AD &amp; "|" &amp; $G:$G, M:M)</f>
        <v>#DIV/0!</v>
      </c>
      <c r="AJ112" s="13" t="e" cm="1">
        <f t="array" ref="AJ112">N112 / _xlfn.XLOOKUP($AD112 &amp; "|" &amp; $H112, $AD:$AD &amp; "|" &amp; $G:$G, N:N)</f>
        <v>#DIV/0!</v>
      </c>
      <c r="AK112" s="13" cm="1">
        <f t="array" ref="AK112">O112 / _xlfn.XLOOKUP($AD112 &amp; "|" &amp; $H112, $AD:$AD &amp; "|" &amp; $G:$G, O:O)</f>
        <v>1</v>
      </c>
      <c r="AL112" s="13" t="e" cm="1">
        <f t="array" ref="AL112">P112 / _xlfn.XLOOKUP($AD112 &amp; "|" &amp; $H112, $AD:$AD &amp; "|" &amp; $G:$G, P:P)</f>
        <v>#DIV/0!</v>
      </c>
      <c r="AM112">
        <v>0.73</v>
      </c>
      <c r="AN112">
        <v>0.73</v>
      </c>
      <c r="AW112" s="13" cm="1">
        <f t="array" ref="AW112">_xlfn.XLOOKUP($AD112 &amp; "|" &amp; $H112, $AD:$AD &amp; "|" &amp; $G:$G, L:L)</f>
        <v>13.65</v>
      </c>
      <c r="AZ112" t="s">
        <v>233</v>
      </c>
    </row>
    <row r="113" spans="1:52" x14ac:dyDescent="0.2">
      <c r="A113" t="s">
        <v>82</v>
      </c>
      <c r="B113" t="s">
        <v>83</v>
      </c>
      <c r="C113" t="s">
        <v>110</v>
      </c>
      <c r="D113" t="s">
        <v>86</v>
      </c>
      <c r="E113">
        <v>1</v>
      </c>
      <c r="F113" t="s">
        <v>189</v>
      </c>
      <c r="G113" t="s">
        <v>95</v>
      </c>
      <c r="H113" t="s">
        <v>87</v>
      </c>
      <c r="I113">
        <v>15.7</v>
      </c>
      <c r="J113" s="7"/>
      <c r="K113" s="7"/>
      <c r="L113">
        <f>13.46*0.3 + 15.46*0.7</f>
        <v>14.86</v>
      </c>
      <c r="O113">
        <v>7</v>
      </c>
      <c r="Q113" s="3"/>
      <c r="AD113" t="str">
        <f t="shared" si="7"/>
        <v>Snijders (2011)|Delft|Ground|JT15D-4|1|Idle</v>
      </c>
      <c r="AE113" s="13" cm="1">
        <f t="array" ref="AE113">I113 / _xlfn.XLOOKUP($AD113 &amp; "|" &amp; $H113, $AD:$AD &amp; "|" &amp; $G:$G, I:I)</f>
        <v>0.71428571428571419</v>
      </c>
      <c r="AF113" s="13" cm="1">
        <f t="array" ref="AF113">J113 / _xlfn.XLOOKUP($AD113 &amp; "|" &amp; $H113, $AD:$AD &amp; "|" &amp; $G:$G, J:J)</f>
        <v>0</v>
      </c>
      <c r="AG113" s="13" t="e" cm="1">
        <f t="array" ref="AG113">K113 / _xlfn.XLOOKUP($AD113 &amp; "|" &amp; $H113, $AD:$AD &amp; "|" &amp; $G:$G, K:K)</f>
        <v>#DIV/0!</v>
      </c>
      <c r="AH113" s="13" cm="1">
        <f t="array" ref="AH113">L113 / _xlfn.XLOOKUP($AD113 &amp; "|" &amp; $H113, $AD:$AD &amp; "|" &amp; $G:$G, L:L)</f>
        <v>1.0886446886446886</v>
      </c>
      <c r="AI113" s="13" t="e" cm="1">
        <f t="array" ref="AI113">M113 / _xlfn.XLOOKUP($AD113 &amp; "|" &amp; $H113, $AD:$AD &amp; "|" &amp; $G:$G, M:M)</f>
        <v>#DIV/0!</v>
      </c>
      <c r="AJ113" s="13" t="e" cm="1">
        <f t="array" ref="AJ113">N113 / _xlfn.XLOOKUP($AD113 &amp; "|" &amp; $H113, $AD:$AD &amp; "|" &amp; $G:$G, N:N)</f>
        <v>#DIV/0!</v>
      </c>
      <c r="AK113" s="13" cm="1">
        <f t="array" ref="AK113">O113 / _xlfn.XLOOKUP($AD113 &amp; "|" &amp; $H113, $AD:$AD &amp; "|" &amp; $G:$G, O:O)</f>
        <v>1</v>
      </c>
      <c r="AL113" s="13" t="e" cm="1">
        <f t="array" ref="AL113">P113 / _xlfn.XLOOKUP($AD113 &amp; "|" &amp; $H113, $AD:$AD &amp; "|" &amp; $G:$G, P:P)</f>
        <v>#DIV/0!</v>
      </c>
      <c r="AM113">
        <v>0.91</v>
      </c>
      <c r="AN113">
        <v>0.91</v>
      </c>
      <c r="AW113" s="13" cm="1">
        <f t="array" ref="AW113">_xlfn.XLOOKUP($AD113 &amp; "|" &amp; $H113, $AD:$AD &amp; "|" &amp; $G:$G, L:L)</f>
        <v>13.65</v>
      </c>
      <c r="AZ113" t="s">
        <v>233</v>
      </c>
    </row>
    <row r="114" spans="1:52" x14ac:dyDescent="0.2">
      <c r="A114" t="s">
        <v>82</v>
      </c>
      <c r="B114" t="s">
        <v>83</v>
      </c>
      <c r="C114" t="s">
        <v>110</v>
      </c>
      <c r="D114" t="s">
        <v>86</v>
      </c>
      <c r="E114">
        <v>1</v>
      </c>
      <c r="F114" t="s">
        <v>189</v>
      </c>
      <c r="G114" t="s">
        <v>96</v>
      </c>
      <c r="H114" t="s">
        <v>87</v>
      </c>
      <c r="I114">
        <v>18.899999999999999</v>
      </c>
      <c r="J114" s="7"/>
      <c r="K114" s="7"/>
      <c r="L114">
        <f>13.46*0.5 + 15.46*0.5</f>
        <v>14.46</v>
      </c>
      <c r="O114">
        <v>7</v>
      </c>
      <c r="Q114" s="3"/>
      <c r="AD114" t="str">
        <f t="shared" si="7"/>
        <v>Snijders (2011)|Delft|Ground|JT15D-4|1|Idle</v>
      </c>
      <c r="AE114" s="13" cm="1">
        <f t="array" ref="AE114">I114 / _xlfn.XLOOKUP($AD114 &amp; "|" &amp; $H114, $AD:$AD &amp; "|" &amp; $G:$G, I:I)</f>
        <v>0.85987261146496807</v>
      </c>
      <c r="AF114" s="13" cm="1">
        <f t="array" ref="AF114">J114 / _xlfn.XLOOKUP($AD114 &amp; "|" &amp; $H114, $AD:$AD &amp; "|" &amp; $G:$G, J:J)</f>
        <v>0</v>
      </c>
      <c r="AG114" s="13" t="e" cm="1">
        <f t="array" ref="AG114">K114 / _xlfn.XLOOKUP($AD114 &amp; "|" &amp; $H114, $AD:$AD &amp; "|" &amp; $G:$G, K:K)</f>
        <v>#DIV/0!</v>
      </c>
      <c r="AH114" s="13" cm="1">
        <f t="array" ref="AH114">L114 / _xlfn.XLOOKUP($AD114 &amp; "|" &amp; $H114, $AD:$AD &amp; "|" &amp; $G:$G, L:L)</f>
        <v>1.0593406593406594</v>
      </c>
      <c r="AI114" s="13" t="e" cm="1">
        <f t="array" ref="AI114">M114 / _xlfn.XLOOKUP($AD114 &amp; "|" &amp; $H114, $AD:$AD &amp; "|" &amp; $G:$G, M:M)</f>
        <v>#DIV/0!</v>
      </c>
      <c r="AJ114" s="13" t="e" cm="1">
        <f t="array" ref="AJ114">N114 / _xlfn.XLOOKUP($AD114 &amp; "|" &amp; $H114, $AD:$AD &amp; "|" &amp; $G:$G, N:N)</f>
        <v>#DIV/0!</v>
      </c>
      <c r="AK114" s="13" cm="1">
        <f t="array" ref="AK114">O114 / _xlfn.XLOOKUP($AD114 &amp; "|" &amp; $H114, $AD:$AD &amp; "|" &amp; $G:$G, O:O)</f>
        <v>1</v>
      </c>
      <c r="AL114" s="13" t="e" cm="1">
        <f t="array" ref="AL114">P114 / _xlfn.XLOOKUP($AD114 &amp; "|" &amp; $H114, $AD:$AD &amp; "|" &amp; $G:$G, P:P)</f>
        <v>#DIV/0!</v>
      </c>
      <c r="AM114">
        <v>1.1399999999999999</v>
      </c>
      <c r="AN114">
        <v>1.1399999999999999</v>
      </c>
      <c r="AW114" s="13" cm="1">
        <f t="array" ref="AW114">_xlfn.XLOOKUP($AD114 &amp; "|" &amp; $H114, $AD:$AD &amp; "|" &amp; $G:$G, L:L)</f>
        <v>13.65</v>
      </c>
      <c r="AZ114" t="s">
        <v>233</v>
      </c>
    </row>
    <row r="115" spans="1:52" x14ac:dyDescent="0.2">
      <c r="A115" t="s">
        <v>82</v>
      </c>
      <c r="B115" t="s">
        <v>83</v>
      </c>
      <c r="C115" t="s">
        <v>110</v>
      </c>
      <c r="D115" t="s">
        <v>86</v>
      </c>
      <c r="E115">
        <v>1</v>
      </c>
      <c r="F115" t="s">
        <v>187</v>
      </c>
      <c r="G115" t="s">
        <v>87</v>
      </c>
      <c r="H115" t="s">
        <v>87</v>
      </c>
      <c r="I115">
        <v>18.2</v>
      </c>
      <c r="J115" s="7"/>
      <c r="K115" s="7"/>
      <c r="L115">
        <v>13.65</v>
      </c>
      <c r="O115">
        <v>85</v>
      </c>
      <c r="Q115" s="3"/>
      <c r="AD115" t="str">
        <f t="shared" si="7"/>
        <v>Snijders (2011)|Delft|Ground|JT15D-4|1|Climb</v>
      </c>
      <c r="AW115" s="13" cm="1">
        <f t="array" ref="AW115">_xlfn.XLOOKUP($AD115 &amp; "|" &amp; $H115, $AD:$AD &amp; "|" &amp; $G:$G, L:L)</f>
        <v>13.65</v>
      </c>
      <c r="AZ115" t="s">
        <v>233</v>
      </c>
    </row>
    <row r="116" spans="1:52" x14ac:dyDescent="0.2">
      <c r="A116" t="s">
        <v>82</v>
      </c>
      <c r="B116" t="s">
        <v>83</v>
      </c>
      <c r="C116" t="s">
        <v>110</v>
      </c>
      <c r="D116" t="s">
        <v>86</v>
      </c>
      <c r="E116">
        <v>1</v>
      </c>
      <c r="F116" t="s">
        <v>187</v>
      </c>
      <c r="G116" t="s">
        <v>88</v>
      </c>
      <c r="H116" t="s">
        <v>87</v>
      </c>
      <c r="I116">
        <v>8.3000000000000007</v>
      </c>
      <c r="J116" s="7"/>
      <c r="K116" s="7"/>
      <c r="L116">
        <f>13.65*0.1 + 15.46*0.9</f>
        <v>15.279000000000002</v>
      </c>
      <c r="O116">
        <v>85</v>
      </c>
      <c r="AD116" t="str">
        <f t="shared" si="7"/>
        <v>Snijders (2011)|Delft|Ground|JT15D-4|1|Climb</v>
      </c>
      <c r="AE116" s="13" cm="1">
        <f t="array" ref="AE116">I116 / _xlfn.XLOOKUP($AD116 &amp; "|" &amp; $H116, $AD:$AD &amp; "|" &amp; $G:$G, I:I)</f>
        <v>0.45604395604395609</v>
      </c>
      <c r="AF116" s="13" t="e" cm="1">
        <f t="array" ref="AF116">J116 / _xlfn.XLOOKUP($AD116 &amp; "|" &amp; $H116, $AD:$AD &amp; "|" &amp; $G:$G, J:J)</f>
        <v>#DIV/0!</v>
      </c>
      <c r="AG116" s="13" t="e" cm="1">
        <f t="array" ref="AG116">K116 / _xlfn.XLOOKUP($AD116 &amp; "|" &amp; $H116, $AD:$AD &amp; "|" &amp; $G:$G, K:K)</f>
        <v>#DIV/0!</v>
      </c>
      <c r="AH116" s="13" cm="1">
        <f t="array" ref="AH116">L116 / _xlfn.XLOOKUP($AD116 &amp; "|" &amp; $H116, $AD:$AD &amp; "|" &amp; $G:$G, L:L)</f>
        <v>1.1193406593406594</v>
      </c>
      <c r="AI116" s="13" t="e" cm="1">
        <f t="array" ref="AI116">M116 / _xlfn.XLOOKUP($AD116 &amp; "|" &amp; $H116, $AD:$AD &amp; "|" &amp; $G:$G, M:M)</f>
        <v>#DIV/0!</v>
      </c>
      <c r="AJ116" s="13" t="e" cm="1">
        <f t="array" ref="AJ116">N116 / _xlfn.XLOOKUP($AD116 &amp; "|" &amp; $H116, $AD:$AD &amp; "|" &amp; $G:$G, N:N)</f>
        <v>#DIV/0!</v>
      </c>
      <c r="AK116" s="13" cm="1">
        <f t="array" ref="AK116">O116 / _xlfn.XLOOKUP($AD116 &amp; "|" &amp; $H116, $AD:$AD &amp; "|" &amp; $G:$G, O:O)</f>
        <v>1</v>
      </c>
      <c r="AL116" s="13" t="e" cm="1">
        <f t="array" ref="AL116">P116 / _xlfn.XLOOKUP($AD116 &amp; "|" &amp; $H116, $AD:$AD &amp; "|" &amp; $G:$G, P:P)</f>
        <v>#DIV/0!</v>
      </c>
      <c r="AM116">
        <v>0.54</v>
      </c>
      <c r="AN116">
        <v>0.54</v>
      </c>
      <c r="AW116" s="13" cm="1">
        <f t="array" ref="AW116">_xlfn.XLOOKUP($AD116 &amp; "|" &amp; $H116, $AD:$AD &amp; "|" &amp; $G:$G, L:L)</f>
        <v>13.65</v>
      </c>
      <c r="AZ116" t="s">
        <v>233</v>
      </c>
    </row>
    <row r="117" spans="1:52" x14ac:dyDescent="0.2">
      <c r="A117" t="s">
        <v>82</v>
      </c>
      <c r="B117" t="s">
        <v>83</v>
      </c>
      <c r="C117" t="s">
        <v>110</v>
      </c>
      <c r="D117" t="s">
        <v>86</v>
      </c>
      <c r="E117">
        <v>1</v>
      </c>
      <c r="F117" t="s">
        <v>187</v>
      </c>
      <c r="G117" t="s">
        <v>89</v>
      </c>
      <c r="H117" t="s">
        <v>87</v>
      </c>
      <c r="I117">
        <v>12</v>
      </c>
      <c r="J117" s="7"/>
      <c r="K117" s="7"/>
      <c r="L117">
        <f>13.65*0.2 + 15.46*0.8</f>
        <v>15.098000000000003</v>
      </c>
      <c r="O117">
        <v>85</v>
      </c>
      <c r="AD117" t="str">
        <f t="shared" si="7"/>
        <v>Snijders (2011)|Delft|Ground|JT15D-4|1|Climb</v>
      </c>
      <c r="AE117" s="13" cm="1">
        <f t="array" ref="AE117">I117 / _xlfn.XLOOKUP($AD117 &amp; "|" &amp; $H117, $AD:$AD &amp; "|" &amp; $G:$G, I:I)</f>
        <v>0.65934065934065933</v>
      </c>
      <c r="AF117" s="13" t="e" cm="1">
        <f t="array" ref="AF117">J117 / _xlfn.XLOOKUP($AD117 &amp; "|" &amp; $H117, $AD:$AD &amp; "|" &amp; $G:$G, J:J)</f>
        <v>#DIV/0!</v>
      </c>
      <c r="AG117" s="13" t="e" cm="1">
        <f t="array" ref="AG117">K117 / _xlfn.XLOOKUP($AD117 &amp; "|" &amp; $H117, $AD:$AD &amp; "|" &amp; $G:$G, K:K)</f>
        <v>#DIV/0!</v>
      </c>
      <c r="AH117" s="13" cm="1">
        <f t="array" ref="AH117">L117 / _xlfn.XLOOKUP($AD117 &amp; "|" &amp; $H117, $AD:$AD &amp; "|" &amp; $G:$G, L:L)</f>
        <v>1.1060805860805862</v>
      </c>
      <c r="AI117" s="13" t="e" cm="1">
        <f t="array" ref="AI117">M117 / _xlfn.XLOOKUP($AD117 &amp; "|" &amp; $H117, $AD:$AD &amp; "|" &amp; $G:$G, M:M)</f>
        <v>#DIV/0!</v>
      </c>
      <c r="AJ117" s="13" t="e" cm="1">
        <f t="array" ref="AJ117">N117 / _xlfn.XLOOKUP($AD117 &amp; "|" &amp; $H117, $AD:$AD &amp; "|" &amp; $G:$G, N:N)</f>
        <v>#DIV/0!</v>
      </c>
      <c r="AK117" s="13" cm="1">
        <f t="array" ref="AK117">O117 / _xlfn.XLOOKUP($AD117 &amp; "|" &amp; $H117, $AD:$AD &amp; "|" &amp; $G:$G, O:O)</f>
        <v>1</v>
      </c>
      <c r="AL117" s="13" t="e" cm="1">
        <f t="array" ref="AL117">P117 / _xlfn.XLOOKUP($AD117 &amp; "|" &amp; $H117, $AD:$AD &amp; "|" &amp; $G:$G, P:P)</f>
        <v>#DIV/0!</v>
      </c>
      <c r="AM117">
        <v>0.71</v>
      </c>
      <c r="AN117">
        <v>0.71</v>
      </c>
      <c r="AW117" s="13" cm="1">
        <f t="array" ref="AW117">_xlfn.XLOOKUP($AD117 &amp; "|" &amp; $H117, $AD:$AD &amp; "|" &amp; $G:$G, L:L)</f>
        <v>13.65</v>
      </c>
      <c r="AZ117" t="s">
        <v>233</v>
      </c>
    </row>
    <row r="118" spans="1:52" x14ac:dyDescent="0.2">
      <c r="A118" t="s">
        <v>82</v>
      </c>
      <c r="B118" t="s">
        <v>83</v>
      </c>
      <c r="C118" t="s">
        <v>110</v>
      </c>
      <c r="D118" t="s">
        <v>86</v>
      </c>
      <c r="E118">
        <v>1</v>
      </c>
      <c r="F118" t="s">
        <v>187</v>
      </c>
      <c r="G118" t="s">
        <v>90</v>
      </c>
      <c r="H118" t="s">
        <v>87</v>
      </c>
      <c r="I118">
        <v>14.2</v>
      </c>
      <c r="J118" s="7"/>
      <c r="K118" s="7"/>
      <c r="L118">
        <f>13.65*0.3 + 15.46*0.7</f>
        <v>14.916999999999998</v>
      </c>
      <c r="O118">
        <v>85</v>
      </c>
      <c r="Q118" s="3"/>
      <c r="AD118" t="str">
        <f t="shared" si="7"/>
        <v>Snijders (2011)|Delft|Ground|JT15D-4|1|Climb</v>
      </c>
      <c r="AE118" s="13" cm="1">
        <f t="array" ref="AE118">I118 / _xlfn.XLOOKUP($AD118 &amp; "|" &amp; $H118, $AD:$AD &amp; "|" &amp; $G:$G, I:I)</f>
        <v>0.78021978021978022</v>
      </c>
      <c r="AF118" s="13" t="e" cm="1">
        <f t="array" ref="AF118">J118 / _xlfn.XLOOKUP($AD118 &amp; "|" &amp; $H118, $AD:$AD &amp; "|" &amp; $G:$G, J:J)</f>
        <v>#DIV/0!</v>
      </c>
      <c r="AG118" s="13" t="e" cm="1">
        <f t="array" ref="AG118">K118 / _xlfn.XLOOKUP($AD118 &amp; "|" &amp; $H118, $AD:$AD &amp; "|" &amp; $G:$G, K:K)</f>
        <v>#DIV/0!</v>
      </c>
      <c r="AH118" s="13" cm="1">
        <f t="array" ref="AH118">L118 / _xlfn.XLOOKUP($AD118 &amp; "|" &amp; $H118, $AD:$AD &amp; "|" &amp; $G:$G, L:L)</f>
        <v>1.0928205128205126</v>
      </c>
      <c r="AI118" s="13" t="e" cm="1">
        <f t="array" ref="AI118">M118 / _xlfn.XLOOKUP($AD118 &amp; "|" &amp; $H118, $AD:$AD &amp; "|" &amp; $G:$G, M:M)</f>
        <v>#DIV/0!</v>
      </c>
      <c r="AJ118" s="13" t="e" cm="1">
        <f t="array" ref="AJ118">N118 / _xlfn.XLOOKUP($AD118 &amp; "|" &amp; $H118, $AD:$AD &amp; "|" &amp; $G:$G, N:N)</f>
        <v>#DIV/0!</v>
      </c>
      <c r="AK118" s="13" cm="1">
        <f t="array" ref="AK118">O118 / _xlfn.XLOOKUP($AD118 &amp; "|" &amp; $H118, $AD:$AD &amp; "|" &amp; $G:$G, O:O)</f>
        <v>1</v>
      </c>
      <c r="AL118" s="13" t="e" cm="1">
        <f t="array" ref="AL118">P118 / _xlfn.XLOOKUP($AD118 &amp; "|" &amp; $H118, $AD:$AD &amp; "|" &amp; $G:$G, P:P)</f>
        <v>#DIV/0!</v>
      </c>
      <c r="AM118">
        <v>0.71</v>
      </c>
      <c r="AN118">
        <v>0.71</v>
      </c>
      <c r="AW118" s="13" cm="1">
        <f t="array" ref="AW118">_xlfn.XLOOKUP($AD118 &amp; "|" &amp; $H118, $AD:$AD &amp; "|" &amp; $G:$G, L:L)</f>
        <v>13.65</v>
      </c>
      <c r="AZ118" t="s">
        <v>233</v>
      </c>
    </row>
    <row r="119" spans="1:52" x14ac:dyDescent="0.2">
      <c r="A119" t="s">
        <v>82</v>
      </c>
      <c r="B119" t="s">
        <v>83</v>
      </c>
      <c r="C119" t="s">
        <v>110</v>
      </c>
      <c r="D119" t="s">
        <v>86</v>
      </c>
      <c r="E119">
        <v>1</v>
      </c>
      <c r="F119" t="s">
        <v>187</v>
      </c>
      <c r="G119" t="s">
        <v>91</v>
      </c>
      <c r="H119" t="s">
        <v>87</v>
      </c>
      <c r="I119">
        <v>16.899999999999999</v>
      </c>
      <c r="J119" s="7"/>
      <c r="K119" s="7"/>
      <c r="L119">
        <f>13.65*0.5 + 15.46*0.5</f>
        <v>14.555</v>
      </c>
      <c r="O119">
        <v>85</v>
      </c>
      <c r="Q119" s="3"/>
      <c r="AD119" t="str">
        <f t="shared" si="7"/>
        <v>Snijders (2011)|Delft|Ground|JT15D-4|1|Climb</v>
      </c>
      <c r="AE119" s="13" cm="1">
        <f t="array" ref="AE119">I119 / _xlfn.XLOOKUP($AD119 &amp; "|" &amp; $H119, $AD:$AD &amp; "|" &amp; $G:$G, I:I)</f>
        <v>0.92857142857142849</v>
      </c>
      <c r="AF119" s="13" t="e" cm="1">
        <f t="array" ref="AF119">J119 / _xlfn.XLOOKUP($AD119 &amp; "|" &amp; $H119, $AD:$AD &amp; "|" &amp; $G:$G, J:J)</f>
        <v>#DIV/0!</v>
      </c>
      <c r="AG119" s="13" t="e" cm="1">
        <f t="array" ref="AG119">K119 / _xlfn.XLOOKUP($AD119 &amp; "|" &amp; $H119, $AD:$AD &amp; "|" &amp; $G:$G, K:K)</f>
        <v>#DIV/0!</v>
      </c>
      <c r="AH119" s="13" cm="1">
        <f t="array" ref="AH119">L119 / _xlfn.XLOOKUP($AD119 &amp; "|" &amp; $H119, $AD:$AD &amp; "|" &amp; $G:$G, L:L)</f>
        <v>1.0663003663003663</v>
      </c>
      <c r="AI119" s="13" t="e" cm="1">
        <f t="array" ref="AI119">M119 / _xlfn.XLOOKUP($AD119 &amp; "|" &amp; $H119, $AD:$AD &amp; "|" &amp; $G:$G, M:M)</f>
        <v>#DIV/0!</v>
      </c>
      <c r="AJ119" s="13" t="e" cm="1">
        <f t="array" ref="AJ119">N119 / _xlfn.XLOOKUP($AD119 &amp; "|" &amp; $H119, $AD:$AD &amp; "|" &amp; $G:$G, N:N)</f>
        <v>#DIV/0!</v>
      </c>
      <c r="AK119" s="13" cm="1">
        <f t="array" ref="AK119">O119 / _xlfn.XLOOKUP($AD119 &amp; "|" &amp; $H119, $AD:$AD &amp; "|" &amp; $G:$G, O:O)</f>
        <v>1</v>
      </c>
      <c r="AL119" s="13" t="e" cm="1">
        <f t="array" ref="AL119">P119 / _xlfn.XLOOKUP($AD119 &amp; "|" &amp; $H119, $AD:$AD &amp; "|" &amp; $G:$G, P:P)</f>
        <v>#DIV/0!</v>
      </c>
      <c r="AM119">
        <v>0.86</v>
      </c>
      <c r="AN119">
        <v>0.86</v>
      </c>
      <c r="AW119" s="13" cm="1">
        <f t="array" ref="AW119">_xlfn.XLOOKUP($AD119 &amp; "|" &amp; $H119, $AD:$AD &amp; "|" &amp; $G:$G, L:L)</f>
        <v>13.65</v>
      </c>
      <c r="AZ119" t="s">
        <v>233</v>
      </c>
    </row>
    <row r="120" spans="1:52" x14ac:dyDescent="0.2">
      <c r="A120" t="s">
        <v>82</v>
      </c>
      <c r="B120" t="s">
        <v>83</v>
      </c>
      <c r="C120" t="s">
        <v>110</v>
      </c>
      <c r="D120" t="s">
        <v>86</v>
      </c>
      <c r="E120">
        <v>1</v>
      </c>
      <c r="F120" t="s">
        <v>187</v>
      </c>
      <c r="G120" t="s">
        <v>92</v>
      </c>
      <c r="H120" t="s">
        <v>87</v>
      </c>
      <c r="I120">
        <v>20.399999999999999</v>
      </c>
      <c r="J120" s="7"/>
      <c r="K120" s="7"/>
      <c r="L120">
        <f>13.46</f>
        <v>13.46</v>
      </c>
      <c r="O120">
        <v>85</v>
      </c>
      <c r="Q120" s="3"/>
      <c r="AD120" t="str">
        <f t="shared" si="7"/>
        <v>Snijders (2011)|Delft|Ground|JT15D-4|1|Climb</v>
      </c>
      <c r="AE120" s="13" cm="1">
        <f t="array" ref="AE120">I120 / _xlfn.XLOOKUP($AD120 &amp; "|" &amp; $H120, $AD:$AD &amp; "|" &amp; $G:$G, I:I)</f>
        <v>1.1208791208791209</v>
      </c>
      <c r="AF120" s="13" t="e" cm="1">
        <f t="array" ref="AF120">J120 / _xlfn.XLOOKUP($AD120 &amp; "|" &amp; $H120, $AD:$AD &amp; "|" &amp; $G:$G, J:J)</f>
        <v>#DIV/0!</v>
      </c>
      <c r="AG120" s="13" t="e" cm="1">
        <f t="array" ref="AG120">K120 / _xlfn.XLOOKUP($AD120 &amp; "|" &amp; $H120, $AD:$AD &amp; "|" &amp; $G:$G, K:K)</f>
        <v>#DIV/0!</v>
      </c>
      <c r="AH120" s="13" cm="1">
        <f t="array" ref="AH120">L120 / _xlfn.XLOOKUP($AD120 &amp; "|" &amp; $H120, $AD:$AD &amp; "|" &amp; $G:$G, L:L)</f>
        <v>0.98608058608058613</v>
      </c>
      <c r="AI120" s="13" t="e" cm="1">
        <f t="array" ref="AI120">M120 / _xlfn.XLOOKUP($AD120 &amp; "|" &amp; $H120, $AD:$AD &amp; "|" &amp; $G:$G, M:M)</f>
        <v>#DIV/0!</v>
      </c>
      <c r="AJ120" s="13" t="e" cm="1">
        <f t="array" ref="AJ120">N120 / _xlfn.XLOOKUP($AD120 &amp; "|" &amp; $H120, $AD:$AD &amp; "|" &amp; $G:$G, N:N)</f>
        <v>#DIV/0!</v>
      </c>
      <c r="AK120" s="13" cm="1">
        <f t="array" ref="AK120">O120 / _xlfn.XLOOKUP($AD120 &amp; "|" &amp; $H120, $AD:$AD &amp; "|" &amp; $G:$G, O:O)</f>
        <v>1</v>
      </c>
      <c r="AL120" s="13" t="e" cm="1">
        <f t="array" ref="AL120">P120 / _xlfn.XLOOKUP($AD120 &amp; "|" &amp; $H120, $AD:$AD &amp; "|" &amp; $G:$G, P:P)</f>
        <v>#DIV/0!</v>
      </c>
      <c r="AM120">
        <v>1.04</v>
      </c>
      <c r="AN120">
        <v>1.04</v>
      </c>
      <c r="AW120" s="13" cm="1">
        <f t="array" ref="AW120">_xlfn.XLOOKUP($AD120 &amp; "|" &amp; $H120, $AD:$AD &amp; "|" &amp; $G:$G, L:L)</f>
        <v>13.65</v>
      </c>
      <c r="AZ120" t="s">
        <v>233</v>
      </c>
    </row>
    <row r="121" spans="1:52" x14ac:dyDescent="0.2">
      <c r="A121" t="s">
        <v>82</v>
      </c>
      <c r="B121" t="s">
        <v>83</v>
      </c>
      <c r="C121" t="s">
        <v>110</v>
      </c>
      <c r="D121" t="s">
        <v>86</v>
      </c>
      <c r="E121">
        <v>1</v>
      </c>
      <c r="F121" t="s">
        <v>187</v>
      </c>
      <c r="G121" t="s">
        <v>93</v>
      </c>
      <c r="H121" t="s">
        <v>87</v>
      </c>
      <c r="I121">
        <v>8.5</v>
      </c>
      <c r="J121" s="7"/>
      <c r="K121" s="7"/>
      <c r="L121">
        <f t="shared" ref="L121" si="9">13.65*0.1 + 15.46*0.9</f>
        <v>15.279000000000002</v>
      </c>
      <c r="O121">
        <v>85</v>
      </c>
      <c r="Q121" s="2"/>
      <c r="AD121" t="str">
        <f t="shared" si="7"/>
        <v>Snijders (2011)|Delft|Ground|JT15D-4|1|Climb</v>
      </c>
      <c r="AE121" s="13" cm="1">
        <f t="array" ref="AE121">I121 / _xlfn.XLOOKUP($AD121 &amp; "|" &amp; $H121, $AD:$AD &amp; "|" &amp; $G:$G, I:I)</f>
        <v>0.46703296703296704</v>
      </c>
      <c r="AF121" s="13" t="e" cm="1">
        <f t="array" ref="AF121">J121 / _xlfn.XLOOKUP($AD121 &amp; "|" &amp; $H121, $AD:$AD &amp; "|" &amp; $G:$G, J:J)</f>
        <v>#DIV/0!</v>
      </c>
      <c r="AG121" s="13" t="e" cm="1">
        <f t="array" ref="AG121">K121 / _xlfn.XLOOKUP($AD121 &amp; "|" &amp; $H121, $AD:$AD &amp; "|" &amp; $G:$G, K:K)</f>
        <v>#DIV/0!</v>
      </c>
      <c r="AH121" s="13" cm="1">
        <f t="array" ref="AH121">L121 / _xlfn.XLOOKUP($AD121 &amp; "|" &amp; $H121, $AD:$AD &amp; "|" &amp; $G:$G, L:L)</f>
        <v>1.1193406593406594</v>
      </c>
      <c r="AI121" s="13" t="e" cm="1">
        <f t="array" ref="AI121">M121 / _xlfn.XLOOKUP($AD121 &amp; "|" &amp; $H121, $AD:$AD &amp; "|" &amp; $G:$G, M:M)</f>
        <v>#DIV/0!</v>
      </c>
      <c r="AJ121" s="13" t="e" cm="1">
        <f t="array" ref="AJ121">N121 / _xlfn.XLOOKUP($AD121 &amp; "|" &amp; $H121, $AD:$AD &amp; "|" &amp; $G:$G, N:N)</f>
        <v>#DIV/0!</v>
      </c>
      <c r="AK121" s="13" cm="1">
        <f t="array" ref="AK121">O121 / _xlfn.XLOOKUP($AD121 &amp; "|" &amp; $H121, $AD:$AD &amp; "|" &amp; $G:$G, O:O)</f>
        <v>1</v>
      </c>
      <c r="AL121" s="13" t="e" cm="1">
        <f t="array" ref="AL121">P121 / _xlfn.XLOOKUP($AD121 &amp; "|" &amp; $H121, $AD:$AD &amp; "|" &amp; $G:$G, P:P)</f>
        <v>#DIV/0!</v>
      </c>
      <c r="AM121">
        <v>0.53</v>
      </c>
      <c r="AN121">
        <v>0.53</v>
      </c>
      <c r="AW121" s="13" cm="1">
        <f t="array" ref="AW121">_xlfn.XLOOKUP($AD121 &amp; "|" &amp; $H121, $AD:$AD &amp; "|" &amp; $G:$G, L:L)</f>
        <v>13.65</v>
      </c>
      <c r="AZ121" t="s">
        <v>233</v>
      </c>
    </row>
    <row r="122" spans="1:52" x14ac:dyDescent="0.2">
      <c r="A122" t="s">
        <v>82</v>
      </c>
      <c r="B122" t="s">
        <v>83</v>
      </c>
      <c r="C122" t="s">
        <v>110</v>
      </c>
      <c r="D122" t="s">
        <v>86</v>
      </c>
      <c r="E122">
        <v>1</v>
      </c>
      <c r="F122" t="s">
        <v>187</v>
      </c>
      <c r="G122" t="s">
        <v>94</v>
      </c>
      <c r="H122" t="s">
        <v>87</v>
      </c>
      <c r="I122">
        <v>14.3</v>
      </c>
      <c r="J122" s="7"/>
      <c r="K122" s="7"/>
      <c r="L122">
        <f>13.46*0.2 + 15.46*0.8</f>
        <v>15.060000000000002</v>
      </c>
      <c r="O122">
        <v>85</v>
      </c>
      <c r="Q122" s="2"/>
      <c r="AD122" t="str">
        <f t="shared" si="7"/>
        <v>Snijders (2011)|Delft|Ground|JT15D-4|1|Climb</v>
      </c>
      <c r="AE122" s="13" cm="1">
        <f t="array" ref="AE122">I122 / _xlfn.XLOOKUP($AD122 &amp; "|" &amp; $H122, $AD:$AD &amp; "|" &amp; $G:$G, I:I)</f>
        <v>0.78571428571428581</v>
      </c>
      <c r="AF122" s="13" t="e" cm="1">
        <f t="array" ref="AF122">J122 / _xlfn.XLOOKUP($AD122 &amp; "|" &amp; $H122, $AD:$AD &amp; "|" &amp; $G:$G, J:J)</f>
        <v>#DIV/0!</v>
      </c>
      <c r="AG122" s="13" t="e" cm="1">
        <f t="array" ref="AG122">K122 / _xlfn.XLOOKUP($AD122 &amp; "|" &amp; $H122, $AD:$AD &amp; "|" &amp; $G:$G, K:K)</f>
        <v>#DIV/0!</v>
      </c>
      <c r="AH122" s="13" cm="1">
        <f t="array" ref="AH122">L122 / _xlfn.XLOOKUP($AD122 &amp; "|" &amp; $H122, $AD:$AD &amp; "|" &amp; $G:$G, L:L)</f>
        <v>1.1032967032967034</v>
      </c>
      <c r="AI122" s="13" t="e" cm="1">
        <f t="array" ref="AI122">M122 / _xlfn.XLOOKUP($AD122 &amp; "|" &amp; $H122, $AD:$AD &amp; "|" &amp; $G:$G, M:M)</f>
        <v>#DIV/0!</v>
      </c>
      <c r="AJ122" s="13" t="e" cm="1">
        <f t="array" ref="AJ122">N122 / _xlfn.XLOOKUP($AD122 &amp; "|" &amp; $H122, $AD:$AD &amp; "|" &amp; $G:$G, N:N)</f>
        <v>#DIV/0!</v>
      </c>
      <c r="AK122" s="13" cm="1">
        <f t="array" ref="AK122">O122 / _xlfn.XLOOKUP($AD122 &amp; "|" &amp; $H122, $AD:$AD &amp; "|" &amp; $G:$G, O:O)</f>
        <v>1</v>
      </c>
      <c r="AL122" s="13" t="e" cm="1">
        <f t="array" ref="AL122">P122 / _xlfn.XLOOKUP($AD122 &amp; "|" &amp; $H122, $AD:$AD &amp; "|" &amp; $G:$G, P:P)</f>
        <v>#DIV/0!</v>
      </c>
      <c r="AM122">
        <v>0.87</v>
      </c>
      <c r="AN122">
        <v>0.87</v>
      </c>
      <c r="AW122" s="13" cm="1">
        <f t="array" ref="AW122">_xlfn.XLOOKUP($AD122 &amp; "|" &amp; $H122, $AD:$AD &amp; "|" &amp; $G:$G, L:L)</f>
        <v>13.65</v>
      </c>
      <c r="AZ122" t="s">
        <v>233</v>
      </c>
    </row>
    <row r="123" spans="1:52" x14ac:dyDescent="0.2">
      <c r="A123" t="s">
        <v>82</v>
      </c>
      <c r="B123" t="s">
        <v>83</v>
      </c>
      <c r="C123" t="s">
        <v>110</v>
      </c>
      <c r="D123" t="s">
        <v>86</v>
      </c>
      <c r="E123">
        <v>1</v>
      </c>
      <c r="F123" t="s">
        <v>187</v>
      </c>
      <c r="G123" t="s">
        <v>95</v>
      </c>
      <c r="H123" t="s">
        <v>87</v>
      </c>
      <c r="I123">
        <v>15.7</v>
      </c>
      <c r="J123" s="7"/>
      <c r="K123" s="7"/>
      <c r="L123">
        <f>13.46*0.3 + 15.46*0.7</f>
        <v>14.86</v>
      </c>
      <c r="O123">
        <v>85</v>
      </c>
      <c r="Q123" s="2"/>
      <c r="AD123" t="str">
        <f t="shared" si="7"/>
        <v>Snijders (2011)|Delft|Ground|JT15D-4|1|Climb</v>
      </c>
      <c r="AE123" s="13" cm="1">
        <f t="array" ref="AE123">I123 / _xlfn.XLOOKUP($AD123 &amp; "|" &amp; $H123, $AD:$AD &amp; "|" &amp; $G:$G, I:I)</f>
        <v>0.86263736263736268</v>
      </c>
      <c r="AF123" s="13" t="e" cm="1">
        <f t="array" ref="AF123">J123 / _xlfn.XLOOKUP($AD123 &amp; "|" &amp; $H123, $AD:$AD &amp; "|" &amp; $G:$G, J:J)</f>
        <v>#DIV/0!</v>
      </c>
      <c r="AG123" s="13" t="e" cm="1">
        <f t="array" ref="AG123">K123 / _xlfn.XLOOKUP($AD123 &amp; "|" &amp; $H123, $AD:$AD &amp; "|" &amp; $G:$G, K:K)</f>
        <v>#DIV/0!</v>
      </c>
      <c r="AH123" s="13" cm="1">
        <f t="array" ref="AH123">L123 / _xlfn.XLOOKUP($AD123 &amp; "|" &amp; $H123, $AD:$AD &amp; "|" &amp; $G:$G, L:L)</f>
        <v>1.0886446886446886</v>
      </c>
      <c r="AI123" s="13" t="e" cm="1">
        <f t="array" ref="AI123">M123 / _xlfn.XLOOKUP($AD123 &amp; "|" &amp; $H123, $AD:$AD &amp; "|" &amp; $G:$G, M:M)</f>
        <v>#DIV/0!</v>
      </c>
      <c r="AJ123" s="13" t="e" cm="1">
        <f t="array" ref="AJ123">N123 / _xlfn.XLOOKUP($AD123 &amp; "|" &amp; $H123, $AD:$AD &amp; "|" &amp; $G:$G, N:N)</f>
        <v>#DIV/0!</v>
      </c>
      <c r="AK123" s="13" cm="1">
        <f t="array" ref="AK123">O123 / _xlfn.XLOOKUP($AD123 &amp; "|" &amp; $H123, $AD:$AD &amp; "|" &amp; $G:$G, O:O)</f>
        <v>1</v>
      </c>
      <c r="AL123" s="13" t="e" cm="1">
        <f t="array" ref="AL123">P123 / _xlfn.XLOOKUP($AD123 &amp; "|" &amp; $H123, $AD:$AD &amp; "|" &amp; $G:$G, P:P)</f>
        <v>#DIV/0!</v>
      </c>
      <c r="AM123">
        <v>0.72</v>
      </c>
      <c r="AN123">
        <v>0.72</v>
      </c>
      <c r="AW123" s="13" cm="1">
        <f t="array" ref="AW123">_xlfn.XLOOKUP($AD123 &amp; "|" &amp; $H123, $AD:$AD &amp; "|" &amp; $G:$G, L:L)</f>
        <v>13.65</v>
      </c>
      <c r="AZ123" t="s">
        <v>233</v>
      </c>
    </row>
    <row r="124" spans="1:52" x14ac:dyDescent="0.2">
      <c r="A124" t="s">
        <v>82</v>
      </c>
      <c r="B124" t="s">
        <v>83</v>
      </c>
      <c r="C124" t="s">
        <v>110</v>
      </c>
      <c r="D124" t="s">
        <v>86</v>
      </c>
      <c r="E124">
        <v>1</v>
      </c>
      <c r="F124" t="s">
        <v>187</v>
      </c>
      <c r="G124" t="s">
        <v>96</v>
      </c>
      <c r="H124" t="s">
        <v>87</v>
      </c>
      <c r="I124">
        <v>18.899999999999999</v>
      </c>
      <c r="J124" s="7"/>
      <c r="K124" s="7"/>
      <c r="L124">
        <f>13.46*0.5 + 15.46*0.5</f>
        <v>14.46</v>
      </c>
      <c r="O124">
        <v>85</v>
      </c>
      <c r="AD124" t="str">
        <f t="shared" si="7"/>
        <v>Snijders (2011)|Delft|Ground|JT15D-4|1|Climb</v>
      </c>
      <c r="AE124" s="13" cm="1">
        <f t="array" ref="AE124">I124 / _xlfn.XLOOKUP($AD124 &amp; "|" &amp; $H124, $AD:$AD &amp; "|" &amp; $G:$G, I:I)</f>
        <v>1.0384615384615383</v>
      </c>
      <c r="AF124" s="13" t="e" cm="1">
        <f t="array" ref="AF124">J124 / _xlfn.XLOOKUP($AD124 &amp; "|" &amp; $H124, $AD:$AD &amp; "|" &amp; $G:$G, J:J)</f>
        <v>#DIV/0!</v>
      </c>
      <c r="AG124" s="13" t="e" cm="1">
        <f t="array" ref="AG124">K124 / _xlfn.XLOOKUP($AD124 &amp; "|" &amp; $H124, $AD:$AD &amp; "|" &amp; $G:$G, K:K)</f>
        <v>#DIV/0!</v>
      </c>
      <c r="AH124" s="13" cm="1">
        <f t="array" ref="AH124">L124 / _xlfn.XLOOKUP($AD124 &amp; "|" &amp; $H124, $AD:$AD &amp; "|" &amp; $G:$G, L:L)</f>
        <v>1.0593406593406594</v>
      </c>
      <c r="AI124" s="13" t="e" cm="1">
        <f t="array" ref="AI124">M124 / _xlfn.XLOOKUP($AD124 &amp; "|" &amp; $H124, $AD:$AD &amp; "|" &amp; $G:$G, M:M)</f>
        <v>#DIV/0!</v>
      </c>
      <c r="AJ124" s="13" t="e" cm="1">
        <f t="array" ref="AJ124">N124 / _xlfn.XLOOKUP($AD124 &amp; "|" &amp; $H124, $AD:$AD &amp; "|" &amp; $G:$G, N:N)</f>
        <v>#DIV/0!</v>
      </c>
      <c r="AK124" s="13" cm="1">
        <f t="array" ref="AK124">O124 / _xlfn.XLOOKUP($AD124 &amp; "|" &amp; $H124, $AD:$AD &amp; "|" &amp; $G:$G, O:O)</f>
        <v>1</v>
      </c>
      <c r="AL124" s="13" t="e" cm="1">
        <f t="array" ref="AL124">P124 / _xlfn.XLOOKUP($AD124 &amp; "|" &amp; $H124, $AD:$AD &amp; "|" &amp; $G:$G, P:P)</f>
        <v>#DIV/0!</v>
      </c>
      <c r="AM124">
        <v>1.08</v>
      </c>
      <c r="AN124">
        <v>1.08</v>
      </c>
      <c r="AW124" s="13" cm="1">
        <f t="array" ref="AW124">_xlfn.XLOOKUP($AD124 &amp; "|" &amp; $H124, $AD:$AD &amp; "|" &amp; $G:$G, L:L)</f>
        <v>13.65</v>
      </c>
      <c r="AZ124" t="s">
        <v>233</v>
      </c>
    </row>
    <row r="125" spans="1:52" x14ac:dyDescent="0.2">
      <c r="A125" t="s">
        <v>84</v>
      </c>
      <c r="B125" t="s">
        <v>85</v>
      </c>
      <c r="C125" t="s">
        <v>110</v>
      </c>
      <c r="D125" t="s">
        <v>81</v>
      </c>
      <c r="E125">
        <v>1</v>
      </c>
      <c r="F125" t="s">
        <v>189</v>
      </c>
      <c r="G125" t="s">
        <v>50</v>
      </c>
      <c r="I125">
        <v>18.3</v>
      </c>
      <c r="J125" s="7"/>
      <c r="K125">
        <v>190</v>
      </c>
      <c r="L125">
        <v>13.7</v>
      </c>
      <c r="O125">
        <v>7</v>
      </c>
      <c r="Q125" s="2">
        <f>7.14*10^15</f>
        <v>7140000000000000</v>
      </c>
      <c r="AD125" t="str">
        <f t="shared" si="7"/>
        <v>Chan (2015)|GARDN|Ground|CF700-2D2|1|Idle</v>
      </c>
      <c r="AW125" s="13" t="e" cm="1">
        <f t="array" ref="AW125">_xlfn.XLOOKUP($AD125 &amp; "|" &amp; $H125, $AD:$AD &amp; "|" &amp; $G:$G, L:L)</f>
        <v>#N/A</v>
      </c>
      <c r="AZ125" t="s">
        <v>235</v>
      </c>
    </row>
    <row r="126" spans="1:52" x14ac:dyDescent="0.2">
      <c r="A126" t="s">
        <v>84</v>
      </c>
      <c r="B126" t="s">
        <v>85</v>
      </c>
      <c r="C126" t="s">
        <v>110</v>
      </c>
      <c r="D126" t="s">
        <v>81</v>
      </c>
      <c r="E126">
        <v>1</v>
      </c>
      <c r="F126" t="s">
        <v>189</v>
      </c>
      <c r="G126" t="s">
        <v>97</v>
      </c>
      <c r="H126" t="s">
        <v>50</v>
      </c>
      <c r="I126">
        <v>17</v>
      </c>
      <c r="K126">
        <v>20</v>
      </c>
      <c r="L126">
        <v>13.9</v>
      </c>
      <c r="O126">
        <v>7</v>
      </c>
      <c r="Q126" s="2">
        <f>5.68*10^15</f>
        <v>5680000000000000</v>
      </c>
      <c r="AD126" t="str">
        <f t="shared" si="7"/>
        <v>Chan (2015)|GARDN|Ground|CF700-2D2|1|Idle</v>
      </c>
      <c r="AE126" s="13" cm="1">
        <f t="array" ref="AE126">I126 / _xlfn.XLOOKUP($AD126 &amp; "|" &amp; $H126, $AD:$AD &amp; "|" &amp; $G:$G, I:I)</f>
        <v>0.9289617486338797</v>
      </c>
      <c r="AF126" s="13" t="e" cm="1">
        <f t="array" ref="AF126">J126 / _xlfn.XLOOKUP($AD126 &amp; "|" &amp; $H126, $AD:$AD &amp; "|" &amp; $G:$G, J:J)</f>
        <v>#DIV/0!</v>
      </c>
      <c r="AG126" s="13" cm="1">
        <f t="array" ref="AG126">K126 / _xlfn.XLOOKUP($AD126 &amp; "|" &amp; $H126, $AD:$AD &amp; "|" &amp; $G:$G, K:K)</f>
        <v>0.10526315789473684</v>
      </c>
      <c r="AH126" s="13" cm="1">
        <f t="array" ref="AH126">L126 / _xlfn.XLOOKUP($AD126 &amp; "|" &amp; $H126, $AD:$AD &amp; "|" &amp; $G:$G, L:L)</f>
        <v>1.0145985401459854</v>
      </c>
      <c r="AI126" s="13" t="e" cm="1">
        <f t="array" ref="AI126">M126 / _xlfn.XLOOKUP($AD126 &amp; "|" &amp; $H126, $AD:$AD &amp; "|" &amp; $G:$G, M:M)</f>
        <v>#DIV/0!</v>
      </c>
      <c r="AJ126" s="13" t="e" cm="1">
        <f t="array" ref="AJ126">N126 / _xlfn.XLOOKUP($AD126 &amp; "|" &amp; $H126, $AD:$AD &amp; "|" &amp; $G:$G, N:N)</f>
        <v>#DIV/0!</v>
      </c>
      <c r="AK126" s="13" cm="1">
        <f t="array" ref="AK126">O126 / _xlfn.XLOOKUP($AD126 &amp; "|" &amp; $H126, $AD:$AD &amp; "|" &amp; $G:$G, O:O)</f>
        <v>1</v>
      </c>
      <c r="AL126" s="13" t="e" cm="1">
        <f t="array" ref="AL126">P126 / _xlfn.XLOOKUP($AD126 &amp; "|" &amp; $H126, $AD:$AD &amp; "|" &amp; $G:$G, P:P)</f>
        <v>#DIV/0!</v>
      </c>
      <c r="AM126">
        <f>0.53</f>
        <v>0.53</v>
      </c>
      <c r="AN126" s="13"/>
      <c r="AU126" s="13"/>
      <c r="AW126" s="13" cm="1">
        <f t="array" ref="AW126">_xlfn.XLOOKUP($AD126 &amp; "|" &amp; $H126, $AD:$AD &amp; "|" &amp; $G:$G, L:L)</f>
        <v>13.7</v>
      </c>
      <c r="AY126" s="13"/>
      <c r="AZ126" t="s">
        <v>235</v>
      </c>
    </row>
    <row r="127" spans="1:52" x14ac:dyDescent="0.2">
      <c r="A127" t="s">
        <v>84</v>
      </c>
      <c r="B127" t="s">
        <v>85</v>
      </c>
      <c r="C127" t="s">
        <v>110</v>
      </c>
      <c r="D127" t="s">
        <v>81</v>
      </c>
      <c r="E127">
        <v>1</v>
      </c>
      <c r="F127" t="s">
        <v>189</v>
      </c>
      <c r="G127" t="s">
        <v>98</v>
      </c>
      <c r="H127" t="s">
        <v>50</v>
      </c>
      <c r="I127">
        <v>10.4</v>
      </c>
      <c r="J127" s="7"/>
      <c r="K127">
        <v>244</v>
      </c>
      <c r="L127">
        <v>14.6</v>
      </c>
      <c r="O127">
        <v>7</v>
      </c>
      <c r="Q127" s="2">
        <f>2.88*10^15</f>
        <v>2880000000000000</v>
      </c>
      <c r="AD127" t="str">
        <f t="shared" si="7"/>
        <v>Chan (2015)|GARDN|Ground|CF700-2D2|1|Idle</v>
      </c>
      <c r="AE127" s="13" cm="1">
        <f t="array" ref="AE127">I127 / _xlfn.XLOOKUP($AD127 &amp; "|" &amp; $H127, $AD:$AD &amp; "|" &amp; $G:$G, I:I)</f>
        <v>0.56830601092896171</v>
      </c>
      <c r="AF127" s="13" t="e" cm="1">
        <f t="array" ref="AF127">J127 / _xlfn.XLOOKUP($AD127 &amp; "|" &amp; $H127, $AD:$AD &amp; "|" &amp; $G:$G, J:J)</f>
        <v>#DIV/0!</v>
      </c>
      <c r="AG127" s="13" cm="1">
        <f t="array" ref="AG127">K127 / _xlfn.XLOOKUP($AD127 &amp; "|" &amp; $H127, $AD:$AD &amp; "|" &amp; $G:$G, K:K)</f>
        <v>1.2842105263157895</v>
      </c>
      <c r="AH127" s="13" cm="1">
        <f t="array" ref="AH127">L127 / _xlfn.XLOOKUP($AD127 &amp; "|" &amp; $H127, $AD:$AD &amp; "|" &amp; $G:$G, L:L)</f>
        <v>1.0656934306569343</v>
      </c>
      <c r="AI127" s="13" t="e" cm="1">
        <f t="array" ref="AI127">M127 / _xlfn.XLOOKUP($AD127 &amp; "|" &amp; $H127, $AD:$AD &amp; "|" &amp; $G:$G, M:M)</f>
        <v>#DIV/0!</v>
      </c>
      <c r="AJ127" s="13" t="e" cm="1">
        <f t="array" ref="AJ127">N127 / _xlfn.XLOOKUP($AD127 &amp; "|" &amp; $H127, $AD:$AD &amp; "|" &amp; $G:$G, N:N)</f>
        <v>#DIV/0!</v>
      </c>
      <c r="AK127" s="13" cm="1">
        <f t="array" ref="AK127">O127 / _xlfn.XLOOKUP($AD127 &amp; "|" &amp; $H127, $AD:$AD &amp; "|" &amp; $G:$G, O:O)</f>
        <v>1</v>
      </c>
      <c r="AL127" s="13" t="e" cm="1">
        <f t="array" ref="AL127">P127 / _xlfn.XLOOKUP($AD127 &amp; "|" &amp; $H127, $AD:$AD &amp; "|" &amp; $G:$G, P:P)</f>
        <v>#DIV/0!</v>
      </c>
      <c r="AM127" s="13">
        <f t="shared" ref="AM127:AM128" si="10">(Q127)/Q$125</f>
        <v>0.40336134453781514</v>
      </c>
      <c r="AN127" s="13"/>
      <c r="AU127" s="13"/>
      <c r="AW127" s="13" cm="1">
        <f t="array" ref="AW127">_xlfn.XLOOKUP($AD127 &amp; "|" &amp; $H127, $AD:$AD &amp; "|" &amp; $G:$G, L:L)</f>
        <v>13.7</v>
      </c>
      <c r="AY127" s="13"/>
      <c r="AZ127" t="s">
        <v>235</v>
      </c>
    </row>
    <row r="128" spans="1:52" x14ac:dyDescent="0.2">
      <c r="A128" t="s">
        <v>84</v>
      </c>
      <c r="B128" t="s">
        <v>85</v>
      </c>
      <c r="C128" t="s">
        <v>110</v>
      </c>
      <c r="D128" t="s">
        <v>81</v>
      </c>
      <c r="E128">
        <v>1</v>
      </c>
      <c r="F128" t="s">
        <v>189</v>
      </c>
      <c r="G128" t="s">
        <v>99</v>
      </c>
      <c r="H128" t="s">
        <v>50</v>
      </c>
      <c r="I128">
        <v>0.5</v>
      </c>
      <c r="J128" s="7"/>
      <c r="K128">
        <v>0</v>
      </c>
      <c r="L128">
        <v>15.3</v>
      </c>
      <c r="O128">
        <v>7</v>
      </c>
      <c r="Q128" s="2">
        <f>0.3*10^15</f>
        <v>300000000000000</v>
      </c>
      <c r="AD128" t="str">
        <f t="shared" si="7"/>
        <v>Chan (2015)|GARDN|Ground|CF700-2D2|1|Idle</v>
      </c>
      <c r="AE128" s="13" cm="1">
        <f t="array" ref="AE128">I128 / _xlfn.XLOOKUP($AD128 &amp; "|" &amp; $H128, $AD:$AD &amp; "|" &amp; $G:$G, I:I)</f>
        <v>2.7322404371584699E-2</v>
      </c>
      <c r="AF128" s="13" t="e" cm="1">
        <f t="array" ref="AF128">J128 / _xlfn.XLOOKUP($AD128 &amp; "|" &amp; $H128, $AD:$AD &amp; "|" &amp; $G:$G, J:J)</f>
        <v>#DIV/0!</v>
      </c>
      <c r="AG128" s="13" cm="1">
        <f t="array" ref="AG128">K128 / _xlfn.XLOOKUP($AD128 &amp; "|" &amp; $H128, $AD:$AD &amp; "|" &amp; $G:$G, K:K)</f>
        <v>0</v>
      </c>
      <c r="AH128" s="13" cm="1">
        <f t="array" ref="AH128">L128 / _xlfn.XLOOKUP($AD128 &amp; "|" &amp; $H128, $AD:$AD &amp; "|" &amp; $G:$G, L:L)</f>
        <v>1.1167883211678833</v>
      </c>
      <c r="AI128" s="13" t="e" cm="1">
        <f t="array" ref="AI128">M128 / _xlfn.XLOOKUP($AD128 &amp; "|" &amp; $H128, $AD:$AD &amp; "|" &amp; $G:$G, M:M)</f>
        <v>#DIV/0!</v>
      </c>
      <c r="AJ128" s="13" t="e" cm="1">
        <f t="array" ref="AJ128">N128 / _xlfn.XLOOKUP($AD128 &amp; "|" &amp; $H128, $AD:$AD &amp; "|" &amp; $G:$G, N:N)</f>
        <v>#DIV/0!</v>
      </c>
      <c r="AK128" s="13" cm="1">
        <f t="array" ref="AK128">O128 / _xlfn.XLOOKUP($AD128 &amp; "|" &amp; $H128, $AD:$AD &amp; "|" &amp; $G:$G, O:O)</f>
        <v>1</v>
      </c>
      <c r="AL128" s="13" t="e" cm="1">
        <f t="array" ref="AL128">P128 / _xlfn.XLOOKUP($AD128 &amp; "|" &amp; $H128, $AD:$AD &amp; "|" &amp; $G:$G, P:P)</f>
        <v>#DIV/0!</v>
      </c>
      <c r="AM128" s="13">
        <f t="shared" si="10"/>
        <v>4.2016806722689079E-2</v>
      </c>
      <c r="AN128" s="13"/>
      <c r="AU128" s="13"/>
      <c r="AW128" s="13" cm="1">
        <f t="array" ref="AW128">_xlfn.XLOOKUP($AD128 &amp; "|" &amp; $H128, $AD:$AD &amp; "|" &amp; $G:$G, L:L)</f>
        <v>13.7</v>
      </c>
      <c r="AY128" s="13"/>
      <c r="AZ128" t="s">
        <v>235</v>
      </c>
    </row>
    <row r="129" spans="1:52" x14ac:dyDescent="0.2">
      <c r="A129" t="s">
        <v>84</v>
      </c>
      <c r="B129" t="s">
        <v>85</v>
      </c>
      <c r="C129" t="s">
        <v>110</v>
      </c>
      <c r="D129" t="s">
        <v>81</v>
      </c>
      <c r="E129">
        <v>1</v>
      </c>
      <c r="F129" t="s">
        <v>187</v>
      </c>
      <c r="G129" t="s">
        <v>50</v>
      </c>
      <c r="I129">
        <v>18.3</v>
      </c>
      <c r="J129" s="7"/>
      <c r="K129">
        <v>190</v>
      </c>
      <c r="L129">
        <v>13.7</v>
      </c>
      <c r="O129">
        <v>80</v>
      </c>
      <c r="Q129" s="2">
        <f>7.9*10^15</f>
        <v>7900000000000000</v>
      </c>
      <c r="AD129" t="str">
        <f t="shared" si="7"/>
        <v>Chan (2015)|GARDN|Ground|CF700-2D2|1|Climb</v>
      </c>
      <c r="AM129" s="13"/>
      <c r="AN129" s="13"/>
      <c r="AU129" s="13"/>
      <c r="AW129" s="13" t="e" cm="1">
        <f t="array" ref="AW129">_xlfn.XLOOKUP($AD129 &amp; "|" &amp; $H129, $AD:$AD &amp; "|" &amp; $G:$G, L:L)</f>
        <v>#N/A</v>
      </c>
      <c r="AY129" s="13"/>
      <c r="AZ129" t="s">
        <v>235</v>
      </c>
    </row>
    <row r="130" spans="1:52" x14ac:dyDescent="0.2">
      <c r="A130" t="s">
        <v>84</v>
      </c>
      <c r="B130" t="s">
        <v>85</v>
      </c>
      <c r="C130" t="s">
        <v>110</v>
      </c>
      <c r="D130" t="s">
        <v>81</v>
      </c>
      <c r="E130">
        <v>1</v>
      </c>
      <c r="F130" t="s">
        <v>187</v>
      </c>
      <c r="G130" t="s">
        <v>97</v>
      </c>
      <c r="H130" t="s">
        <v>50</v>
      </c>
      <c r="I130">
        <v>17</v>
      </c>
      <c r="K130">
        <v>20</v>
      </c>
      <c r="L130">
        <v>13.9</v>
      </c>
      <c r="O130">
        <v>80</v>
      </c>
      <c r="Q130" s="2">
        <f>5.94*10^15</f>
        <v>5940000000000000</v>
      </c>
      <c r="AD130" t="str">
        <f t="shared" si="7"/>
        <v>Chan (2015)|GARDN|Ground|CF700-2D2|1|Climb</v>
      </c>
      <c r="AE130" s="13" cm="1">
        <f t="array" ref="AE130">I130 / _xlfn.XLOOKUP($AD130 &amp; "|" &amp; $H130, $AD:$AD &amp; "|" &amp; $G:$G, I:I)</f>
        <v>0.9289617486338797</v>
      </c>
      <c r="AF130" s="13" t="e" cm="1">
        <f t="array" ref="AF130">J130 / _xlfn.XLOOKUP($AD130 &amp; "|" &amp; $H130, $AD:$AD &amp; "|" &amp; $G:$G, J:J)</f>
        <v>#DIV/0!</v>
      </c>
      <c r="AG130" s="13" cm="1">
        <f t="array" ref="AG130">K130 / _xlfn.XLOOKUP($AD130 &amp; "|" &amp; $H130, $AD:$AD &amp; "|" &amp; $G:$G, K:K)</f>
        <v>0.10526315789473684</v>
      </c>
      <c r="AH130" s="13" cm="1">
        <f t="array" ref="AH130">L130 / _xlfn.XLOOKUP($AD130 &amp; "|" &amp; $H130, $AD:$AD &amp; "|" &amp; $G:$G, L:L)</f>
        <v>1.0145985401459854</v>
      </c>
      <c r="AI130" s="13" t="e" cm="1">
        <f t="array" ref="AI130">M130 / _xlfn.XLOOKUP($AD130 &amp; "|" &amp; $H130, $AD:$AD &amp; "|" &amp; $G:$G, M:M)</f>
        <v>#DIV/0!</v>
      </c>
      <c r="AJ130" s="13" t="e" cm="1">
        <f t="array" ref="AJ130">N130 / _xlfn.XLOOKUP($AD130 &amp; "|" &amp; $H130, $AD:$AD &amp; "|" &amp; $G:$G, N:N)</f>
        <v>#DIV/0!</v>
      </c>
      <c r="AK130" s="13" cm="1">
        <f t="array" ref="AK130">O130 / _xlfn.XLOOKUP($AD130 &amp; "|" &amp; $H130, $AD:$AD &amp; "|" &amp; $G:$G, O:O)</f>
        <v>1</v>
      </c>
      <c r="AL130" s="13" t="e" cm="1">
        <f t="array" ref="AL130">P130 / _xlfn.XLOOKUP($AD130 &amp; "|" &amp; $H130, $AD:$AD &amp; "|" &amp; $G:$G, P:P)</f>
        <v>#DIV/0!</v>
      </c>
      <c r="AM130" s="13">
        <f t="shared" ref="AM130:AM132" si="11">(Q130)/Q$129</f>
        <v>0.7518987341772152</v>
      </c>
      <c r="AN130" s="13"/>
      <c r="AU130" s="13"/>
      <c r="AW130" s="13" cm="1">
        <f t="array" ref="AW130">_xlfn.XLOOKUP($AD130 &amp; "|" &amp; $H130, $AD:$AD &amp; "|" &amp; $G:$G, L:L)</f>
        <v>13.7</v>
      </c>
      <c r="AY130" s="13"/>
      <c r="AZ130" t="s">
        <v>235</v>
      </c>
    </row>
    <row r="131" spans="1:52" x14ac:dyDescent="0.2">
      <c r="A131" t="s">
        <v>84</v>
      </c>
      <c r="B131" t="s">
        <v>85</v>
      </c>
      <c r="C131" t="s">
        <v>110</v>
      </c>
      <c r="D131" t="s">
        <v>81</v>
      </c>
      <c r="E131">
        <v>1</v>
      </c>
      <c r="F131" t="s">
        <v>187</v>
      </c>
      <c r="G131" t="s">
        <v>98</v>
      </c>
      <c r="H131" t="s">
        <v>50</v>
      </c>
      <c r="I131">
        <v>10.4</v>
      </c>
      <c r="J131" s="7"/>
      <c r="K131">
        <v>244</v>
      </c>
      <c r="L131">
        <v>14.6</v>
      </c>
      <c r="O131">
        <v>80</v>
      </c>
      <c r="Q131" s="2">
        <f>3.49*10^15</f>
        <v>3490000000000000</v>
      </c>
      <c r="AD131" t="str">
        <f t="shared" ref="AD131:AD194" si="12">A131 &amp; "|" &amp; B131 &amp; "|" &amp; C131 &amp; "|" &amp; D131 &amp; "|" &amp; E131 &amp;"|" &amp; F131</f>
        <v>Chan (2015)|GARDN|Ground|CF700-2D2|1|Climb</v>
      </c>
      <c r="AE131" s="13" cm="1">
        <f t="array" ref="AE131">I131 / _xlfn.XLOOKUP($AD131 &amp; "|" &amp; $H131, $AD:$AD &amp; "|" &amp; $G:$G, I:I)</f>
        <v>0.56830601092896171</v>
      </c>
      <c r="AF131" s="13" t="e" cm="1">
        <f t="array" ref="AF131">J131 / _xlfn.XLOOKUP($AD131 &amp; "|" &amp; $H131, $AD:$AD &amp; "|" &amp; $G:$G, J:J)</f>
        <v>#DIV/0!</v>
      </c>
      <c r="AG131" s="13" cm="1">
        <f t="array" ref="AG131">K131 / _xlfn.XLOOKUP($AD131 &amp; "|" &amp; $H131, $AD:$AD &amp; "|" &amp; $G:$G, K:K)</f>
        <v>1.2842105263157895</v>
      </c>
      <c r="AH131" s="13" cm="1">
        <f t="array" ref="AH131">L131 / _xlfn.XLOOKUP($AD131 &amp; "|" &amp; $H131, $AD:$AD &amp; "|" &amp; $G:$G, L:L)</f>
        <v>1.0656934306569343</v>
      </c>
      <c r="AI131" s="13" t="e" cm="1">
        <f t="array" ref="AI131">M131 / _xlfn.XLOOKUP($AD131 &amp; "|" &amp; $H131, $AD:$AD &amp; "|" &amp; $G:$G, M:M)</f>
        <v>#DIV/0!</v>
      </c>
      <c r="AJ131" s="13" t="e" cm="1">
        <f t="array" ref="AJ131">N131 / _xlfn.XLOOKUP($AD131 &amp; "|" &amp; $H131, $AD:$AD &amp; "|" &amp; $G:$G, N:N)</f>
        <v>#DIV/0!</v>
      </c>
      <c r="AK131" s="13" cm="1">
        <f t="array" ref="AK131">O131 / _xlfn.XLOOKUP($AD131 &amp; "|" &amp; $H131, $AD:$AD &amp; "|" &amp; $G:$G, O:O)</f>
        <v>1</v>
      </c>
      <c r="AL131" s="13" t="e" cm="1">
        <f t="array" ref="AL131">P131 / _xlfn.XLOOKUP($AD131 &amp; "|" &amp; $H131, $AD:$AD &amp; "|" &amp; $G:$G, P:P)</f>
        <v>#DIV/0!</v>
      </c>
      <c r="AM131" s="13">
        <f t="shared" si="11"/>
        <v>0.4417721518987342</v>
      </c>
      <c r="AN131" s="13"/>
      <c r="AU131" s="13"/>
      <c r="AW131" s="13" cm="1">
        <f t="array" ref="AW131">_xlfn.XLOOKUP($AD131 &amp; "|" &amp; $H131, $AD:$AD &amp; "|" &amp; $G:$G, L:L)</f>
        <v>13.7</v>
      </c>
      <c r="AY131" s="13"/>
      <c r="AZ131" t="s">
        <v>235</v>
      </c>
    </row>
    <row r="132" spans="1:52" x14ac:dyDescent="0.2">
      <c r="A132" t="s">
        <v>84</v>
      </c>
      <c r="B132" t="s">
        <v>85</v>
      </c>
      <c r="C132" t="s">
        <v>110</v>
      </c>
      <c r="D132" t="s">
        <v>81</v>
      </c>
      <c r="E132">
        <v>1</v>
      </c>
      <c r="F132" t="s">
        <v>187</v>
      </c>
      <c r="G132" t="s">
        <v>99</v>
      </c>
      <c r="H132" t="s">
        <v>50</v>
      </c>
      <c r="I132">
        <v>0.5</v>
      </c>
      <c r="J132" s="7"/>
      <c r="K132">
        <v>0</v>
      </c>
      <c r="L132">
        <v>15.3</v>
      </c>
      <c r="O132">
        <v>80</v>
      </c>
      <c r="Q132" s="2">
        <f>0.56*10^15</f>
        <v>560000000000000.06</v>
      </c>
      <c r="AD132" t="str">
        <f t="shared" si="12"/>
        <v>Chan (2015)|GARDN|Ground|CF700-2D2|1|Climb</v>
      </c>
      <c r="AE132" s="13" cm="1">
        <f t="array" ref="AE132">I132 / _xlfn.XLOOKUP($AD132 &amp; "|" &amp; $H132, $AD:$AD &amp; "|" &amp; $G:$G, I:I)</f>
        <v>2.7322404371584699E-2</v>
      </c>
      <c r="AF132" s="13" t="e" cm="1">
        <f t="array" ref="AF132">J132 / _xlfn.XLOOKUP($AD132 &amp; "|" &amp; $H132, $AD:$AD &amp; "|" &amp; $G:$G, J:J)</f>
        <v>#DIV/0!</v>
      </c>
      <c r="AG132" s="13" cm="1">
        <f t="array" ref="AG132">K132 / _xlfn.XLOOKUP($AD132 &amp; "|" &amp; $H132, $AD:$AD &amp; "|" &amp; $G:$G, K:K)</f>
        <v>0</v>
      </c>
      <c r="AH132" s="13" cm="1">
        <f t="array" ref="AH132">L132 / _xlfn.XLOOKUP($AD132 &amp; "|" &amp; $H132, $AD:$AD &amp; "|" &amp; $G:$G, L:L)</f>
        <v>1.1167883211678833</v>
      </c>
      <c r="AI132" s="13" t="e" cm="1">
        <f t="array" ref="AI132">M132 / _xlfn.XLOOKUP($AD132 &amp; "|" &amp; $H132, $AD:$AD &amp; "|" &amp; $G:$G, M:M)</f>
        <v>#DIV/0!</v>
      </c>
      <c r="AJ132" s="13" t="e" cm="1">
        <f t="array" ref="AJ132">N132 / _xlfn.XLOOKUP($AD132 &amp; "|" &amp; $H132, $AD:$AD &amp; "|" &amp; $G:$G, N:N)</f>
        <v>#DIV/0!</v>
      </c>
      <c r="AK132" s="13" cm="1">
        <f t="array" ref="AK132">O132 / _xlfn.XLOOKUP($AD132 &amp; "|" &amp; $H132, $AD:$AD &amp; "|" &amp; $G:$G, O:O)</f>
        <v>1</v>
      </c>
      <c r="AL132" s="13" t="e" cm="1">
        <f t="array" ref="AL132">P132 / _xlfn.XLOOKUP($AD132 &amp; "|" &amp; $H132, $AD:$AD &amp; "|" &amp; $G:$G, P:P)</f>
        <v>#DIV/0!</v>
      </c>
      <c r="AM132" s="13">
        <f t="shared" si="11"/>
        <v>7.0886075949367092E-2</v>
      </c>
      <c r="AN132" s="13"/>
      <c r="AU132" s="13"/>
      <c r="AW132" s="13" cm="1">
        <f t="array" ref="AW132">_xlfn.XLOOKUP($AD132 &amp; "|" &amp; $H132, $AD:$AD &amp; "|" &amp; $G:$G, L:L)</f>
        <v>13.7</v>
      </c>
      <c r="AY132" s="13"/>
      <c r="AZ132" t="s">
        <v>235</v>
      </c>
    </row>
    <row r="133" spans="1:52" x14ac:dyDescent="0.2">
      <c r="A133" t="s">
        <v>84</v>
      </c>
      <c r="B133" t="s">
        <v>85</v>
      </c>
      <c r="C133" t="s">
        <v>110</v>
      </c>
      <c r="D133" t="s">
        <v>81</v>
      </c>
      <c r="E133">
        <v>1</v>
      </c>
      <c r="F133" t="s">
        <v>195</v>
      </c>
      <c r="G133" t="s">
        <v>50</v>
      </c>
      <c r="I133">
        <v>18.3</v>
      </c>
      <c r="J133" s="7"/>
      <c r="K133">
        <v>190</v>
      </c>
      <c r="L133">
        <v>13.7</v>
      </c>
      <c r="O133">
        <v>95</v>
      </c>
      <c r="Q133" s="2">
        <f>9.9*10^15</f>
        <v>9900000000000000</v>
      </c>
      <c r="AD133" t="str">
        <f t="shared" si="12"/>
        <v>Chan (2015)|GARDN|Ground|CF700-2D2|1|Take-off</v>
      </c>
      <c r="AM133" s="13"/>
      <c r="AN133" s="13"/>
      <c r="AU133" s="13"/>
      <c r="AW133" s="13" t="e" cm="1">
        <f t="array" ref="AW133">_xlfn.XLOOKUP($AD133 &amp; "|" &amp; $H133, $AD:$AD &amp; "|" &amp; $G:$G, L:L)</f>
        <v>#N/A</v>
      </c>
      <c r="AY133" s="13"/>
      <c r="AZ133" t="s">
        <v>235</v>
      </c>
    </row>
    <row r="134" spans="1:52" x14ac:dyDescent="0.2">
      <c r="A134" t="s">
        <v>84</v>
      </c>
      <c r="B134" t="s">
        <v>85</v>
      </c>
      <c r="C134" t="s">
        <v>110</v>
      </c>
      <c r="D134" t="s">
        <v>81</v>
      </c>
      <c r="E134">
        <v>1</v>
      </c>
      <c r="F134" t="s">
        <v>195</v>
      </c>
      <c r="G134" t="s">
        <v>97</v>
      </c>
      <c r="H134" t="s">
        <v>50</v>
      </c>
      <c r="I134">
        <v>17</v>
      </c>
      <c r="K134">
        <v>20</v>
      </c>
      <c r="L134">
        <v>13.9</v>
      </c>
      <c r="O134">
        <v>95</v>
      </c>
      <c r="Q134" s="2">
        <f>9.2*10^15</f>
        <v>9200000000000000</v>
      </c>
      <c r="AD134" t="str">
        <f t="shared" si="12"/>
        <v>Chan (2015)|GARDN|Ground|CF700-2D2|1|Take-off</v>
      </c>
      <c r="AE134" s="13" cm="1">
        <f t="array" ref="AE134">I134 / _xlfn.XLOOKUP($AD134 &amp; "|" &amp; $H134, $AD:$AD &amp; "|" &amp; $G:$G, I:I)</f>
        <v>0.9289617486338797</v>
      </c>
      <c r="AF134" s="13" t="e" cm="1">
        <f t="array" ref="AF134">J134 / _xlfn.XLOOKUP($AD134 &amp; "|" &amp; $H134, $AD:$AD &amp; "|" &amp; $G:$G, J:J)</f>
        <v>#DIV/0!</v>
      </c>
      <c r="AG134" s="13" cm="1">
        <f t="array" ref="AG134">K134 / _xlfn.XLOOKUP($AD134 &amp; "|" &amp; $H134, $AD:$AD &amp; "|" &amp; $G:$G, K:K)</f>
        <v>0.10526315789473684</v>
      </c>
      <c r="AH134" s="13" cm="1">
        <f t="array" ref="AH134">L134 / _xlfn.XLOOKUP($AD134 &amp; "|" &amp; $H134, $AD:$AD &amp; "|" &amp; $G:$G, L:L)</f>
        <v>1.0145985401459854</v>
      </c>
      <c r="AI134" s="13" t="e" cm="1">
        <f t="array" ref="AI134">M134 / _xlfn.XLOOKUP($AD134 &amp; "|" &amp; $H134, $AD:$AD &amp; "|" &amp; $G:$G, M:M)</f>
        <v>#DIV/0!</v>
      </c>
      <c r="AJ134" s="13" t="e" cm="1">
        <f t="array" ref="AJ134">N134 / _xlfn.XLOOKUP($AD134 &amp; "|" &amp; $H134, $AD:$AD &amp; "|" &amp; $G:$G, N:N)</f>
        <v>#DIV/0!</v>
      </c>
      <c r="AK134" s="13" cm="1">
        <f t="array" ref="AK134">O134 / _xlfn.XLOOKUP($AD134 &amp; "|" &amp; $H134, $AD:$AD &amp; "|" &amp; $G:$G, O:O)</f>
        <v>1</v>
      </c>
      <c r="AL134" s="13" t="e" cm="1">
        <f t="array" ref="AL134">P134 / _xlfn.XLOOKUP($AD134 &amp; "|" &amp; $H134, $AD:$AD &amp; "|" &amp; $G:$G, P:P)</f>
        <v>#DIV/0!</v>
      </c>
      <c r="AM134" s="13">
        <f t="shared" ref="AM134:AM136" si="13">(Q134)/Q$133</f>
        <v>0.92929292929292928</v>
      </c>
      <c r="AN134" s="13"/>
      <c r="AU134" s="13"/>
      <c r="AW134" s="13" cm="1">
        <f t="array" ref="AW134">_xlfn.XLOOKUP($AD134 &amp; "|" &amp; $H134, $AD:$AD &amp; "|" &amp; $G:$G, L:L)</f>
        <v>13.7</v>
      </c>
      <c r="AY134" s="13"/>
      <c r="AZ134" t="s">
        <v>235</v>
      </c>
    </row>
    <row r="135" spans="1:52" x14ac:dyDescent="0.2">
      <c r="A135" t="s">
        <v>84</v>
      </c>
      <c r="B135" t="s">
        <v>85</v>
      </c>
      <c r="C135" t="s">
        <v>110</v>
      </c>
      <c r="D135" t="s">
        <v>81</v>
      </c>
      <c r="E135">
        <v>1</v>
      </c>
      <c r="F135" t="s">
        <v>195</v>
      </c>
      <c r="G135" t="s">
        <v>98</v>
      </c>
      <c r="H135" t="s">
        <v>50</v>
      </c>
      <c r="I135">
        <v>10.4</v>
      </c>
      <c r="J135" s="7"/>
      <c r="K135">
        <v>244</v>
      </c>
      <c r="L135">
        <v>14.6</v>
      </c>
      <c r="O135">
        <v>95</v>
      </c>
      <c r="Q135" s="2">
        <f>6.14*10^15</f>
        <v>6140000000000000</v>
      </c>
      <c r="AD135" t="str">
        <f t="shared" si="12"/>
        <v>Chan (2015)|GARDN|Ground|CF700-2D2|1|Take-off</v>
      </c>
      <c r="AE135" s="13" cm="1">
        <f t="array" ref="AE135">I135 / _xlfn.XLOOKUP($AD135 &amp; "|" &amp; $H135, $AD:$AD &amp; "|" &amp; $G:$G, I:I)</f>
        <v>0.56830601092896171</v>
      </c>
      <c r="AF135" s="13" t="e" cm="1">
        <f t="array" ref="AF135">J135 / _xlfn.XLOOKUP($AD135 &amp; "|" &amp; $H135, $AD:$AD &amp; "|" &amp; $G:$G, J:J)</f>
        <v>#DIV/0!</v>
      </c>
      <c r="AG135" s="13" cm="1">
        <f t="array" ref="AG135">K135 / _xlfn.XLOOKUP($AD135 &amp; "|" &amp; $H135, $AD:$AD &amp; "|" &amp; $G:$G, K:K)</f>
        <v>1.2842105263157895</v>
      </c>
      <c r="AH135" s="13" cm="1">
        <f t="array" ref="AH135">L135 / _xlfn.XLOOKUP($AD135 &amp; "|" &amp; $H135, $AD:$AD &amp; "|" &amp; $G:$G, L:L)</f>
        <v>1.0656934306569343</v>
      </c>
      <c r="AI135" s="13" t="e" cm="1">
        <f t="array" ref="AI135">M135 / _xlfn.XLOOKUP($AD135 &amp; "|" &amp; $H135, $AD:$AD &amp; "|" &amp; $G:$G, M:M)</f>
        <v>#DIV/0!</v>
      </c>
      <c r="AJ135" s="13" t="e" cm="1">
        <f t="array" ref="AJ135">N135 / _xlfn.XLOOKUP($AD135 &amp; "|" &amp; $H135, $AD:$AD &amp; "|" &amp; $G:$G, N:N)</f>
        <v>#DIV/0!</v>
      </c>
      <c r="AK135" s="13" cm="1">
        <f t="array" ref="AK135">O135 / _xlfn.XLOOKUP($AD135 &amp; "|" &amp; $H135, $AD:$AD &amp; "|" &amp; $G:$G, O:O)</f>
        <v>1</v>
      </c>
      <c r="AL135" s="13" t="e" cm="1">
        <f t="array" ref="AL135">P135 / _xlfn.XLOOKUP($AD135 &amp; "|" &amp; $H135, $AD:$AD &amp; "|" &amp; $G:$G, P:P)</f>
        <v>#DIV/0!</v>
      </c>
      <c r="AM135" s="13">
        <f t="shared" si="13"/>
        <v>0.6202020202020202</v>
      </c>
      <c r="AN135" s="13"/>
      <c r="AU135" s="13"/>
      <c r="AW135" s="13" cm="1">
        <f t="array" ref="AW135">_xlfn.XLOOKUP($AD135 &amp; "|" &amp; $H135, $AD:$AD &amp; "|" &amp; $G:$G, L:L)</f>
        <v>13.7</v>
      </c>
      <c r="AY135" s="13"/>
      <c r="AZ135" t="s">
        <v>235</v>
      </c>
    </row>
    <row r="136" spans="1:52" x14ac:dyDescent="0.2">
      <c r="A136" t="s">
        <v>84</v>
      </c>
      <c r="B136" t="s">
        <v>85</v>
      </c>
      <c r="C136" t="s">
        <v>110</v>
      </c>
      <c r="D136" t="s">
        <v>81</v>
      </c>
      <c r="E136">
        <v>1</v>
      </c>
      <c r="F136" t="s">
        <v>195</v>
      </c>
      <c r="G136" t="s">
        <v>99</v>
      </c>
      <c r="H136" t="s">
        <v>50</v>
      </c>
      <c r="I136">
        <v>0.5</v>
      </c>
      <c r="J136" s="7"/>
      <c r="K136">
        <v>0</v>
      </c>
      <c r="L136">
        <v>15.3</v>
      </c>
      <c r="O136">
        <v>95</v>
      </c>
      <c r="Q136" s="2">
        <f>2.8*10^15</f>
        <v>2800000000000000</v>
      </c>
      <c r="AD136" t="str">
        <f t="shared" si="12"/>
        <v>Chan (2015)|GARDN|Ground|CF700-2D2|1|Take-off</v>
      </c>
      <c r="AE136" s="13" cm="1">
        <f t="array" ref="AE136">I136 / _xlfn.XLOOKUP($AD136 &amp; "|" &amp; $H136, $AD:$AD &amp; "|" &amp; $G:$G, I:I)</f>
        <v>2.7322404371584699E-2</v>
      </c>
      <c r="AF136" s="13" t="e" cm="1">
        <f t="array" ref="AF136">J136 / _xlfn.XLOOKUP($AD136 &amp; "|" &amp; $H136, $AD:$AD &amp; "|" &amp; $G:$G, J:J)</f>
        <v>#DIV/0!</v>
      </c>
      <c r="AG136" s="13" cm="1">
        <f t="array" ref="AG136">K136 / _xlfn.XLOOKUP($AD136 &amp; "|" &amp; $H136, $AD:$AD &amp; "|" &amp; $G:$G, K:K)</f>
        <v>0</v>
      </c>
      <c r="AH136" s="13" cm="1">
        <f t="array" ref="AH136">L136 / _xlfn.XLOOKUP($AD136 &amp; "|" &amp; $H136, $AD:$AD &amp; "|" &amp; $G:$G, L:L)</f>
        <v>1.1167883211678833</v>
      </c>
      <c r="AI136" s="13" t="e" cm="1">
        <f t="array" ref="AI136">M136 / _xlfn.XLOOKUP($AD136 &amp; "|" &amp; $H136, $AD:$AD &amp; "|" &amp; $G:$G, M:M)</f>
        <v>#DIV/0!</v>
      </c>
      <c r="AJ136" s="13" t="e" cm="1">
        <f t="array" ref="AJ136">N136 / _xlfn.XLOOKUP($AD136 &amp; "|" &amp; $H136, $AD:$AD &amp; "|" &amp; $G:$G, N:N)</f>
        <v>#DIV/0!</v>
      </c>
      <c r="AK136" s="13" cm="1">
        <f t="array" ref="AK136">O136 / _xlfn.XLOOKUP($AD136 &amp; "|" &amp; $H136, $AD:$AD &amp; "|" &amp; $G:$G, O:O)</f>
        <v>1</v>
      </c>
      <c r="AL136" s="13" t="e" cm="1">
        <f t="array" ref="AL136">P136 / _xlfn.XLOOKUP($AD136 &amp; "|" &amp; $H136, $AD:$AD &amp; "|" &amp; $G:$G, P:P)</f>
        <v>#DIV/0!</v>
      </c>
      <c r="AM136" s="13">
        <f t="shared" si="13"/>
        <v>0.28282828282828282</v>
      </c>
      <c r="AN136" s="13"/>
      <c r="AU136" s="13"/>
      <c r="AW136" s="13" cm="1">
        <f t="array" ref="AW136">_xlfn.XLOOKUP($AD136 &amp; "|" &amp; $H136, $AD:$AD &amp; "|" &amp; $G:$G, L:L)</f>
        <v>13.7</v>
      </c>
      <c r="AY136" s="13"/>
      <c r="AZ136" t="s">
        <v>235</v>
      </c>
    </row>
    <row r="137" spans="1:52" x14ac:dyDescent="0.2">
      <c r="A137" t="s">
        <v>100</v>
      </c>
      <c r="C137" t="s">
        <v>110</v>
      </c>
      <c r="D137" t="s">
        <v>101</v>
      </c>
      <c r="E137">
        <v>1</v>
      </c>
      <c r="G137" t="s">
        <v>50</v>
      </c>
      <c r="I137">
        <v>18.5</v>
      </c>
      <c r="K137">
        <v>700</v>
      </c>
      <c r="L137">
        <v>13.65</v>
      </c>
      <c r="P137">
        <f>109*60*60</f>
        <v>392400</v>
      </c>
      <c r="Q137">
        <f>1.9*10^16</f>
        <v>1.9E+16</v>
      </c>
      <c r="AA137">
        <f>(0.6)*10^16</f>
        <v>6000000000000000</v>
      </c>
      <c r="AD137" t="str">
        <f t="shared" si="12"/>
        <v>Lobo (2012)||Ground|APU|1|</v>
      </c>
      <c r="AM137" s="13"/>
      <c r="AN137" s="13"/>
      <c r="AW137" s="13" t="e" cm="1">
        <f t="array" ref="AW137">_xlfn.XLOOKUP($AD137 &amp; "|" &amp; $H137, $AD:$AD &amp; "|" &amp; $G:$G, L:L)</f>
        <v>#N/A</v>
      </c>
      <c r="AY137" s="13"/>
      <c r="AZ137" t="s">
        <v>234</v>
      </c>
    </row>
    <row r="138" spans="1:52" x14ac:dyDescent="0.2">
      <c r="A138" t="s">
        <v>100</v>
      </c>
      <c r="C138" t="s">
        <v>110</v>
      </c>
      <c r="D138" t="s">
        <v>101</v>
      </c>
      <c r="E138">
        <v>1</v>
      </c>
      <c r="G138" t="s">
        <v>102</v>
      </c>
      <c r="H138" t="s">
        <v>50</v>
      </c>
      <c r="I138">
        <v>10.9</v>
      </c>
      <c r="K138">
        <v>100</v>
      </c>
      <c r="L138">
        <v>15.13</v>
      </c>
      <c r="P138">
        <f t="shared" ref="P138:P140" si="14">109*60*60</f>
        <v>392400</v>
      </c>
      <c r="Q138">
        <f>1.9*10^16</f>
        <v>1.9E+16</v>
      </c>
      <c r="AA138">
        <f>(0.7)*10^16</f>
        <v>7000000000000000</v>
      </c>
      <c r="AD138" t="str">
        <f t="shared" si="12"/>
        <v>Lobo (2012)||Ground|APU|1|</v>
      </c>
      <c r="AE138" s="13" cm="1">
        <f t="array" ref="AE138">I138 / _xlfn.XLOOKUP($AD138 &amp; "|" &amp; $H138, $AD:$AD &amp; "|" &amp; $G:$G, I:I)</f>
        <v>0.58918918918918917</v>
      </c>
      <c r="AF138" s="13" t="e" cm="1">
        <f t="array" ref="AF138">J138 / _xlfn.XLOOKUP($AD138 &amp; "|" &amp; $H138, $AD:$AD &amp; "|" &amp; $G:$G, J:J)</f>
        <v>#DIV/0!</v>
      </c>
      <c r="AG138" s="13" cm="1">
        <f t="array" ref="AG138">K138 / _xlfn.XLOOKUP($AD138 &amp; "|" &amp; $H138, $AD:$AD &amp; "|" &amp; $G:$G, K:K)</f>
        <v>0.14285714285714285</v>
      </c>
      <c r="AH138" s="13" cm="1">
        <f t="array" ref="AH138">L138 / _xlfn.XLOOKUP($AD138 &amp; "|" &amp; $H138, $AD:$AD &amp; "|" &amp; $G:$G, L:L)</f>
        <v>1.1084249084249085</v>
      </c>
      <c r="AI138" s="13" t="e" cm="1">
        <f t="array" ref="AI138">M138 / _xlfn.XLOOKUP($AD138 &amp; "|" &amp; $H138, $AD:$AD &amp; "|" &amp; $G:$G, M:M)</f>
        <v>#DIV/0!</v>
      </c>
      <c r="AJ138" s="13" t="e" cm="1">
        <f t="array" ref="AJ138">N138 / _xlfn.XLOOKUP($AD138 &amp; "|" &amp; $H138, $AD:$AD &amp; "|" &amp; $G:$G, N:N)</f>
        <v>#DIV/0!</v>
      </c>
      <c r="AK138" s="13" t="e" cm="1">
        <f t="array" ref="AK138">O138 / _xlfn.XLOOKUP($AD138 &amp; "|" &amp; $H138, $AD:$AD &amp; "|" &amp; $G:$G, O:O)</f>
        <v>#DIV/0!</v>
      </c>
      <c r="AL138" s="13" cm="1">
        <f t="array" ref="AL138">P138 / _xlfn.XLOOKUP($AD138 &amp; "|" &amp; $H138, $AD:$AD &amp; "|" &amp; $G:$G, P:P)</f>
        <v>1</v>
      </c>
      <c r="AM138" s="13" cm="1">
        <f t="array" ref="AM138">Q138 / _xlfn.XLOOKUP($AD138 &amp; "|" &amp; $H138, $AD:$AD &amp; "|" &amp; $G:$G, Q:Q)</f>
        <v>1</v>
      </c>
      <c r="AN138" s="13"/>
      <c r="AU138" s="13"/>
      <c r="AW138" s="13" cm="1">
        <f t="array" ref="AW138">_xlfn.XLOOKUP($AD138 &amp; "|" &amp; $H138, $AD:$AD &amp; "|" &amp; $G:$G, L:L)</f>
        <v>13.65</v>
      </c>
      <c r="AY138" s="13"/>
      <c r="AZ138" t="s">
        <v>234</v>
      </c>
    </row>
    <row r="139" spans="1:52" x14ac:dyDescent="0.2">
      <c r="A139" t="s">
        <v>100</v>
      </c>
      <c r="C139" t="s">
        <v>110</v>
      </c>
      <c r="D139" t="s">
        <v>101</v>
      </c>
      <c r="E139">
        <v>1</v>
      </c>
      <c r="G139" t="s">
        <v>103</v>
      </c>
      <c r="H139" t="s">
        <v>50</v>
      </c>
      <c r="I139">
        <v>0</v>
      </c>
      <c r="K139">
        <v>5</v>
      </c>
      <c r="L139">
        <v>15.5</v>
      </c>
      <c r="P139">
        <f t="shared" si="14"/>
        <v>392400</v>
      </c>
      <c r="Q139">
        <f>0.3*10^16</f>
        <v>3000000000000000</v>
      </c>
      <c r="AA139">
        <f>(0.1)*10^16</f>
        <v>1000000000000000</v>
      </c>
      <c r="AD139" t="str">
        <f t="shared" si="12"/>
        <v>Lobo (2012)||Ground|APU|1|</v>
      </c>
      <c r="AE139" s="13" cm="1">
        <f t="array" ref="AE139">I139 / _xlfn.XLOOKUP($AD139 &amp; "|" &amp; $H139, $AD:$AD &amp; "|" &amp; $G:$G, I:I)</f>
        <v>0</v>
      </c>
      <c r="AF139" s="13" t="e" cm="1">
        <f t="array" ref="AF139">J139 / _xlfn.XLOOKUP($AD139 &amp; "|" &amp; $H139, $AD:$AD &amp; "|" &amp; $G:$G, J:J)</f>
        <v>#DIV/0!</v>
      </c>
      <c r="AG139" s="13" cm="1">
        <f t="array" ref="AG139">K139 / _xlfn.XLOOKUP($AD139 &amp; "|" &amp; $H139, $AD:$AD &amp; "|" &amp; $G:$G, K:K)</f>
        <v>7.1428571428571426E-3</v>
      </c>
      <c r="AH139" s="13" cm="1">
        <f t="array" ref="AH139">L139 / _xlfn.XLOOKUP($AD139 &amp; "|" &amp; $H139, $AD:$AD &amp; "|" &amp; $G:$G, L:L)</f>
        <v>1.1355311355311355</v>
      </c>
      <c r="AI139" s="13" t="e" cm="1">
        <f t="array" ref="AI139">M139 / _xlfn.XLOOKUP($AD139 &amp; "|" &amp; $H139, $AD:$AD &amp; "|" &amp; $G:$G, M:M)</f>
        <v>#DIV/0!</v>
      </c>
      <c r="AJ139" s="13" t="e" cm="1">
        <f t="array" ref="AJ139">N139 / _xlfn.XLOOKUP($AD139 &amp; "|" &amp; $H139, $AD:$AD &amp; "|" &amp; $G:$G, N:N)</f>
        <v>#DIV/0!</v>
      </c>
      <c r="AK139" s="13" t="e" cm="1">
        <f t="array" ref="AK139">O139 / _xlfn.XLOOKUP($AD139 &amp; "|" &amp; $H139, $AD:$AD &amp; "|" &amp; $G:$G, O:O)</f>
        <v>#DIV/0!</v>
      </c>
      <c r="AL139" s="13" cm="1">
        <f t="array" ref="AL139">P139 / _xlfn.XLOOKUP($AD139 &amp; "|" &amp; $H139, $AD:$AD &amp; "|" &amp; $G:$G, P:P)</f>
        <v>1</v>
      </c>
      <c r="AM139" s="13" cm="1">
        <f t="array" ref="AM139">Q139 / _xlfn.XLOOKUP($AD139 &amp; "|" &amp; $H139, $AD:$AD &amp; "|" &amp; $G:$G, Q:Q)</f>
        <v>0.15789473684210525</v>
      </c>
      <c r="AN139" s="13"/>
      <c r="AU139" s="13"/>
      <c r="AW139" s="13" cm="1">
        <f t="array" ref="AW139">_xlfn.XLOOKUP($AD139 &amp; "|" &amp; $H139, $AD:$AD &amp; "|" &amp; $G:$G, L:L)</f>
        <v>13.65</v>
      </c>
      <c r="AY139" s="13"/>
      <c r="AZ139" t="s">
        <v>234</v>
      </c>
    </row>
    <row r="140" spans="1:52" x14ac:dyDescent="0.2">
      <c r="A140" t="s">
        <v>100</v>
      </c>
      <c r="C140" t="s">
        <v>110</v>
      </c>
      <c r="D140" t="s">
        <v>101</v>
      </c>
      <c r="E140">
        <v>1</v>
      </c>
      <c r="G140" s="11" t="s">
        <v>104</v>
      </c>
      <c r="H140" t="s">
        <v>50</v>
      </c>
      <c r="I140">
        <v>9.1999999999999993</v>
      </c>
      <c r="K140">
        <v>352.5</v>
      </c>
      <c r="L140">
        <v>14.59</v>
      </c>
      <c r="P140">
        <f t="shared" si="14"/>
        <v>392400</v>
      </c>
      <c r="Q140">
        <f>1.5*10^16</f>
        <v>1.5E+16</v>
      </c>
      <c r="AA140">
        <f>(0.5)*10^16</f>
        <v>5000000000000000</v>
      </c>
      <c r="AD140" t="str">
        <f t="shared" si="12"/>
        <v>Lobo (2012)||Ground|APU|1|</v>
      </c>
      <c r="AE140" s="13" cm="1">
        <f t="array" ref="AE140">I140 / _xlfn.XLOOKUP($AD140 &amp; "|" &amp; $H140, $AD:$AD &amp; "|" &amp; $G:$G, I:I)</f>
        <v>0.49729729729729727</v>
      </c>
      <c r="AF140" s="13" t="e" cm="1">
        <f t="array" ref="AF140">J140 / _xlfn.XLOOKUP($AD140 &amp; "|" &amp; $H140, $AD:$AD &amp; "|" &amp; $G:$G, J:J)</f>
        <v>#DIV/0!</v>
      </c>
      <c r="AG140" s="13" cm="1">
        <f t="array" ref="AG140">K140 / _xlfn.XLOOKUP($AD140 &amp; "|" &amp; $H140, $AD:$AD &amp; "|" &amp; $G:$G, K:K)</f>
        <v>0.50357142857142856</v>
      </c>
      <c r="AH140" s="13" cm="1">
        <f t="array" ref="AH140">L140 / _xlfn.XLOOKUP($AD140 &amp; "|" &amp; $H140, $AD:$AD &amp; "|" &amp; $G:$G, L:L)</f>
        <v>1.0688644688644688</v>
      </c>
      <c r="AI140" s="13" t="e" cm="1">
        <f t="array" ref="AI140">M140 / _xlfn.XLOOKUP($AD140 &amp; "|" &amp; $H140, $AD:$AD &amp; "|" &amp; $G:$G, M:M)</f>
        <v>#DIV/0!</v>
      </c>
      <c r="AJ140" s="13" t="e" cm="1">
        <f t="array" ref="AJ140">N140 / _xlfn.XLOOKUP($AD140 &amp; "|" &amp; $H140, $AD:$AD &amp; "|" &amp; $G:$G, N:N)</f>
        <v>#DIV/0!</v>
      </c>
      <c r="AK140" s="13" t="e" cm="1">
        <f t="array" ref="AK140">O140 / _xlfn.XLOOKUP($AD140 &amp; "|" &amp; $H140, $AD:$AD &amp; "|" &amp; $G:$G, O:O)</f>
        <v>#DIV/0!</v>
      </c>
      <c r="AL140" s="13" cm="1">
        <f t="array" ref="AL140">P140 / _xlfn.XLOOKUP($AD140 &amp; "|" &amp; $H140, $AD:$AD &amp; "|" &amp; $G:$G, P:P)</f>
        <v>1</v>
      </c>
      <c r="AM140" s="13" cm="1">
        <f t="array" ref="AM140">Q140 / _xlfn.XLOOKUP($AD140 &amp; "|" &amp; $H140, $AD:$AD &amp; "|" &amp; $G:$G, Q:Q)</f>
        <v>0.78947368421052633</v>
      </c>
      <c r="AN140" s="13"/>
      <c r="AU140" s="13"/>
      <c r="AW140" s="13" cm="1">
        <f t="array" ref="AW140">_xlfn.XLOOKUP($AD140 &amp; "|" &amp; $H140, $AD:$AD &amp; "|" &amp; $G:$G, L:L)</f>
        <v>13.65</v>
      </c>
      <c r="AY140" s="13"/>
      <c r="AZ140" t="s">
        <v>234</v>
      </c>
    </row>
    <row r="141" spans="1:52" x14ac:dyDescent="0.2">
      <c r="A141" t="s">
        <v>100</v>
      </c>
      <c r="C141" t="s">
        <v>110</v>
      </c>
      <c r="D141" t="s">
        <v>101</v>
      </c>
      <c r="E141">
        <v>1</v>
      </c>
      <c r="G141" t="s">
        <v>50</v>
      </c>
      <c r="I141">
        <v>18.5</v>
      </c>
      <c r="K141">
        <v>700</v>
      </c>
      <c r="L141">
        <v>13.65</v>
      </c>
      <c r="P141">
        <f t="shared" ref="P141:P144" si="15">57*60*60</f>
        <v>205200</v>
      </c>
      <c r="Q141">
        <f>1.2*10^16</f>
        <v>1.2E+16</v>
      </c>
      <c r="AA141">
        <f>(0.4)*10^16</f>
        <v>4000000000000000</v>
      </c>
      <c r="AD141" t="str">
        <f t="shared" si="12"/>
        <v>Lobo (2012)||Ground|APU|1|</v>
      </c>
      <c r="AM141" s="13"/>
      <c r="AN141" s="13"/>
      <c r="AU141" s="13"/>
      <c r="AW141" s="13" t="e" cm="1">
        <f t="array" ref="AW141">_xlfn.XLOOKUP($AD141 &amp; "|" &amp; $H141, $AD:$AD &amp; "|" &amp; $G:$G, L:L)</f>
        <v>#N/A</v>
      </c>
      <c r="AY141" s="13"/>
      <c r="AZ141" t="s">
        <v>234</v>
      </c>
    </row>
    <row r="142" spans="1:52" x14ac:dyDescent="0.2">
      <c r="A142" t="s">
        <v>100</v>
      </c>
      <c r="C142" t="s">
        <v>110</v>
      </c>
      <c r="D142" t="s">
        <v>101</v>
      </c>
      <c r="E142">
        <v>1</v>
      </c>
      <c r="G142" t="s">
        <v>102</v>
      </c>
      <c r="H142" t="s">
        <v>50</v>
      </c>
      <c r="I142">
        <v>10.9</v>
      </c>
      <c r="K142">
        <v>100</v>
      </c>
      <c r="L142">
        <v>15.13</v>
      </c>
      <c r="P142">
        <f t="shared" si="15"/>
        <v>205200</v>
      </c>
      <c r="Q142">
        <f>0.7*10^16</f>
        <v>7000000000000000</v>
      </c>
      <c r="AA142">
        <f>(0.2)*10^16</f>
        <v>2000000000000000</v>
      </c>
      <c r="AD142" t="str">
        <f t="shared" si="12"/>
        <v>Lobo (2012)||Ground|APU|1|</v>
      </c>
      <c r="AE142" s="13" cm="1">
        <f t="array" ref="AE142">I142 / _xlfn.XLOOKUP($AD142 &amp; "|" &amp; $H142, $AD:$AD &amp; "|" &amp; $G:$G, I:I)</f>
        <v>0.58918918918918917</v>
      </c>
      <c r="AF142" s="13" t="e" cm="1">
        <f t="array" ref="AF142">J142 / _xlfn.XLOOKUP($AD142 &amp; "|" &amp; $H142, $AD:$AD &amp; "|" &amp; $G:$G, J:J)</f>
        <v>#DIV/0!</v>
      </c>
      <c r="AG142" s="13" cm="1">
        <f t="array" ref="AG142">K142 / _xlfn.XLOOKUP($AD142 &amp; "|" &amp; $H142, $AD:$AD &amp; "|" &amp; $G:$G, K:K)</f>
        <v>0.14285714285714285</v>
      </c>
      <c r="AH142" s="13" cm="1">
        <f t="array" ref="AH142">L142 / _xlfn.XLOOKUP($AD142 &amp; "|" &amp; $H142, $AD:$AD &amp; "|" &amp; $G:$G, L:L)</f>
        <v>1.1084249084249085</v>
      </c>
      <c r="AI142" s="13" t="e" cm="1">
        <f t="array" ref="AI142">M142 / _xlfn.XLOOKUP($AD142 &amp; "|" &amp; $H142, $AD:$AD &amp; "|" &amp; $G:$G, M:M)</f>
        <v>#DIV/0!</v>
      </c>
      <c r="AJ142" s="13" t="e" cm="1">
        <f t="array" ref="AJ142">N142 / _xlfn.XLOOKUP($AD142 &amp; "|" &amp; $H142, $AD:$AD &amp; "|" &amp; $G:$G, N:N)</f>
        <v>#DIV/0!</v>
      </c>
      <c r="AK142" s="13" t="e" cm="1">
        <f t="array" ref="AK142">O142 / _xlfn.XLOOKUP($AD142 &amp; "|" &amp; $H142, $AD:$AD &amp; "|" &amp; $G:$G, O:O)</f>
        <v>#DIV/0!</v>
      </c>
      <c r="AL142" s="13" cm="1">
        <f t="array" ref="AL142">P142 / _xlfn.XLOOKUP($AD142 &amp; "|" &amp; $H142, $AD:$AD &amp; "|" &amp; $G:$G, P:P)</f>
        <v>0.52293577981651373</v>
      </c>
      <c r="AM142" s="13" cm="1">
        <f t="array" ref="AM142">Q142 / _xlfn.XLOOKUP($AD142 &amp; "|" &amp; $H142, $AD:$AD &amp; "|" &amp; $G:$G, Q:Q)</f>
        <v>0.36842105263157893</v>
      </c>
      <c r="AN142" s="13"/>
      <c r="AU142" s="13"/>
      <c r="AW142" s="13" cm="1">
        <f t="array" ref="AW142">_xlfn.XLOOKUP($AD142 &amp; "|" &amp; $H142, $AD:$AD &amp; "|" &amp; $G:$G, L:L)</f>
        <v>13.65</v>
      </c>
      <c r="AY142" s="13"/>
      <c r="AZ142" t="s">
        <v>234</v>
      </c>
    </row>
    <row r="143" spans="1:52" x14ac:dyDescent="0.2">
      <c r="A143" t="s">
        <v>100</v>
      </c>
      <c r="C143" t="s">
        <v>110</v>
      </c>
      <c r="D143" t="s">
        <v>101</v>
      </c>
      <c r="E143">
        <v>1</v>
      </c>
      <c r="G143" t="s">
        <v>103</v>
      </c>
      <c r="H143" t="s">
        <v>50</v>
      </c>
      <c r="I143">
        <v>0</v>
      </c>
      <c r="K143">
        <v>5</v>
      </c>
      <c r="L143">
        <v>15.5</v>
      </c>
      <c r="P143">
        <f t="shared" si="15"/>
        <v>205200</v>
      </c>
      <c r="Q143">
        <f>0.02*10^16</f>
        <v>200000000000000</v>
      </c>
      <c r="AA143">
        <f>(0.007)*10^16</f>
        <v>70000000000000</v>
      </c>
      <c r="AD143" t="str">
        <f t="shared" si="12"/>
        <v>Lobo (2012)||Ground|APU|1|</v>
      </c>
      <c r="AE143" s="13" cm="1">
        <f t="array" ref="AE143">I143 / _xlfn.XLOOKUP($AD143 &amp; "|" &amp; $H143, $AD:$AD &amp; "|" &amp; $G:$G, I:I)</f>
        <v>0</v>
      </c>
      <c r="AF143" s="13" t="e" cm="1">
        <f t="array" ref="AF143">J143 / _xlfn.XLOOKUP($AD143 &amp; "|" &amp; $H143, $AD:$AD &amp; "|" &amp; $G:$G, J:J)</f>
        <v>#DIV/0!</v>
      </c>
      <c r="AG143" s="13" cm="1">
        <f t="array" ref="AG143">K143 / _xlfn.XLOOKUP($AD143 &amp; "|" &amp; $H143, $AD:$AD &amp; "|" &amp; $G:$G, K:K)</f>
        <v>7.1428571428571426E-3</v>
      </c>
      <c r="AH143" s="13" cm="1">
        <f t="array" ref="AH143">L143 / _xlfn.XLOOKUP($AD143 &amp; "|" &amp; $H143, $AD:$AD &amp; "|" &amp; $G:$G, L:L)</f>
        <v>1.1355311355311355</v>
      </c>
      <c r="AI143" s="13" t="e" cm="1">
        <f t="array" ref="AI143">M143 / _xlfn.XLOOKUP($AD143 &amp; "|" &amp; $H143, $AD:$AD &amp; "|" &amp; $G:$G, M:M)</f>
        <v>#DIV/0!</v>
      </c>
      <c r="AJ143" s="13" t="e" cm="1">
        <f t="array" ref="AJ143">N143 / _xlfn.XLOOKUP($AD143 &amp; "|" &amp; $H143, $AD:$AD &amp; "|" &amp; $G:$G, N:N)</f>
        <v>#DIV/0!</v>
      </c>
      <c r="AK143" s="13" t="e" cm="1">
        <f t="array" ref="AK143">O143 / _xlfn.XLOOKUP($AD143 &amp; "|" &amp; $H143, $AD:$AD &amp; "|" &amp; $G:$G, O:O)</f>
        <v>#DIV/0!</v>
      </c>
      <c r="AL143" s="13" cm="1">
        <f t="array" ref="AL143">P143 / _xlfn.XLOOKUP($AD143 &amp; "|" &amp; $H143, $AD:$AD &amp; "|" &amp; $G:$G, P:P)</f>
        <v>0.52293577981651373</v>
      </c>
      <c r="AM143" s="13" cm="1">
        <f t="array" ref="AM143">Q143 / _xlfn.XLOOKUP($AD143 &amp; "|" &amp; $H143, $AD:$AD &amp; "|" &amp; $G:$G, Q:Q)</f>
        <v>1.0526315789473684E-2</v>
      </c>
      <c r="AN143" s="13"/>
      <c r="AU143" s="13"/>
      <c r="AW143" s="13" cm="1">
        <f t="array" ref="AW143">_xlfn.XLOOKUP($AD143 &amp; "|" &amp; $H143, $AD:$AD &amp; "|" &amp; $G:$G, L:L)</f>
        <v>13.65</v>
      </c>
      <c r="AY143" s="13"/>
      <c r="AZ143" t="s">
        <v>234</v>
      </c>
    </row>
    <row r="144" spans="1:52" x14ac:dyDescent="0.2">
      <c r="A144" t="s">
        <v>100</v>
      </c>
      <c r="C144" t="s">
        <v>110</v>
      </c>
      <c r="D144" t="s">
        <v>101</v>
      </c>
      <c r="E144">
        <v>1</v>
      </c>
      <c r="G144" s="11" t="s">
        <v>104</v>
      </c>
      <c r="H144" t="s">
        <v>50</v>
      </c>
      <c r="I144">
        <v>9.1999999999999993</v>
      </c>
      <c r="K144">
        <v>352.5</v>
      </c>
      <c r="L144">
        <v>14.59</v>
      </c>
      <c r="P144">
        <f t="shared" si="15"/>
        <v>205200</v>
      </c>
      <c r="Q144">
        <f>0.5*10^16</f>
        <v>5000000000000000</v>
      </c>
      <c r="AA144">
        <f>(0.2)*10^16</f>
        <v>2000000000000000</v>
      </c>
      <c r="AD144" t="str">
        <f t="shared" si="12"/>
        <v>Lobo (2012)||Ground|APU|1|</v>
      </c>
      <c r="AE144" s="13" cm="1">
        <f t="array" ref="AE144">I144 / _xlfn.XLOOKUP($AD144 &amp; "|" &amp; $H144, $AD:$AD &amp; "|" &amp; $G:$G, I:I)</f>
        <v>0.49729729729729727</v>
      </c>
      <c r="AF144" s="13" t="e" cm="1">
        <f t="array" ref="AF144">J144 / _xlfn.XLOOKUP($AD144 &amp; "|" &amp; $H144, $AD:$AD &amp; "|" &amp; $G:$G, J:J)</f>
        <v>#DIV/0!</v>
      </c>
      <c r="AG144" s="13" cm="1">
        <f t="array" ref="AG144">K144 / _xlfn.XLOOKUP($AD144 &amp; "|" &amp; $H144, $AD:$AD &amp; "|" &amp; $G:$G, K:K)</f>
        <v>0.50357142857142856</v>
      </c>
      <c r="AH144" s="13" cm="1">
        <f t="array" ref="AH144">L144 / _xlfn.XLOOKUP($AD144 &amp; "|" &amp; $H144, $AD:$AD &amp; "|" &amp; $G:$G, L:L)</f>
        <v>1.0688644688644688</v>
      </c>
      <c r="AI144" s="13" t="e" cm="1">
        <f t="array" ref="AI144">M144 / _xlfn.XLOOKUP($AD144 &amp; "|" &amp; $H144, $AD:$AD &amp; "|" &amp; $G:$G, M:M)</f>
        <v>#DIV/0!</v>
      </c>
      <c r="AJ144" s="13" t="e" cm="1">
        <f t="array" ref="AJ144">N144 / _xlfn.XLOOKUP($AD144 &amp; "|" &amp; $H144, $AD:$AD &amp; "|" &amp; $G:$G, N:N)</f>
        <v>#DIV/0!</v>
      </c>
      <c r="AK144" s="13" t="e" cm="1">
        <f t="array" ref="AK144">O144 / _xlfn.XLOOKUP($AD144 &amp; "|" &amp; $H144, $AD:$AD &amp; "|" &amp; $G:$G, O:O)</f>
        <v>#DIV/0!</v>
      </c>
      <c r="AL144" s="13" cm="1">
        <f t="array" ref="AL144">P144 / _xlfn.XLOOKUP($AD144 &amp; "|" &amp; $H144, $AD:$AD &amp; "|" &amp; $G:$G, P:P)</f>
        <v>0.52293577981651373</v>
      </c>
      <c r="AM144" s="13" cm="1">
        <f t="array" ref="AM144">Q144 / _xlfn.XLOOKUP($AD144 &amp; "|" &amp; $H144, $AD:$AD &amp; "|" &amp; $G:$G, Q:Q)</f>
        <v>0.26315789473684209</v>
      </c>
      <c r="AN144" s="13"/>
      <c r="AU144" s="13"/>
      <c r="AW144" s="13" cm="1">
        <f t="array" ref="AW144">_xlfn.XLOOKUP($AD144 &amp; "|" &amp; $H144, $AD:$AD &amp; "|" &amp; $G:$G, L:L)</f>
        <v>13.65</v>
      </c>
      <c r="AY144" s="13"/>
      <c r="AZ144" t="s">
        <v>234</v>
      </c>
    </row>
    <row r="145" spans="1:52" x14ac:dyDescent="0.2">
      <c r="A145" t="s">
        <v>119</v>
      </c>
      <c r="B145" t="s">
        <v>123</v>
      </c>
      <c r="C145" t="s">
        <v>36</v>
      </c>
      <c r="D145" t="s">
        <v>112</v>
      </c>
      <c r="E145">
        <v>90</v>
      </c>
      <c r="F145" t="s">
        <v>201</v>
      </c>
      <c r="G145" t="s">
        <v>120</v>
      </c>
      <c r="I145">
        <v>21.1</v>
      </c>
      <c r="J145">
        <v>0.68</v>
      </c>
      <c r="K145">
        <v>416</v>
      </c>
      <c r="L145">
        <v>13.6</v>
      </c>
      <c r="O145">
        <f>AY145/(0.985*60*60) *100</f>
        <v>45.52027450742208</v>
      </c>
      <c r="P145" s="6">
        <f>(0.28)*60*60</f>
        <v>1008</v>
      </c>
      <c r="Q145">
        <f>2.63*10^14</f>
        <v>263000000000000</v>
      </c>
      <c r="R145">
        <f>3.86*10^14</f>
        <v>386000000000000</v>
      </c>
      <c r="Y145">
        <v>27</v>
      </c>
      <c r="AD145" t="str">
        <f t="shared" si="12"/>
        <v>Morre (2017)|ACCESS-II|Cruise|CFM56-2C1|90|Eg no 3 medium power</v>
      </c>
      <c r="AW145" s="13" t="e" cm="1">
        <f t="array" ref="AW145">_xlfn.XLOOKUP($AD145 &amp; "|" &amp; $H145, $AD:$AD &amp; "|" &amp; $G:$G, L:L)</f>
        <v>#N/A</v>
      </c>
      <c r="AY145" s="6">
        <f>P145*(223/288.15)^3.8*(101325/25675)*EXP((0.2*0.6^2))</f>
        <v>1614.1489340331871</v>
      </c>
      <c r="AZ145" t="s">
        <v>235</v>
      </c>
    </row>
    <row r="146" spans="1:52" x14ac:dyDescent="0.2">
      <c r="A146" t="s">
        <v>119</v>
      </c>
      <c r="B146" t="s">
        <v>123</v>
      </c>
      <c r="C146" t="s">
        <v>36</v>
      </c>
      <c r="D146" t="s">
        <v>112</v>
      </c>
      <c r="E146">
        <v>90</v>
      </c>
      <c r="F146" t="s">
        <v>201</v>
      </c>
      <c r="G146" t="s">
        <v>121</v>
      </c>
      <c r="H146" t="s">
        <v>120</v>
      </c>
      <c r="I146">
        <v>21.4</v>
      </c>
      <c r="J146">
        <v>0.68</v>
      </c>
      <c r="K146">
        <v>22</v>
      </c>
      <c r="L146">
        <v>13.8</v>
      </c>
      <c r="O146">
        <f t="shared" ref="O146:O160" si="16">AY146/(0.985*60*60) *100</f>
        <v>45.52027450742208</v>
      </c>
      <c r="P146" s="6">
        <f t="shared" ref="P146:P147" si="17">(0.28)*60*60</f>
        <v>1008</v>
      </c>
      <c r="Q146">
        <f>3.43*10^14</f>
        <v>343000000000000</v>
      </c>
      <c r="R146">
        <f>3.52*10^14</f>
        <v>352000000000000</v>
      </c>
      <c r="AD146" t="str">
        <f t="shared" si="12"/>
        <v>Morre (2017)|ACCESS-II|Cruise|CFM56-2C1|90|Eg no 3 medium power</v>
      </c>
      <c r="AE146" s="13" cm="1">
        <f t="array" ref="AE146">I146 / _xlfn.XLOOKUP($AD146 &amp; "|" &amp; $H146, $AD:$AD &amp; "|" &amp; $G:$G, I:I)</f>
        <v>1.0142180094786728</v>
      </c>
      <c r="AF146" s="13" cm="1">
        <f t="array" ref="AF146">J146 / _xlfn.XLOOKUP($AD146 &amp; "|" &amp; $H146, $AD:$AD &amp; "|" &amp; $G:$G, J:J)</f>
        <v>1</v>
      </c>
      <c r="AG146" s="13" cm="1">
        <f t="array" ref="AG146">K146 / _xlfn.XLOOKUP($AD146 &amp; "|" &amp; $H146, $AD:$AD &amp; "|" &amp; $G:$G, K:K)</f>
        <v>5.2884615384615384E-2</v>
      </c>
      <c r="AH146" s="13" cm="1">
        <f t="array" ref="AH146">L146 / _xlfn.XLOOKUP($AD146 &amp; "|" &amp; $H146, $AD:$AD &amp; "|" &amp; $G:$G, L:L)</f>
        <v>1.0147058823529413</v>
      </c>
      <c r="AI146" s="13" t="e" cm="1">
        <f t="array" ref="AI146">M146 / _xlfn.XLOOKUP($AD146 &amp; "|" &amp; $H146, $AD:$AD &amp; "|" &amp; $G:$G, M:M)</f>
        <v>#DIV/0!</v>
      </c>
      <c r="AJ146" s="13" t="e" cm="1">
        <f t="array" ref="AJ146">N146 / _xlfn.XLOOKUP($AD146 &amp; "|" &amp; $H146, $AD:$AD &amp; "|" &amp; $G:$G, N:N)</f>
        <v>#DIV/0!</v>
      </c>
      <c r="AK146" s="13" cm="1">
        <f t="array" ref="AK146">O146 / _xlfn.XLOOKUP($AD146 &amp; "|" &amp; $H146, $AD:$AD &amp; "|" &amp; $G:$G, O:O)</f>
        <v>1</v>
      </c>
      <c r="AL146" s="13" cm="1">
        <f t="array" ref="AL146">P146 / _xlfn.XLOOKUP($AD146 &amp; "|" &amp; $H146, $AD:$AD &amp; "|" &amp; $G:$G, P:P)</f>
        <v>1</v>
      </c>
      <c r="AM146" s="13" cm="1">
        <f t="array" ref="AM146">Q146 / _xlfn.XLOOKUP($AD146 &amp; "|" &amp; $H146, $AD:$AD &amp; "|" &amp; $G:$G, Q:Q)</f>
        <v>1.3041825095057034</v>
      </c>
      <c r="AN146" s="13" cm="1">
        <f t="array" ref="AN146">R146 / _xlfn.XLOOKUP($AD146 &amp; "|" &amp; $H146, $AD:$AD &amp; "|" &amp; $G:$G, R:R)</f>
        <v>0.91191709844559588</v>
      </c>
      <c r="AU146" s="13"/>
      <c r="AW146" s="13" cm="1">
        <f t="array" ref="AW146">_xlfn.XLOOKUP($AD146 &amp; "|" &amp; $H146, $AD:$AD &amp; "|" &amp; $G:$G, L:L)</f>
        <v>13.6</v>
      </c>
      <c r="AY146" s="6">
        <f t="shared" ref="AY146:AY160" si="18">P146*(223/288.15)^3.8*(101325/25675)*EXP((0.2*0.6^2))</f>
        <v>1614.1489340331871</v>
      </c>
      <c r="AZ146" t="s">
        <v>235</v>
      </c>
    </row>
    <row r="147" spans="1:52" x14ac:dyDescent="0.2">
      <c r="A147" t="s">
        <v>119</v>
      </c>
      <c r="B147" t="s">
        <v>123</v>
      </c>
      <c r="C147" t="s">
        <v>36</v>
      </c>
      <c r="D147" t="s">
        <v>112</v>
      </c>
      <c r="E147">
        <v>90</v>
      </c>
      <c r="F147" t="s">
        <v>201</v>
      </c>
      <c r="G147" t="s">
        <v>122</v>
      </c>
      <c r="H147" t="s">
        <v>120</v>
      </c>
      <c r="I147">
        <v>12.9</v>
      </c>
      <c r="J147">
        <v>0.4</v>
      </c>
      <c r="K147">
        <v>11</v>
      </c>
      <c r="L147">
        <v>14.7</v>
      </c>
      <c r="O147">
        <f t="shared" si="16"/>
        <v>45.52027450742208</v>
      </c>
      <c r="P147" s="6">
        <f t="shared" si="17"/>
        <v>1008</v>
      </c>
      <c r="Q147">
        <f>1.46*10^14</f>
        <v>146000000000000</v>
      </c>
      <c r="R147">
        <f>1.86*10^14</f>
        <v>186000000000000</v>
      </c>
      <c r="Y147">
        <v>26.3</v>
      </c>
      <c r="AD147" t="str">
        <f t="shared" si="12"/>
        <v>Morre (2017)|ACCESS-II|Cruise|CFM56-2C1|90|Eg no 3 medium power</v>
      </c>
      <c r="AE147" s="13" cm="1">
        <f t="array" ref="AE147">I147 / _xlfn.XLOOKUP($AD147 &amp; "|" &amp; $H147, $AD:$AD &amp; "|" &amp; $G:$G, I:I)</f>
        <v>0.61137440758293837</v>
      </c>
      <c r="AF147" s="13" cm="1">
        <f t="array" ref="AF147">J147 / _xlfn.XLOOKUP($AD147 &amp; "|" &amp; $H147, $AD:$AD &amp; "|" &amp; $G:$G, J:J)</f>
        <v>0.58823529411764708</v>
      </c>
      <c r="AG147" s="13" cm="1">
        <f t="array" ref="AG147">K147 / _xlfn.XLOOKUP($AD147 &amp; "|" &amp; $H147, $AD:$AD &amp; "|" &amp; $G:$G, K:K)</f>
        <v>2.6442307692307692E-2</v>
      </c>
      <c r="AH147" s="13" cm="1">
        <f t="array" ref="AH147">L147 / _xlfn.XLOOKUP($AD147 &amp; "|" &amp; $H147, $AD:$AD &amp; "|" &amp; $G:$G, L:L)</f>
        <v>1.0808823529411764</v>
      </c>
      <c r="AI147" s="13" t="e" cm="1">
        <f t="array" ref="AI147">M147 / _xlfn.XLOOKUP($AD147 &amp; "|" &amp; $H147, $AD:$AD &amp; "|" &amp; $G:$G, M:M)</f>
        <v>#DIV/0!</v>
      </c>
      <c r="AJ147" s="13" t="e" cm="1">
        <f t="array" ref="AJ147">N147 / _xlfn.XLOOKUP($AD147 &amp; "|" &amp; $H147, $AD:$AD &amp; "|" &amp; $G:$G, N:N)</f>
        <v>#DIV/0!</v>
      </c>
      <c r="AK147" s="13" cm="1">
        <f t="array" ref="AK147">O147 / _xlfn.XLOOKUP($AD147 &amp; "|" &amp; $H147, $AD:$AD &amp; "|" &amp; $G:$G, O:O)</f>
        <v>1</v>
      </c>
      <c r="AL147" s="13" cm="1">
        <f t="array" ref="AL147">P147 / _xlfn.XLOOKUP($AD147 &amp; "|" &amp; $H147, $AD:$AD &amp; "|" &amp; $G:$G, P:P)</f>
        <v>1</v>
      </c>
      <c r="AM147" s="13" cm="1">
        <f t="array" ref="AM147">Q147 / _xlfn.XLOOKUP($AD147 &amp; "|" &amp; $H147, $AD:$AD &amp; "|" &amp; $G:$G, Q:Q)</f>
        <v>0.55513307984790872</v>
      </c>
      <c r="AN147" s="13" cm="1">
        <f t="array" ref="AN147">R147 / _xlfn.XLOOKUP($AD147 &amp; "|" &amp; $H147, $AD:$AD &amp; "|" &amp; $G:$G, R:R)</f>
        <v>0.48186528497409326</v>
      </c>
      <c r="AU147" s="13" cm="1">
        <f t="array" ref="AU147">Y147 / _xlfn.XLOOKUP($AD147 &amp; "|" &amp; $H147, $AD:$AD &amp; "|" &amp; $G:$G, Y:Y)</f>
        <v>0.97407407407407409</v>
      </c>
      <c r="AW147" s="13" cm="1">
        <f t="array" ref="AW147">_xlfn.XLOOKUP($AD147 &amp; "|" &amp; $H147, $AD:$AD &amp; "|" &amp; $G:$G, L:L)</f>
        <v>13.6</v>
      </c>
      <c r="AY147" s="6">
        <f t="shared" si="18"/>
        <v>1614.1489340331871</v>
      </c>
      <c r="AZ147" t="s">
        <v>235</v>
      </c>
    </row>
    <row r="148" spans="1:52" x14ac:dyDescent="0.2">
      <c r="A148" t="s">
        <v>119</v>
      </c>
      <c r="B148" t="s">
        <v>123</v>
      </c>
      <c r="C148" t="s">
        <v>36</v>
      </c>
      <c r="D148" t="s">
        <v>112</v>
      </c>
      <c r="E148">
        <v>90</v>
      </c>
      <c r="F148" t="s">
        <v>205</v>
      </c>
      <c r="G148" t="s">
        <v>120</v>
      </c>
      <c r="I148">
        <v>21.1</v>
      </c>
      <c r="J148">
        <v>0.68</v>
      </c>
      <c r="K148">
        <v>416</v>
      </c>
      <c r="L148">
        <v>13.6</v>
      </c>
      <c r="O148">
        <f t="shared" si="16"/>
        <v>60.639508540244421</v>
      </c>
      <c r="P148" s="6">
        <f>(0.373)*60*60</f>
        <v>1342.8</v>
      </c>
      <c r="Q148">
        <f>6.59*10^14</f>
        <v>659000000000000</v>
      </c>
      <c r="R148">
        <f>7.58*10^14</f>
        <v>758000000000000</v>
      </c>
      <c r="Y148">
        <v>35.299999999999997</v>
      </c>
      <c r="AD148" t="str">
        <f t="shared" si="12"/>
        <v>Morre (2017)|ACCESS-II|Cruise|CFM56-2C1|90|Eg no 2 high power</v>
      </c>
      <c r="AM148" s="13"/>
      <c r="AN148" s="13"/>
      <c r="AU148" s="13"/>
      <c r="AW148" s="13" t="e" cm="1">
        <f t="array" ref="AW148">_xlfn.XLOOKUP($AD148 &amp; "|" &amp; $H148, $AD:$AD &amp; "|" &amp; $G:$G, L:L)</f>
        <v>#N/A</v>
      </c>
      <c r="AY148" s="6">
        <f t="shared" si="18"/>
        <v>2150.2769728370672</v>
      </c>
      <c r="AZ148" t="s">
        <v>235</v>
      </c>
    </row>
    <row r="149" spans="1:52" x14ac:dyDescent="0.2">
      <c r="A149" t="s">
        <v>119</v>
      </c>
      <c r="B149" t="s">
        <v>123</v>
      </c>
      <c r="C149" t="s">
        <v>36</v>
      </c>
      <c r="D149" t="s">
        <v>112</v>
      </c>
      <c r="E149">
        <v>90</v>
      </c>
      <c r="F149" t="s">
        <v>205</v>
      </c>
      <c r="G149" t="s">
        <v>121</v>
      </c>
      <c r="H149" t="s">
        <v>120</v>
      </c>
      <c r="I149">
        <v>21.4</v>
      </c>
      <c r="J149">
        <v>0.68</v>
      </c>
      <c r="K149">
        <v>22</v>
      </c>
      <c r="L149">
        <v>13.8</v>
      </c>
      <c r="O149">
        <f t="shared" si="16"/>
        <v>60.639508540244421</v>
      </c>
      <c r="P149" s="6">
        <f t="shared" ref="P149:P153" si="19">(0.373)*60*60</f>
        <v>1342.8</v>
      </c>
      <c r="Q149">
        <f>9.17*10^14</f>
        <v>917000000000000</v>
      </c>
      <c r="R149">
        <f>6.53*10^14</f>
        <v>653000000000000</v>
      </c>
      <c r="AD149" t="str">
        <f t="shared" si="12"/>
        <v>Morre (2017)|ACCESS-II|Cruise|CFM56-2C1|90|Eg no 2 high power</v>
      </c>
      <c r="AE149" s="13" cm="1">
        <f t="array" ref="AE149">I149 / _xlfn.XLOOKUP($AD149 &amp; "|" &amp; $H149, $AD:$AD &amp; "|" &amp; $G:$G, I:I)</f>
        <v>1.0142180094786728</v>
      </c>
      <c r="AF149" s="13" cm="1">
        <f t="array" ref="AF149">J149 / _xlfn.XLOOKUP($AD149 &amp; "|" &amp; $H149, $AD:$AD &amp; "|" &amp; $G:$G, J:J)</f>
        <v>1</v>
      </c>
      <c r="AG149" s="13" cm="1">
        <f t="array" ref="AG149">K149 / _xlfn.XLOOKUP($AD149 &amp; "|" &amp; $H149, $AD:$AD &amp; "|" &amp; $G:$G, K:K)</f>
        <v>5.2884615384615384E-2</v>
      </c>
      <c r="AH149" s="13" cm="1">
        <f t="array" ref="AH149">L149 / _xlfn.XLOOKUP($AD149 &amp; "|" &amp; $H149, $AD:$AD &amp; "|" &amp; $G:$G, L:L)</f>
        <v>1.0147058823529413</v>
      </c>
      <c r="AI149" s="13" t="e" cm="1">
        <f t="array" ref="AI149">M149 / _xlfn.XLOOKUP($AD149 &amp; "|" &amp; $H149, $AD:$AD &amp; "|" &amp; $G:$G, M:M)</f>
        <v>#DIV/0!</v>
      </c>
      <c r="AJ149" s="13" t="e" cm="1">
        <f t="array" ref="AJ149">N149 / _xlfn.XLOOKUP($AD149 &amp; "|" &amp; $H149, $AD:$AD &amp; "|" &amp; $G:$G, N:N)</f>
        <v>#DIV/0!</v>
      </c>
      <c r="AK149" s="13" cm="1">
        <f t="array" ref="AK149">O149 / _xlfn.XLOOKUP($AD149 &amp; "|" &amp; $H149, $AD:$AD &amp; "|" &amp; $G:$G, O:O)</f>
        <v>1</v>
      </c>
      <c r="AL149" s="13" cm="1">
        <f t="array" ref="AL149">P149 / _xlfn.XLOOKUP($AD149 &amp; "|" &amp; $H149, $AD:$AD &amp; "|" &amp; $G:$G, P:P)</f>
        <v>1</v>
      </c>
      <c r="AM149" s="13" cm="1">
        <f t="array" ref="AM149">Q149 / _xlfn.XLOOKUP($AD149 &amp; "|" &amp; $H149, $AD:$AD &amp; "|" &amp; $G:$G, Q:Q)</f>
        <v>1.3915022761760243</v>
      </c>
      <c r="AN149" s="13" cm="1">
        <f t="array" ref="AN149">R149 / _xlfn.XLOOKUP($AD149 &amp; "|" &amp; $H149, $AD:$AD &amp; "|" &amp; $G:$G, R:R)</f>
        <v>0.86147757255936674</v>
      </c>
      <c r="AU149" s="13"/>
      <c r="AW149" s="13" cm="1">
        <f t="array" ref="AW149">_xlfn.XLOOKUP($AD149 &amp; "|" &amp; $H149, $AD:$AD &amp; "|" &amp; $G:$G, L:L)</f>
        <v>13.6</v>
      </c>
      <c r="AY149" s="6">
        <f t="shared" si="18"/>
        <v>2150.2769728370672</v>
      </c>
      <c r="AZ149" t="s">
        <v>235</v>
      </c>
    </row>
    <row r="150" spans="1:52" x14ac:dyDescent="0.2">
      <c r="A150" t="s">
        <v>119</v>
      </c>
      <c r="B150" t="s">
        <v>123</v>
      </c>
      <c r="C150" t="s">
        <v>36</v>
      </c>
      <c r="D150" t="s">
        <v>112</v>
      </c>
      <c r="E150">
        <v>90</v>
      </c>
      <c r="F150" t="s">
        <v>205</v>
      </c>
      <c r="G150" t="s">
        <v>122</v>
      </c>
      <c r="H150" t="s">
        <v>120</v>
      </c>
      <c r="I150">
        <v>12.9</v>
      </c>
      <c r="J150">
        <v>0.4</v>
      </c>
      <c r="K150">
        <v>11</v>
      </c>
      <c r="L150">
        <v>14.7</v>
      </c>
      <c r="O150">
        <f t="shared" si="16"/>
        <v>60.639508540244421</v>
      </c>
      <c r="P150" s="6">
        <f t="shared" si="19"/>
        <v>1342.8</v>
      </c>
      <c r="Q150">
        <f>5.03*10^14</f>
        <v>503000000000000</v>
      </c>
      <c r="R150">
        <f>5.06*10^14</f>
        <v>505999999999999.94</v>
      </c>
      <c r="Y150">
        <v>28.7</v>
      </c>
      <c r="AD150" t="str">
        <f t="shared" si="12"/>
        <v>Morre (2017)|ACCESS-II|Cruise|CFM56-2C1|90|Eg no 2 high power</v>
      </c>
      <c r="AE150" s="13" cm="1">
        <f t="array" ref="AE150">I150 / _xlfn.XLOOKUP($AD150 &amp; "|" &amp; $H150, $AD:$AD &amp; "|" &amp; $G:$G, I:I)</f>
        <v>0.61137440758293837</v>
      </c>
      <c r="AF150" s="13" cm="1">
        <f t="array" ref="AF150">J150 / _xlfn.XLOOKUP($AD150 &amp; "|" &amp; $H150, $AD:$AD &amp; "|" &amp; $G:$G, J:J)</f>
        <v>0.58823529411764708</v>
      </c>
      <c r="AG150" s="13" cm="1">
        <f t="array" ref="AG150">K150 / _xlfn.XLOOKUP($AD150 &amp; "|" &amp; $H150, $AD:$AD &amp; "|" &amp; $G:$G, K:K)</f>
        <v>2.6442307692307692E-2</v>
      </c>
      <c r="AH150" s="13" cm="1">
        <f t="array" ref="AH150">L150 / _xlfn.XLOOKUP($AD150 &amp; "|" &amp; $H150, $AD:$AD &amp; "|" &amp; $G:$G, L:L)</f>
        <v>1.0808823529411764</v>
      </c>
      <c r="AI150" s="13" t="e" cm="1">
        <f t="array" ref="AI150">M150 / _xlfn.XLOOKUP($AD150 &amp; "|" &amp; $H150, $AD:$AD &amp; "|" &amp; $G:$G, M:M)</f>
        <v>#DIV/0!</v>
      </c>
      <c r="AJ150" s="13" t="e" cm="1">
        <f t="array" ref="AJ150">N150 / _xlfn.XLOOKUP($AD150 &amp; "|" &amp; $H150, $AD:$AD &amp; "|" &amp; $G:$G, N:N)</f>
        <v>#DIV/0!</v>
      </c>
      <c r="AK150" s="13" cm="1">
        <f t="array" ref="AK150">O150 / _xlfn.XLOOKUP($AD150 &amp; "|" &amp; $H150, $AD:$AD &amp; "|" &amp; $G:$G, O:O)</f>
        <v>1</v>
      </c>
      <c r="AL150" s="13" cm="1">
        <f t="array" ref="AL150">P150 / _xlfn.XLOOKUP($AD150 &amp; "|" &amp; $H150, $AD:$AD &amp; "|" &amp; $G:$G, P:P)</f>
        <v>1</v>
      </c>
      <c r="AM150" s="13" cm="1">
        <f t="array" ref="AM150">Q150 / _xlfn.XLOOKUP($AD150 &amp; "|" &amp; $H150, $AD:$AD &amp; "|" &amp; $G:$G, Q:Q)</f>
        <v>0.7632776934749621</v>
      </c>
      <c r="AN150" s="13" cm="1">
        <f t="array" ref="AN150">R150 / _xlfn.XLOOKUP($AD150 &amp; "|" &amp; $H150, $AD:$AD &amp; "|" &amp; $G:$G, R:R)</f>
        <v>0.66754617414248008</v>
      </c>
      <c r="AU150" s="13" cm="1">
        <f t="array" ref="AU150">Y150 / _xlfn.XLOOKUP($AD150 &amp; "|" &amp; $H150, $AD:$AD &amp; "|" &amp; $G:$G, Y:Y)</f>
        <v>0.81303116147308785</v>
      </c>
      <c r="AW150" s="13" cm="1">
        <f t="array" ref="AW150">_xlfn.XLOOKUP($AD150 &amp; "|" &amp; $H150, $AD:$AD &amp; "|" &amp; $G:$G, L:L)</f>
        <v>13.6</v>
      </c>
      <c r="AY150" s="6">
        <f t="shared" si="18"/>
        <v>2150.2769728370672</v>
      </c>
      <c r="AZ150" t="s">
        <v>235</v>
      </c>
    </row>
    <row r="151" spans="1:52" x14ac:dyDescent="0.2">
      <c r="A151" t="s">
        <v>119</v>
      </c>
      <c r="B151" t="s">
        <v>123</v>
      </c>
      <c r="C151" t="s">
        <v>36</v>
      </c>
      <c r="D151" t="s">
        <v>112</v>
      </c>
      <c r="E151">
        <v>90</v>
      </c>
      <c r="F151" t="s">
        <v>206</v>
      </c>
      <c r="G151" t="s">
        <v>120</v>
      </c>
      <c r="I151">
        <v>21.1</v>
      </c>
      <c r="J151">
        <v>0.68</v>
      </c>
      <c r="K151">
        <v>416</v>
      </c>
      <c r="L151">
        <v>13.6</v>
      </c>
      <c r="O151">
        <f t="shared" si="16"/>
        <v>60.639508540244421</v>
      </c>
      <c r="P151" s="6">
        <f t="shared" si="19"/>
        <v>1342.8</v>
      </c>
      <c r="Q151">
        <f>4.86*10^14</f>
        <v>486000000000000.06</v>
      </c>
      <c r="R151">
        <f>5.81*10^14</f>
        <v>581000000000000</v>
      </c>
      <c r="Y151">
        <v>32.5</v>
      </c>
      <c r="AD151" t="str">
        <f t="shared" si="12"/>
        <v>Morre (2017)|ACCESS-II|Cruise|CFM56-2C1|90|Eg no 3 high power</v>
      </c>
      <c r="AM151" s="13"/>
      <c r="AN151" s="13"/>
      <c r="AU151" s="13"/>
      <c r="AW151" s="13" t="e" cm="1">
        <f t="array" ref="AW151">_xlfn.XLOOKUP($AD151 &amp; "|" &amp; $H151, $AD:$AD &amp; "|" &amp; $G:$G, L:L)</f>
        <v>#N/A</v>
      </c>
      <c r="AY151" s="6">
        <f t="shared" si="18"/>
        <v>2150.2769728370672</v>
      </c>
      <c r="AZ151" t="s">
        <v>235</v>
      </c>
    </row>
    <row r="152" spans="1:52" x14ac:dyDescent="0.2">
      <c r="A152" t="s">
        <v>119</v>
      </c>
      <c r="B152" t="s">
        <v>123</v>
      </c>
      <c r="C152" t="s">
        <v>36</v>
      </c>
      <c r="D152" t="s">
        <v>112</v>
      </c>
      <c r="E152">
        <v>90</v>
      </c>
      <c r="F152" t="s">
        <v>206</v>
      </c>
      <c r="G152" t="s">
        <v>121</v>
      </c>
      <c r="H152" t="s">
        <v>120</v>
      </c>
      <c r="I152">
        <v>21.4</v>
      </c>
      <c r="J152">
        <v>0.68</v>
      </c>
      <c r="K152">
        <v>22</v>
      </c>
      <c r="L152">
        <v>13.8</v>
      </c>
      <c r="O152">
        <f t="shared" si="16"/>
        <v>60.639508540244421</v>
      </c>
      <c r="P152" s="6">
        <f t="shared" si="19"/>
        <v>1342.8</v>
      </c>
      <c r="Q152">
        <f>8.43*10^14</f>
        <v>843000000000000</v>
      </c>
      <c r="R152">
        <f>4.97*10^14</f>
        <v>497000000000000</v>
      </c>
      <c r="AD152" t="str">
        <f t="shared" si="12"/>
        <v>Morre (2017)|ACCESS-II|Cruise|CFM56-2C1|90|Eg no 3 high power</v>
      </c>
      <c r="AE152" s="13" cm="1">
        <f t="array" ref="AE152">I152 / _xlfn.XLOOKUP($AD152 &amp; "|" &amp; $H152, $AD:$AD &amp; "|" &amp; $G:$G, I:I)</f>
        <v>1.0142180094786728</v>
      </c>
      <c r="AF152" s="13" cm="1">
        <f t="array" ref="AF152">J152 / _xlfn.XLOOKUP($AD152 &amp; "|" &amp; $H152, $AD:$AD &amp; "|" &amp; $G:$G, J:J)</f>
        <v>1</v>
      </c>
      <c r="AG152" s="13" cm="1">
        <f t="array" ref="AG152">K152 / _xlfn.XLOOKUP($AD152 &amp; "|" &amp; $H152, $AD:$AD &amp; "|" &amp; $G:$G, K:K)</f>
        <v>5.2884615384615384E-2</v>
      </c>
      <c r="AH152" s="13" cm="1">
        <f t="array" ref="AH152">L152 / _xlfn.XLOOKUP($AD152 &amp; "|" &amp; $H152, $AD:$AD &amp; "|" &amp; $G:$G, L:L)</f>
        <v>1.0147058823529413</v>
      </c>
      <c r="AI152" s="13" t="e" cm="1">
        <f t="array" ref="AI152">M152 / _xlfn.XLOOKUP($AD152 &amp; "|" &amp; $H152, $AD:$AD &amp; "|" &amp; $G:$G, M:M)</f>
        <v>#DIV/0!</v>
      </c>
      <c r="AJ152" s="13" t="e" cm="1">
        <f t="array" ref="AJ152">N152 / _xlfn.XLOOKUP($AD152 &amp; "|" &amp; $H152, $AD:$AD &amp; "|" &amp; $G:$G, N:N)</f>
        <v>#DIV/0!</v>
      </c>
      <c r="AK152" s="13" cm="1">
        <f t="array" ref="AK152">O152 / _xlfn.XLOOKUP($AD152 &amp; "|" &amp; $H152, $AD:$AD &amp; "|" &amp; $G:$G, O:O)</f>
        <v>1</v>
      </c>
      <c r="AL152" s="13" cm="1">
        <f t="array" ref="AL152">P152 / _xlfn.XLOOKUP($AD152 &amp; "|" &amp; $H152, $AD:$AD &amp; "|" &amp; $G:$G, P:P)</f>
        <v>1</v>
      </c>
      <c r="AM152" s="13" cm="1">
        <f t="array" ref="AM152">Q152 / _xlfn.XLOOKUP($AD152 &amp; "|" &amp; $H152, $AD:$AD &amp; "|" &amp; $G:$G, Q:Q)</f>
        <v>1.7345679012345676</v>
      </c>
      <c r="AN152" s="13" cm="1">
        <f t="array" ref="AN152">R152 / _xlfn.XLOOKUP($AD152 &amp; "|" &amp; $H152, $AD:$AD &amp; "|" &amp; $G:$G, R:R)</f>
        <v>0.85542168674698793</v>
      </c>
      <c r="AU152" s="13"/>
      <c r="AW152" s="13" cm="1">
        <f t="array" ref="AW152">_xlfn.XLOOKUP($AD152 &amp; "|" &amp; $H152, $AD:$AD &amp; "|" &amp; $G:$G, L:L)</f>
        <v>13.6</v>
      </c>
      <c r="AY152" s="6">
        <f t="shared" si="18"/>
        <v>2150.2769728370672</v>
      </c>
      <c r="AZ152" t="s">
        <v>235</v>
      </c>
    </row>
    <row r="153" spans="1:52" x14ac:dyDescent="0.2">
      <c r="A153" t="s">
        <v>119</v>
      </c>
      <c r="B153" t="s">
        <v>123</v>
      </c>
      <c r="C153" t="s">
        <v>36</v>
      </c>
      <c r="D153" t="s">
        <v>112</v>
      </c>
      <c r="E153">
        <v>90</v>
      </c>
      <c r="F153" t="s">
        <v>206</v>
      </c>
      <c r="G153" t="s">
        <v>122</v>
      </c>
      <c r="H153" t="s">
        <v>120</v>
      </c>
      <c r="I153">
        <v>12.9</v>
      </c>
      <c r="J153">
        <v>0.4</v>
      </c>
      <c r="K153">
        <v>11</v>
      </c>
      <c r="L153">
        <v>14.7</v>
      </c>
      <c r="O153">
        <f t="shared" si="16"/>
        <v>60.639508540244421</v>
      </c>
      <c r="P153" s="6">
        <f t="shared" si="19"/>
        <v>1342.8</v>
      </c>
      <c r="Q153">
        <f>3.81*10^14</f>
        <v>381000000000000</v>
      </c>
      <c r="R153">
        <f>3.98*10^14</f>
        <v>398000000000000</v>
      </c>
      <c r="Y153">
        <v>28</v>
      </c>
      <c r="AD153" t="str">
        <f t="shared" si="12"/>
        <v>Morre (2017)|ACCESS-II|Cruise|CFM56-2C1|90|Eg no 3 high power</v>
      </c>
      <c r="AE153" s="13" cm="1">
        <f t="array" ref="AE153">I153 / _xlfn.XLOOKUP($AD153 &amp; "|" &amp; $H153, $AD:$AD &amp; "|" &amp; $G:$G, I:I)</f>
        <v>0.61137440758293837</v>
      </c>
      <c r="AF153" s="13" cm="1">
        <f t="array" ref="AF153">J153 / _xlfn.XLOOKUP($AD153 &amp; "|" &amp; $H153, $AD:$AD &amp; "|" &amp; $G:$G, J:J)</f>
        <v>0.58823529411764708</v>
      </c>
      <c r="AG153" s="13" cm="1">
        <f t="array" ref="AG153">K153 / _xlfn.XLOOKUP($AD153 &amp; "|" &amp; $H153, $AD:$AD &amp; "|" &amp; $G:$G, K:K)</f>
        <v>2.6442307692307692E-2</v>
      </c>
      <c r="AH153" s="13" cm="1">
        <f t="array" ref="AH153">L153 / _xlfn.XLOOKUP($AD153 &amp; "|" &amp; $H153, $AD:$AD &amp; "|" &amp; $G:$G, L:L)</f>
        <v>1.0808823529411764</v>
      </c>
      <c r="AI153" s="13" t="e" cm="1">
        <f t="array" ref="AI153">M153 / _xlfn.XLOOKUP($AD153 &amp; "|" &amp; $H153, $AD:$AD &amp; "|" &amp; $G:$G, M:M)</f>
        <v>#DIV/0!</v>
      </c>
      <c r="AJ153" s="13" t="e" cm="1">
        <f t="array" ref="AJ153">N153 / _xlfn.XLOOKUP($AD153 &amp; "|" &amp; $H153, $AD:$AD &amp; "|" &amp; $G:$G, N:N)</f>
        <v>#DIV/0!</v>
      </c>
      <c r="AK153" s="13" cm="1">
        <f t="array" ref="AK153">O153 / _xlfn.XLOOKUP($AD153 &amp; "|" &amp; $H153, $AD:$AD &amp; "|" &amp; $G:$G, O:O)</f>
        <v>1</v>
      </c>
      <c r="AL153" s="13" cm="1">
        <f t="array" ref="AL153">P153 / _xlfn.XLOOKUP($AD153 &amp; "|" &amp; $H153, $AD:$AD &amp; "|" &amp; $G:$G, P:P)</f>
        <v>1</v>
      </c>
      <c r="AM153" s="13" cm="1">
        <f t="array" ref="AM153">Q153 / _xlfn.XLOOKUP($AD153 &amp; "|" &amp; $H153, $AD:$AD &amp; "|" &amp; $G:$G, Q:Q)</f>
        <v>0.78395061728395055</v>
      </c>
      <c r="AN153" s="13" cm="1">
        <f t="array" ref="AN153">R153 / _xlfn.XLOOKUP($AD153 &amp; "|" &amp; $H153, $AD:$AD &amp; "|" &amp; $G:$G, R:R)</f>
        <v>0.68502581755593805</v>
      </c>
      <c r="AU153" s="13" cm="1">
        <f t="array" ref="AU153">Y153 / _xlfn.XLOOKUP($AD153 &amp; "|" &amp; $H153, $AD:$AD &amp; "|" &amp; $G:$G, Y:Y)</f>
        <v>0.86153846153846159</v>
      </c>
      <c r="AW153" s="13" cm="1">
        <f t="array" ref="AW153">_xlfn.XLOOKUP($AD153 &amp; "|" &amp; $H153, $AD:$AD &amp; "|" &amp; $G:$G, L:L)</f>
        <v>13.6</v>
      </c>
      <c r="AY153" s="6">
        <f t="shared" si="18"/>
        <v>2150.2769728370672</v>
      </c>
      <c r="AZ153" t="s">
        <v>235</v>
      </c>
    </row>
    <row r="154" spans="1:52" x14ac:dyDescent="0.2">
      <c r="A154" t="s">
        <v>119</v>
      </c>
      <c r="B154" t="s">
        <v>123</v>
      </c>
      <c r="C154" t="s">
        <v>36</v>
      </c>
      <c r="D154" t="s">
        <v>112</v>
      </c>
      <c r="E154">
        <v>90</v>
      </c>
      <c r="F154" t="s">
        <v>202</v>
      </c>
      <c r="G154" t="s">
        <v>120</v>
      </c>
      <c r="I154">
        <v>21.1</v>
      </c>
      <c r="J154">
        <v>0.68</v>
      </c>
      <c r="K154">
        <v>416</v>
      </c>
      <c r="L154">
        <v>13.6</v>
      </c>
      <c r="O154">
        <f t="shared" si="16"/>
        <v>45.52027450742208</v>
      </c>
      <c r="P154" s="6">
        <f t="shared" ref="P154:P156" si="20">(0.28)*60*60</f>
        <v>1008</v>
      </c>
      <c r="Q154">
        <f>4.28*10^14</f>
        <v>428000000000000</v>
      </c>
      <c r="R154">
        <f>5.65*10^14</f>
        <v>565000000000000</v>
      </c>
      <c r="Y154">
        <v>29.7</v>
      </c>
      <c r="AD154" t="str">
        <f t="shared" si="12"/>
        <v>Morre (2017)|ACCESS-II|Cruise|CFM56-2C1|90|Eg no 2 medium power</v>
      </c>
      <c r="AM154" s="13"/>
      <c r="AN154" s="13"/>
      <c r="AU154" s="13"/>
      <c r="AW154" s="13" t="e" cm="1">
        <f t="array" ref="AW154">_xlfn.XLOOKUP($AD154 &amp; "|" &amp; $H154, $AD:$AD &amp; "|" &amp; $G:$G, L:L)</f>
        <v>#N/A</v>
      </c>
      <c r="AY154" s="6">
        <f t="shared" si="18"/>
        <v>1614.1489340331871</v>
      </c>
      <c r="AZ154" t="s">
        <v>235</v>
      </c>
    </row>
    <row r="155" spans="1:52" x14ac:dyDescent="0.2">
      <c r="A155" t="s">
        <v>119</v>
      </c>
      <c r="B155" t="s">
        <v>123</v>
      </c>
      <c r="C155" t="s">
        <v>36</v>
      </c>
      <c r="D155" t="s">
        <v>112</v>
      </c>
      <c r="E155">
        <v>90</v>
      </c>
      <c r="F155" t="s">
        <v>202</v>
      </c>
      <c r="G155" t="s">
        <v>121</v>
      </c>
      <c r="H155" t="s">
        <v>120</v>
      </c>
      <c r="I155">
        <v>21.4</v>
      </c>
      <c r="J155">
        <v>0.68</v>
      </c>
      <c r="K155">
        <v>22</v>
      </c>
      <c r="L155">
        <v>13.8</v>
      </c>
      <c r="O155">
        <f t="shared" si="16"/>
        <v>45.52027450742208</v>
      </c>
      <c r="P155" s="6">
        <f t="shared" si="20"/>
        <v>1008</v>
      </c>
      <c r="Q155">
        <f>6.13*10^14</f>
        <v>613000000000000</v>
      </c>
      <c r="R155">
        <f>4.96*10^14</f>
        <v>496000000000000</v>
      </c>
      <c r="AD155" t="str">
        <f t="shared" si="12"/>
        <v>Morre (2017)|ACCESS-II|Cruise|CFM56-2C1|90|Eg no 2 medium power</v>
      </c>
      <c r="AE155" s="13" cm="1">
        <f t="array" ref="AE155">I155 / _xlfn.XLOOKUP($AD155 &amp; "|" &amp; $H155, $AD:$AD &amp; "|" &amp; $G:$G, I:I)</f>
        <v>1.0142180094786728</v>
      </c>
      <c r="AF155" s="13" cm="1">
        <f t="array" ref="AF155">J155 / _xlfn.XLOOKUP($AD155 &amp; "|" &amp; $H155, $AD:$AD &amp; "|" &amp; $G:$G, J:J)</f>
        <v>1</v>
      </c>
      <c r="AG155" s="13" cm="1">
        <f t="array" ref="AG155">K155 / _xlfn.XLOOKUP($AD155 &amp; "|" &amp; $H155, $AD:$AD &amp; "|" &amp; $G:$G, K:K)</f>
        <v>5.2884615384615384E-2</v>
      </c>
      <c r="AH155" s="13" cm="1">
        <f t="array" ref="AH155">L155 / _xlfn.XLOOKUP($AD155 &amp; "|" &amp; $H155, $AD:$AD &amp; "|" &amp; $G:$G, L:L)</f>
        <v>1.0147058823529413</v>
      </c>
      <c r="AI155" s="13" t="e" cm="1">
        <f t="array" ref="AI155">M155 / _xlfn.XLOOKUP($AD155 &amp; "|" &amp; $H155, $AD:$AD &amp; "|" &amp; $G:$G, M:M)</f>
        <v>#DIV/0!</v>
      </c>
      <c r="AJ155" s="13" t="e" cm="1">
        <f t="array" ref="AJ155">N155 / _xlfn.XLOOKUP($AD155 &amp; "|" &amp; $H155, $AD:$AD &amp; "|" &amp; $G:$G, N:N)</f>
        <v>#DIV/0!</v>
      </c>
      <c r="AK155" s="13" cm="1">
        <f t="array" ref="AK155">O155 / _xlfn.XLOOKUP($AD155 &amp; "|" &amp; $H155, $AD:$AD &amp; "|" &amp; $G:$G, O:O)</f>
        <v>1</v>
      </c>
      <c r="AL155" s="13" cm="1">
        <f t="array" ref="AL155">P155 / _xlfn.XLOOKUP($AD155 &amp; "|" &amp; $H155, $AD:$AD &amp; "|" &amp; $G:$G, P:P)</f>
        <v>1</v>
      </c>
      <c r="AM155" s="13" cm="1">
        <f t="array" ref="AM155">Q155 / _xlfn.XLOOKUP($AD155 &amp; "|" &amp; $H155, $AD:$AD &amp; "|" &amp; $G:$G, Q:Q)</f>
        <v>1.4322429906542056</v>
      </c>
      <c r="AN155" s="13" cm="1">
        <f t="array" ref="AN155">R155 / _xlfn.XLOOKUP($AD155 &amp; "|" &amp; $H155, $AD:$AD &amp; "|" &amp; $G:$G, R:R)</f>
        <v>0.87787610619469025</v>
      </c>
      <c r="AU155" s="13"/>
      <c r="AW155" s="13" cm="1">
        <f t="array" ref="AW155">_xlfn.XLOOKUP($AD155 &amp; "|" &amp; $H155, $AD:$AD &amp; "|" &amp; $G:$G, L:L)</f>
        <v>13.6</v>
      </c>
      <c r="AY155" s="6">
        <f t="shared" si="18"/>
        <v>1614.1489340331871</v>
      </c>
      <c r="AZ155" t="s">
        <v>235</v>
      </c>
    </row>
    <row r="156" spans="1:52" x14ac:dyDescent="0.2">
      <c r="A156" t="s">
        <v>119</v>
      </c>
      <c r="B156" t="s">
        <v>123</v>
      </c>
      <c r="C156" t="s">
        <v>36</v>
      </c>
      <c r="D156" t="s">
        <v>112</v>
      </c>
      <c r="E156">
        <v>90</v>
      </c>
      <c r="F156" t="s">
        <v>202</v>
      </c>
      <c r="G156" t="s">
        <v>122</v>
      </c>
      <c r="H156" t="s">
        <v>120</v>
      </c>
      <c r="I156">
        <v>12.9</v>
      </c>
      <c r="J156">
        <v>0.4</v>
      </c>
      <c r="K156">
        <v>11</v>
      </c>
      <c r="L156">
        <v>14.7</v>
      </c>
      <c r="O156">
        <f t="shared" si="16"/>
        <v>45.52027450742208</v>
      </c>
      <c r="P156" s="6">
        <f t="shared" si="20"/>
        <v>1008</v>
      </c>
      <c r="Q156">
        <f>2.79*10^14</f>
        <v>279000000000000</v>
      </c>
      <c r="R156">
        <f>3.14*10^14</f>
        <v>314000000000000</v>
      </c>
      <c r="Y156">
        <v>27.8</v>
      </c>
      <c r="AD156" t="str">
        <f t="shared" si="12"/>
        <v>Morre (2017)|ACCESS-II|Cruise|CFM56-2C1|90|Eg no 2 medium power</v>
      </c>
      <c r="AE156" s="13" cm="1">
        <f t="array" ref="AE156">I156 / _xlfn.XLOOKUP($AD156 &amp; "|" &amp; $H156, $AD:$AD &amp; "|" &amp; $G:$G, I:I)</f>
        <v>0.61137440758293837</v>
      </c>
      <c r="AF156" s="13" cm="1">
        <f t="array" ref="AF156">J156 / _xlfn.XLOOKUP($AD156 &amp; "|" &amp; $H156, $AD:$AD &amp; "|" &amp; $G:$G, J:J)</f>
        <v>0.58823529411764708</v>
      </c>
      <c r="AG156" s="13" cm="1">
        <f t="array" ref="AG156">K156 / _xlfn.XLOOKUP($AD156 &amp; "|" &amp; $H156, $AD:$AD &amp; "|" &amp; $G:$G, K:K)</f>
        <v>2.6442307692307692E-2</v>
      </c>
      <c r="AH156" s="13" cm="1">
        <f t="array" ref="AH156">L156 / _xlfn.XLOOKUP($AD156 &amp; "|" &amp; $H156, $AD:$AD &amp; "|" &amp; $G:$G, L:L)</f>
        <v>1.0808823529411764</v>
      </c>
      <c r="AI156" s="13" t="e" cm="1">
        <f t="array" ref="AI156">M156 / _xlfn.XLOOKUP($AD156 &amp; "|" &amp; $H156, $AD:$AD &amp; "|" &amp; $G:$G, M:M)</f>
        <v>#DIV/0!</v>
      </c>
      <c r="AJ156" s="13" t="e" cm="1">
        <f t="array" ref="AJ156">N156 / _xlfn.XLOOKUP($AD156 &amp; "|" &amp; $H156, $AD:$AD &amp; "|" &amp; $G:$G, N:N)</f>
        <v>#DIV/0!</v>
      </c>
      <c r="AK156" s="13" cm="1">
        <f t="array" ref="AK156">O156 / _xlfn.XLOOKUP($AD156 &amp; "|" &amp; $H156, $AD:$AD &amp; "|" &amp; $G:$G, O:O)</f>
        <v>1</v>
      </c>
      <c r="AL156" s="13" cm="1">
        <f t="array" ref="AL156">P156 / _xlfn.XLOOKUP($AD156 &amp; "|" &amp; $H156, $AD:$AD &amp; "|" &amp; $G:$G, P:P)</f>
        <v>1</v>
      </c>
      <c r="AM156" s="13" cm="1">
        <f t="array" ref="AM156">Q156 / _xlfn.XLOOKUP($AD156 &amp; "|" &amp; $H156, $AD:$AD &amp; "|" &amp; $G:$G, Q:Q)</f>
        <v>0.65186915887850472</v>
      </c>
      <c r="AN156" s="13" cm="1">
        <f t="array" ref="AN156">R156 / _xlfn.XLOOKUP($AD156 &amp; "|" &amp; $H156, $AD:$AD &amp; "|" &amp; $G:$G, R:R)</f>
        <v>0.55575221238938055</v>
      </c>
      <c r="AU156" s="13" cm="1">
        <f t="array" ref="AU156">Y156 / _xlfn.XLOOKUP($AD156 &amp; "|" &amp; $H156, $AD:$AD &amp; "|" &amp; $G:$G, Y:Y)</f>
        <v>0.9360269360269361</v>
      </c>
      <c r="AW156" s="13" cm="1">
        <f t="array" ref="AW156">_xlfn.XLOOKUP($AD156 &amp; "|" &amp; $H156, $AD:$AD &amp; "|" &amp; $G:$G, L:L)</f>
        <v>13.6</v>
      </c>
      <c r="AY156" s="6">
        <f t="shared" si="18"/>
        <v>1614.1489340331871</v>
      </c>
      <c r="AZ156" t="s">
        <v>235</v>
      </c>
    </row>
    <row r="157" spans="1:52" x14ac:dyDescent="0.2">
      <c r="A157" t="s">
        <v>119</v>
      </c>
      <c r="B157" t="s">
        <v>123</v>
      </c>
      <c r="C157" t="s">
        <v>36</v>
      </c>
      <c r="D157" t="s">
        <v>112</v>
      </c>
      <c r="E157">
        <v>90</v>
      </c>
      <c r="F157" t="s">
        <v>203</v>
      </c>
      <c r="G157" t="s">
        <v>120</v>
      </c>
      <c r="I157">
        <v>21.1</v>
      </c>
      <c r="J157">
        <v>0.68</v>
      </c>
      <c r="K157">
        <v>416</v>
      </c>
      <c r="L157">
        <v>13.6</v>
      </c>
      <c r="O157">
        <f t="shared" si="16"/>
        <v>37.55422646862322</v>
      </c>
      <c r="P157" s="6">
        <f>(0.231)*60*60</f>
        <v>831.6</v>
      </c>
      <c r="Q157">
        <f>3.39*10^14</f>
        <v>339000000000000</v>
      </c>
      <c r="R157">
        <f>5.19*10^14</f>
        <v>519000000000000.06</v>
      </c>
      <c r="Y157">
        <v>25.5</v>
      </c>
      <c r="AD157" t="str">
        <f t="shared" si="12"/>
        <v>Morre (2017)|ACCESS-II|Cruise|CFM56-2C1|90|Eg no 2 low power</v>
      </c>
      <c r="AM157" s="13"/>
      <c r="AN157" s="13"/>
      <c r="AU157" s="13"/>
      <c r="AW157" s="13" t="e" cm="1">
        <f t="array" ref="AW157">_xlfn.XLOOKUP($AD157 &amp; "|" &amp; $H157, $AD:$AD &amp; "|" &amp; $G:$G, L:L)</f>
        <v>#N/A</v>
      </c>
      <c r="AY157" s="6">
        <f t="shared" si="18"/>
        <v>1331.6728705773794</v>
      </c>
      <c r="AZ157" t="s">
        <v>235</v>
      </c>
    </row>
    <row r="158" spans="1:52" x14ac:dyDescent="0.2">
      <c r="A158" t="s">
        <v>119</v>
      </c>
      <c r="B158" t="s">
        <v>123</v>
      </c>
      <c r="C158" t="s">
        <v>36</v>
      </c>
      <c r="D158" t="s">
        <v>112</v>
      </c>
      <c r="E158">
        <v>90</v>
      </c>
      <c r="F158" t="s">
        <v>203</v>
      </c>
      <c r="G158" t="s">
        <v>122</v>
      </c>
      <c r="H158" t="s">
        <v>120</v>
      </c>
      <c r="I158">
        <v>12.9</v>
      </c>
      <c r="J158">
        <v>0.4</v>
      </c>
      <c r="K158">
        <v>11</v>
      </c>
      <c r="L158">
        <v>14.7</v>
      </c>
      <c r="O158">
        <f t="shared" si="16"/>
        <v>37.55422646862322</v>
      </c>
      <c r="P158" s="6">
        <f>(0.231)*60*60</f>
        <v>831.6</v>
      </c>
      <c r="Q158">
        <f>1.9*10^14</f>
        <v>190000000000000</v>
      </c>
      <c r="R158">
        <f>2.48*10^14</f>
        <v>248000000000000</v>
      </c>
      <c r="Y158">
        <v>20.9</v>
      </c>
      <c r="AD158" t="str">
        <f t="shared" si="12"/>
        <v>Morre (2017)|ACCESS-II|Cruise|CFM56-2C1|90|Eg no 2 low power</v>
      </c>
      <c r="AE158" s="13" cm="1">
        <f t="array" ref="AE158">I158 / _xlfn.XLOOKUP($AD158 &amp; "|" &amp; $H158, $AD:$AD &amp; "|" &amp; $G:$G, I:I)</f>
        <v>0.61137440758293837</v>
      </c>
      <c r="AF158" s="13" cm="1">
        <f t="array" ref="AF158">J158 / _xlfn.XLOOKUP($AD158 &amp; "|" &amp; $H158, $AD:$AD &amp; "|" &amp; $G:$G, J:J)</f>
        <v>0.58823529411764708</v>
      </c>
      <c r="AG158" s="13" cm="1">
        <f t="array" ref="AG158">K158 / _xlfn.XLOOKUP($AD158 &amp; "|" &amp; $H158, $AD:$AD &amp; "|" &amp; $G:$G, K:K)</f>
        <v>2.6442307692307692E-2</v>
      </c>
      <c r="AH158" s="13" cm="1">
        <f t="array" ref="AH158">L158 / _xlfn.XLOOKUP($AD158 &amp; "|" &amp; $H158, $AD:$AD &amp; "|" &amp; $G:$G, L:L)</f>
        <v>1.0808823529411764</v>
      </c>
      <c r="AI158" s="13" t="e" cm="1">
        <f t="array" ref="AI158">M158 / _xlfn.XLOOKUP($AD158 &amp; "|" &amp; $H158, $AD:$AD &amp; "|" &amp; $G:$G, M:M)</f>
        <v>#DIV/0!</v>
      </c>
      <c r="AJ158" s="13" t="e" cm="1">
        <f t="array" ref="AJ158">N158 / _xlfn.XLOOKUP($AD158 &amp; "|" &amp; $H158, $AD:$AD &amp; "|" &amp; $G:$G, N:N)</f>
        <v>#DIV/0!</v>
      </c>
      <c r="AK158" s="13" cm="1">
        <f t="array" ref="AK158">O158 / _xlfn.XLOOKUP($AD158 &amp; "|" &amp; $H158, $AD:$AD &amp; "|" &amp; $G:$G, O:O)</f>
        <v>1</v>
      </c>
      <c r="AL158" s="13" cm="1">
        <f t="array" ref="AL158">P158 / _xlfn.XLOOKUP($AD158 &amp; "|" &amp; $H158, $AD:$AD &amp; "|" &amp; $G:$G, P:P)</f>
        <v>1</v>
      </c>
      <c r="AM158" s="13" cm="1">
        <f t="array" ref="AM158">Q158 / _xlfn.XLOOKUP($AD158 &amp; "|" &amp; $H158, $AD:$AD &amp; "|" &amp; $G:$G, Q:Q)</f>
        <v>0.56047197640117996</v>
      </c>
      <c r="AN158" s="13" cm="1">
        <f t="array" ref="AN158">R158 / _xlfn.XLOOKUP($AD158 &amp; "|" &amp; $H158, $AD:$AD &amp; "|" &amp; $G:$G, R:R)</f>
        <v>0.47784200385356451</v>
      </c>
      <c r="AU158" s="13">
        <f>(Y158)/Y$157</f>
        <v>0.81960784313725488</v>
      </c>
      <c r="AW158" s="13" cm="1">
        <f t="array" ref="AW158">_xlfn.XLOOKUP($AD158 &amp; "|" &amp; $H158, $AD:$AD &amp; "|" &amp; $G:$G, L:L)</f>
        <v>13.6</v>
      </c>
      <c r="AY158" s="6">
        <f t="shared" si="18"/>
        <v>1331.6728705773794</v>
      </c>
      <c r="AZ158" t="s">
        <v>235</v>
      </c>
    </row>
    <row r="159" spans="1:52" x14ac:dyDescent="0.2">
      <c r="A159" t="s">
        <v>119</v>
      </c>
      <c r="B159" t="s">
        <v>123</v>
      </c>
      <c r="C159" t="s">
        <v>36</v>
      </c>
      <c r="D159" t="s">
        <v>112</v>
      </c>
      <c r="E159">
        <v>90</v>
      </c>
      <c r="F159" t="s">
        <v>204</v>
      </c>
      <c r="G159" t="s">
        <v>120</v>
      </c>
      <c r="I159">
        <v>21.1</v>
      </c>
      <c r="J159">
        <v>0.68</v>
      </c>
      <c r="K159">
        <v>416</v>
      </c>
      <c r="L159">
        <v>13.6</v>
      </c>
      <c r="O159">
        <f t="shared" si="16"/>
        <v>37.55422646862322</v>
      </c>
      <c r="P159" s="6">
        <f>(0.231)*60*60</f>
        <v>831.6</v>
      </c>
      <c r="Q159">
        <f>1.73*10^14</f>
        <v>173000000000000</v>
      </c>
      <c r="R159">
        <f>2.59*10^14</f>
        <v>259000000000000</v>
      </c>
      <c r="Y159">
        <v>23.5</v>
      </c>
      <c r="AD159" t="str">
        <f t="shared" si="12"/>
        <v>Morre (2017)|ACCESS-II|Cruise|CFM56-2C1|90|Eg no 3 low power</v>
      </c>
      <c r="AM159" s="13"/>
      <c r="AN159" s="13"/>
      <c r="AU159" s="13"/>
      <c r="AW159" s="13" t="e" cm="1">
        <f t="array" ref="AW159">_xlfn.XLOOKUP($AD159 &amp; "|" &amp; $H159, $AD:$AD &amp; "|" &amp; $G:$G, L:L)</f>
        <v>#N/A</v>
      </c>
      <c r="AY159" s="6">
        <f t="shared" si="18"/>
        <v>1331.6728705773794</v>
      </c>
      <c r="AZ159" t="s">
        <v>235</v>
      </c>
    </row>
    <row r="160" spans="1:52" x14ac:dyDescent="0.2">
      <c r="A160" t="s">
        <v>119</v>
      </c>
      <c r="B160" t="s">
        <v>123</v>
      </c>
      <c r="C160" t="s">
        <v>36</v>
      </c>
      <c r="D160" t="s">
        <v>112</v>
      </c>
      <c r="E160">
        <v>90</v>
      </c>
      <c r="F160" t="s">
        <v>204</v>
      </c>
      <c r="G160" t="s">
        <v>122</v>
      </c>
      <c r="H160" t="s">
        <v>120</v>
      </c>
      <c r="I160">
        <v>12.9</v>
      </c>
      <c r="J160">
        <v>0.4</v>
      </c>
      <c r="K160">
        <v>11</v>
      </c>
      <c r="L160">
        <v>14.7</v>
      </c>
      <c r="O160">
        <f t="shared" si="16"/>
        <v>37.55422646862322</v>
      </c>
      <c r="P160" s="6">
        <f>(0.231)*60*60</f>
        <v>831.6</v>
      </c>
      <c r="Q160">
        <f>7.76*10^13</f>
        <v>77600000000000</v>
      </c>
      <c r="R160">
        <f>1.48*10^14</f>
        <v>148000000000000</v>
      </c>
      <c r="Y160">
        <v>23.4</v>
      </c>
      <c r="AD160" t="str">
        <f t="shared" si="12"/>
        <v>Morre (2017)|ACCESS-II|Cruise|CFM56-2C1|90|Eg no 3 low power</v>
      </c>
      <c r="AE160" s="13" cm="1">
        <f t="array" ref="AE160">I160 / _xlfn.XLOOKUP($AD160 &amp; "|" &amp; $H160, $AD:$AD &amp; "|" &amp; $G:$G, I:I)</f>
        <v>0.61137440758293837</v>
      </c>
      <c r="AF160" s="13" cm="1">
        <f t="array" ref="AF160">J160 / _xlfn.XLOOKUP($AD160 &amp; "|" &amp; $H160, $AD:$AD &amp; "|" &amp; $G:$G, J:J)</f>
        <v>0.58823529411764708</v>
      </c>
      <c r="AG160" s="13" cm="1">
        <f t="array" ref="AG160">K160 / _xlfn.XLOOKUP($AD160 &amp; "|" &amp; $H160, $AD:$AD &amp; "|" &amp; $G:$G, K:K)</f>
        <v>2.6442307692307692E-2</v>
      </c>
      <c r="AH160" s="13" cm="1">
        <f t="array" ref="AH160">L160 / _xlfn.XLOOKUP($AD160 &amp; "|" &amp; $H160, $AD:$AD &amp; "|" &amp; $G:$G, L:L)</f>
        <v>1.0808823529411764</v>
      </c>
      <c r="AI160" s="13" t="e" cm="1">
        <f t="array" ref="AI160">M160 / _xlfn.XLOOKUP($AD160 &amp; "|" &amp; $H160, $AD:$AD &amp; "|" &amp; $G:$G, M:M)</f>
        <v>#DIV/0!</v>
      </c>
      <c r="AJ160" s="13" t="e" cm="1">
        <f t="array" ref="AJ160">N160 / _xlfn.XLOOKUP($AD160 &amp; "|" &amp; $H160, $AD:$AD &amp; "|" &amp; $G:$G, N:N)</f>
        <v>#DIV/0!</v>
      </c>
      <c r="AK160" s="13" cm="1">
        <f t="array" ref="AK160">O160 / _xlfn.XLOOKUP($AD160 &amp; "|" &amp; $H160, $AD:$AD &amp; "|" &amp; $G:$G, O:O)</f>
        <v>1</v>
      </c>
      <c r="AL160" s="13" cm="1">
        <f t="array" ref="AL160">P160 / _xlfn.XLOOKUP($AD160 &amp; "|" &amp; $H160, $AD:$AD &amp; "|" &amp; $G:$G, P:P)</f>
        <v>1</v>
      </c>
      <c r="AM160" s="13" cm="1">
        <f t="array" ref="AM160">Q160 / _xlfn.XLOOKUP($AD160 &amp; "|" &amp; $H160, $AD:$AD &amp; "|" &amp; $G:$G, Q:Q)</f>
        <v>0.44855491329479769</v>
      </c>
      <c r="AN160" s="13" cm="1">
        <f t="array" ref="AN160">R160 / _xlfn.XLOOKUP($AD160 &amp; "|" &amp; $H160, $AD:$AD &amp; "|" &amp; $G:$G, R:R)</f>
        <v>0.5714285714285714</v>
      </c>
      <c r="AU160" s="13" cm="1">
        <f t="array" ref="AU160">Y160 / _xlfn.XLOOKUP($AD160 &amp; "|" &amp; $H160, $AD:$AD &amp; "|" &amp; $G:$G, Y:Y)</f>
        <v>0.99574468085106382</v>
      </c>
      <c r="AW160" s="13" cm="1">
        <f t="array" ref="AW160">_xlfn.XLOOKUP($AD160 &amp; "|" &amp; $H160, $AD:$AD &amp; "|" &amp; $G:$G, L:L)</f>
        <v>13.6</v>
      </c>
      <c r="AY160" s="6">
        <f t="shared" si="18"/>
        <v>1331.6728705773794</v>
      </c>
      <c r="AZ160" t="s">
        <v>235</v>
      </c>
    </row>
    <row r="161" spans="1:52" x14ac:dyDescent="0.2">
      <c r="A161" t="s">
        <v>32</v>
      </c>
      <c r="B161" t="s">
        <v>1</v>
      </c>
      <c r="C161" t="s">
        <v>110</v>
      </c>
      <c r="D161" t="s">
        <v>112</v>
      </c>
      <c r="E161">
        <v>30</v>
      </c>
      <c r="F161" t="s">
        <v>190</v>
      </c>
      <c r="G161" t="s">
        <v>8</v>
      </c>
      <c r="I161">
        <v>17.600000000000001</v>
      </c>
      <c r="J161">
        <v>0.93</v>
      </c>
      <c r="K161">
        <v>383</v>
      </c>
      <c r="L161">
        <v>13.69</v>
      </c>
      <c r="M161">
        <v>303.27499999999998</v>
      </c>
      <c r="N161">
        <v>303.27499999999998</v>
      </c>
      <c r="O161">
        <v>4</v>
      </c>
      <c r="P161">
        <v>457.2</v>
      </c>
      <c r="Q161" cm="1">
        <f t="array" ref="Q161">AVERAGE(
    IF(
        ('Individual data from NASA'!$B:$B=$B161) *
        ('Individual data from NASA'!$C:$C=$G161) *
        ('Individual data from NASA'!$K:$K=$O161),
        'Individual data from NASA'!M:M
    )
)</f>
        <v>2318750000000000</v>
      </c>
      <c r="R161" cm="1">
        <f t="array" ref="R161">AVERAGE(
    IF(
        ('Individual data from NASA'!$B:$B=$B161) *
        ('Individual data from NASA'!$C:$C=$G161) *
        ('Individual data from NASA'!$K:$K=$O161),
        'Individual data from NASA'!N:N
    )
)</f>
        <v>3.2275E+16</v>
      </c>
      <c r="S161" cm="1">
        <f t="array" ref="S161">AVERAGE(
    IF(
        ('Individual data from NASA'!$B:$B=$B161) *
        ('Individual data from NASA'!$C:$C=$G161) *
        ('Individual data from NASA'!$K:$K=$O161),
        'Individual data from NASA'!O:O
    )
)</f>
        <v>3.46125E+16</v>
      </c>
      <c r="T161" cm="1">
        <f t="array" ref="T161">AVERAGE(
    IF(
        ('Individual data from NASA'!$B:$B=$B161) *
        ('Individual data from NASA'!$C:$C=$G161) *
        ('Individual data from NASA'!$K:$K=$O161),
        'Individual data from NASA'!P:P
    )
)</f>
        <v>20.764999999999997</v>
      </c>
      <c r="U161" cm="1">
        <f t="array" ref="U161">AVERAGE(
    IF(
        ('Individual data from NASA'!$B:$B=$B161) *
        ('Individual data from NASA'!$C:$C=$G161) *
        ('Individual data from NASA'!$K:$K=$O161),
        'Individual data from NASA'!Q:Q
    )
)</f>
        <v>0.87180000000000002</v>
      </c>
      <c r="V161" cm="1">
        <f t="array" ref="V161">AVERAGE(
    IF(
        ('Individual data from NASA'!$B:$B=$B161) *
        ('Individual data from NASA'!$C:$C=$G161) *
        ('Individual data from NASA'!$K:$K=$O161),
        'Individual data from NASA'!R:R
    )
)</f>
        <v>0.12820000000000001</v>
      </c>
      <c r="W161" cm="1">
        <f t="array" ref="W161">AVERAGE(
    IF(
        ('Individual data from NASA'!$B:$B=$B161) *
        ('Individual data from NASA'!$C:$C=$G161) *
        ('Individual data from NASA'!$K:$K=$O161),
        'Individual data from NASA'!S:S
    )
)</f>
        <v>102.57349515</v>
      </c>
      <c r="X161" cm="1">
        <f t="array" ref="X161">AVERAGE(
    IF(
        ('Individual data from NASA'!$B:$B=$B161) *
        ('Individual data from NASA'!$C:$C=$G161) *
        ('Individual data from NASA'!$K:$K=$O161),
        'Individual data from NASA'!T:T
    )
)</f>
        <v>17.325871148000001</v>
      </c>
      <c r="Y161" cm="1">
        <f t="array" ref="Y161">AVERAGE(
    IF(
        ('Individual data from NASA'!$B:$B=$B161) *
        ('Individual data from NASA'!$C:$C=$G161) *
        ('Individual data from NASA'!$K:$K=$O161),
        'Individual data from NASA'!W:W
    )
)</f>
        <v>12.412500000000001</v>
      </c>
      <c r="Z161" cm="1">
        <f t="array" ref="Z161">AVERAGE(
    IF(
        ('Individual data from NASA'!$B:$B=$B161) *
        ('Individual data from NASA'!$C:$C=$G161) *
        ('Individual data from NASA'!$K:$K=$O161),
        'Individual data from NASA'!U:U
    )
)</f>
        <v>16.899999999999999</v>
      </c>
      <c r="AD161" t="str">
        <f t="shared" si="12"/>
        <v>Moore (2015)|APEX|Ground|CFM56-2C1|30|Idle (min)</v>
      </c>
      <c r="AW161" s="13" t="e" cm="1">
        <f t="array" ref="AW161">_xlfn.XLOOKUP($AD161 &amp; "|" &amp; $H161, $AD:$AD &amp; "|" &amp; $G:$G, L:L)</f>
        <v>#N/A</v>
      </c>
      <c r="AZ161" t="s">
        <v>232</v>
      </c>
    </row>
    <row r="162" spans="1:52" x14ac:dyDescent="0.2">
      <c r="A162" t="s">
        <v>32</v>
      </c>
      <c r="B162" t="s">
        <v>1</v>
      </c>
      <c r="C162" t="s">
        <v>110</v>
      </c>
      <c r="D162" t="s">
        <v>112</v>
      </c>
      <c r="E162">
        <v>30</v>
      </c>
      <c r="F162" t="s">
        <v>191</v>
      </c>
      <c r="G162" t="s">
        <v>8</v>
      </c>
      <c r="I162">
        <v>17.600000000000001</v>
      </c>
      <c r="J162">
        <v>0.93</v>
      </c>
      <c r="K162">
        <v>383</v>
      </c>
      <c r="L162">
        <v>13.69</v>
      </c>
      <c r="M162">
        <v>299.89999999999998</v>
      </c>
      <c r="N162">
        <v>299.89999999999998</v>
      </c>
      <c r="O162">
        <v>7</v>
      </c>
      <c r="P162">
        <v>561.096</v>
      </c>
      <c r="Q162" cm="1">
        <f t="array" ref="Q162">AVERAGE(
    IF(
        ('Individual data from NASA'!$B:$B=$B162) *
        ('Individual data from NASA'!$C:$C=$G162) *
        ('Individual data from NASA'!$K:$K=$O162),
        'Individual data from NASA'!M:M
    )
)</f>
        <v>1394000000000000</v>
      </c>
      <c r="R162" cm="1">
        <f t="array" ref="R162">AVERAGE(
    IF(
        ('Individual data from NASA'!$B:$B=$B162) *
        ('Individual data from NASA'!$C:$C=$G162) *
        ('Individual data from NASA'!$K:$K=$O162),
        'Individual data from NASA'!N:N
    )
)</f>
        <v>2.8216666666666668E+16</v>
      </c>
      <c r="S162" cm="1">
        <f t="array" ref="S162">AVERAGE(
    IF(
        ('Individual data from NASA'!$B:$B=$B162) *
        ('Individual data from NASA'!$C:$C=$G162) *
        ('Individual data from NASA'!$K:$K=$O162),
        'Individual data from NASA'!O:O
    )
)</f>
        <v>2.7433846153846152E+16</v>
      </c>
      <c r="T162" cm="1">
        <f t="array" ref="T162">AVERAGE(
    IF(
        ('Individual data from NASA'!$B:$B=$B162) *
        ('Individual data from NASA'!$C:$C=$G162) *
        ('Individual data from NASA'!$K:$K=$O162),
        'Individual data from NASA'!P:P
    )
)</f>
        <v>6.7958333333333334</v>
      </c>
      <c r="U162" cm="1">
        <f t="array" ref="U162">AVERAGE(
    IF(
        ('Individual data from NASA'!$B:$B=$B162) *
        ('Individual data from NASA'!$C:$C=$G162) *
        ('Individual data from NASA'!$K:$K=$O162),
        'Individual data from NASA'!Q:Q
    )
)</f>
        <v>0.71375</v>
      </c>
      <c r="V162" cm="1">
        <f t="array" ref="V162">AVERAGE(
    IF(
        ('Individual data from NASA'!$B:$B=$B162) *
        ('Individual data from NASA'!$C:$C=$G162) *
        ('Individual data from NASA'!$K:$K=$O162),
        'Individual data from NASA'!R:R
    )
)</f>
        <v>0.28625</v>
      </c>
      <c r="W162" cm="1">
        <f t="array" ref="W162">AVERAGE(
    IF(
        ('Individual data from NASA'!$B:$B=$B162) *
        ('Individual data from NASA'!$C:$C=$G162) *
        ('Individual data from NASA'!$K:$K=$O162),
        'Individual data from NASA'!S:S
    )
)</f>
        <v>74.880347470000004</v>
      </c>
      <c r="X162" cm="1">
        <f t="array" ref="X162">AVERAGE(
    IF(
        ('Individual data from NASA'!$B:$B=$B162) *
        ('Individual data from NASA'!$C:$C=$G162) *
        ('Individual data from NASA'!$K:$K=$O162),
        'Individual data from NASA'!T:T
    )
)</f>
        <v>24.281195814999997</v>
      </c>
      <c r="Y162" cm="1">
        <f t="array" ref="Y162">AVERAGE(
    IF(
        ('Individual data from NASA'!$B:$B=$B162) *
        ('Individual data from NASA'!$C:$C=$G162) *
        ('Individual data from NASA'!$K:$K=$O162),
        'Individual data from NASA'!W:W
    )
)</f>
        <v>12.653461006923076</v>
      </c>
      <c r="Z162" cm="1">
        <f t="array" ref="Z162">AVERAGE(
    IF(
        ('Individual data from NASA'!$B:$B=$B162) *
        ('Individual data from NASA'!$C:$C=$G162) *
        ('Individual data from NASA'!$K:$K=$O162),
        'Individual data from NASA'!U:U
    )
)</f>
        <v>16.260167409230768</v>
      </c>
      <c r="AD162" t="str">
        <f t="shared" si="12"/>
        <v>Moore (2015)|APEX|Ground|CFM56-2C1|30|Idle (approach)</v>
      </c>
      <c r="AW162" s="13" t="e" cm="1">
        <f t="array" ref="AW162">_xlfn.XLOOKUP($AD162 &amp; "|" &amp; $H162, $AD:$AD &amp; "|" &amp; $G:$G, L:L)</f>
        <v>#N/A</v>
      </c>
      <c r="AZ162" t="s">
        <v>232</v>
      </c>
    </row>
    <row r="163" spans="1:52" x14ac:dyDescent="0.2">
      <c r="A163" t="s">
        <v>32</v>
      </c>
      <c r="B163" t="s">
        <v>1</v>
      </c>
      <c r="C163" t="s">
        <v>110</v>
      </c>
      <c r="D163" t="s">
        <v>112</v>
      </c>
      <c r="E163">
        <v>30</v>
      </c>
      <c r="F163" t="s">
        <v>192</v>
      </c>
      <c r="G163" t="s">
        <v>8</v>
      </c>
      <c r="I163">
        <v>17.600000000000001</v>
      </c>
      <c r="J163">
        <v>0.93</v>
      </c>
      <c r="K163">
        <v>383</v>
      </c>
      <c r="L163">
        <v>13.69</v>
      </c>
      <c r="M163">
        <v>299.72142857142853</v>
      </c>
      <c r="N163">
        <v>299.72142857142853</v>
      </c>
      <c r="O163">
        <v>30</v>
      </c>
      <c r="P163">
        <v>1231.2000000000003</v>
      </c>
      <c r="Q163" cm="1">
        <f t="array" ref="Q163">AVERAGE(
    IF(
        ('Individual data from NASA'!$B:$B=$B163) *
        ('Individual data from NASA'!$C:$C=$G163) *
        ('Individual data from NASA'!$K:$K=$O163),
        'Individual data from NASA'!M:M
    )
)</f>
        <v>202857142857142.84</v>
      </c>
      <c r="R163" cm="1">
        <f t="array" ref="R163">AVERAGE(
    IF(
        ('Individual data from NASA'!$B:$B=$B163) *
        ('Individual data from NASA'!$C:$C=$G163) *
        ('Individual data from NASA'!$K:$K=$O163),
        'Individual data from NASA'!N:N
    )
)</f>
        <v>1.3887142857142858E+16</v>
      </c>
      <c r="S163" cm="1">
        <f t="array" ref="S163">AVERAGE(
    IF(
        ('Individual data from NASA'!$B:$B=$B163) *
        ('Individual data from NASA'!$C:$C=$G163) *
        ('Individual data from NASA'!$K:$K=$O163),
        'Individual data from NASA'!O:O
    )
)</f>
        <v>1.4074285714285714E+16</v>
      </c>
      <c r="T163" cm="1">
        <f t="array" ref="T163">AVERAGE(
    IF(
        ('Individual data from NASA'!$B:$B=$B163) *
        ('Individual data from NASA'!$C:$C=$G163) *
        ('Individual data from NASA'!$K:$K=$O163),
        'Individual data from NASA'!P:P
    )
)</f>
        <v>4.706142857142857</v>
      </c>
      <c r="U163" cm="1">
        <f t="array" ref="U163">AVERAGE(
    IF(
        ('Individual data from NASA'!$B:$B=$B163) *
        ('Individual data from NASA'!$C:$C=$G163) *
        ('Individual data from NASA'!$K:$K=$O163),
        'Individual data from NASA'!Q:Q
    )
)</f>
        <v>0.624</v>
      </c>
      <c r="V163" cm="1">
        <f t="array" ref="V163">AVERAGE(
    IF(
        ('Individual data from NASA'!$B:$B=$B163) *
        ('Individual data from NASA'!$C:$C=$G163) *
        ('Individual data from NASA'!$K:$K=$O163),
        'Individual data from NASA'!R:R
    )
)</f>
        <v>0.376</v>
      </c>
      <c r="W163" cm="1">
        <f t="array" ref="W163">AVERAGE(
    IF(
        ('Individual data from NASA'!$B:$B=$B163) *
        ('Individual data from NASA'!$C:$C=$G163) *
        ('Individual data from NASA'!$K:$K=$O163),
        'Individual data from NASA'!S:S
    )
)</f>
        <v>16.75815759</v>
      </c>
      <c r="X163" cm="1">
        <f t="array" ref="X163">AVERAGE(
    IF(
        ('Individual data from NASA'!$B:$B=$B163) *
        ('Individual data from NASA'!$C:$C=$G163) *
        ('Individual data from NASA'!$K:$K=$O163),
        'Individual data from NASA'!T:T
    )
)</f>
        <v>9.9186072164999999</v>
      </c>
      <c r="Y163" cm="1">
        <f t="array" ref="Y163">AVERAGE(
    IF(
        ('Individual data from NASA'!$B:$B=$B163) *
        ('Individual data from NASA'!$C:$C=$G163) *
        ('Individual data from NASA'!$K:$K=$O163),
        'Individual data from NASA'!W:W
    )
)</f>
        <v>14.325473214285717</v>
      </c>
      <c r="Z163" cm="1">
        <f t="array" ref="Z163">AVERAGE(
    IF(
        ('Individual data from NASA'!$B:$B=$B163) *
        ('Individual data from NASA'!$C:$C=$G163) *
        ('Individual data from NASA'!$K:$K=$O163),
        'Individual data from NASA'!U:U
    )
)</f>
        <v>14.460571047142858</v>
      </c>
      <c r="AD163" t="str">
        <f t="shared" si="12"/>
        <v>Moore (2015)|APEX|Ground|CFM56-2C1|30|Intermediate</v>
      </c>
      <c r="AW163" s="13" t="e" cm="1">
        <f t="array" ref="AW163">_xlfn.XLOOKUP($AD163 &amp; "|" &amp; $H163, $AD:$AD &amp; "|" &amp; $G:$G, L:L)</f>
        <v>#N/A</v>
      </c>
      <c r="AZ163" t="s">
        <v>232</v>
      </c>
    </row>
    <row r="164" spans="1:52" x14ac:dyDescent="0.2">
      <c r="A164" t="s">
        <v>32</v>
      </c>
      <c r="B164" t="s">
        <v>1</v>
      </c>
      <c r="C164" t="s">
        <v>110</v>
      </c>
      <c r="D164" t="s">
        <v>112</v>
      </c>
      <c r="E164">
        <v>30</v>
      </c>
      <c r="F164" t="s">
        <v>197</v>
      </c>
      <c r="G164" t="s">
        <v>8</v>
      </c>
      <c r="I164">
        <v>17.600000000000001</v>
      </c>
      <c r="J164">
        <v>0.93</v>
      </c>
      <c r="K164">
        <v>383</v>
      </c>
      <c r="L164">
        <v>13.69</v>
      </c>
      <c r="M164">
        <v>299.54999999999995</v>
      </c>
      <c r="N164">
        <v>299.54999999999995</v>
      </c>
      <c r="O164">
        <v>65</v>
      </c>
      <c r="P164">
        <v>2167.1999999999998</v>
      </c>
      <c r="Q164" cm="1">
        <f t="array" ref="Q164">AVERAGE(
    IF(
        ('Individual data from NASA'!$B:$B=$B164) *
        ('Individual data from NASA'!$C:$C=$G164) *
        ('Individual data from NASA'!$K:$K=$O164),
        'Individual data from NASA'!M:M
    )
)</f>
        <v>159600000000000</v>
      </c>
      <c r="R164" cm="1">
        <f t="array" ref="R164">AVERAGE(
    IF(
        ('Individual data from NASA'!$B:$B=$B164) *
        ('Individual data from NASA'!$C:$C=$G164) *
        ('Individual data from NASA'!$K:$K=$O164),
        'Individual data from NASA'!N:N
    )
)</f>
        <v>1.1916E+16</v>
      </c>
      <c r="S164" cm="1">
        <f t="array" ref="S164">AVERAGE(
    IF(
        ('Individual data from NASA'!$B:$B=$B164) *
        ('Individual data from NASA'!$C:$C=$G164) *
        ('Individual data from NASA'!$K:$K=$O164),
        'Individual data from NASA'!O:O
    )
)</f>
        <v>1.2062E+16</v>
      </c>
      <c r="T164" cm="1">
        <f t="array" ref="T164">AVERAGE(
    IF(
        ('Individual data from NASA'!$B:$B=$B164) *
        ('Individual data from NASA'!$C:$C=$G164) *
        ('Individual data from NASA'!$K:$K=$O164),
        'Individual data from NASA'!P:P
    )
)</f>
        <v>18.501999999999999</v>
      </c>
      <c r="U164" t="e" cm="1">
        <f t="array" ref="U164">AVERAGE(
    IF(
        ('Individual data from NASA'!$B:$B=$B164) *
        ('Individual data from NASA'!$C:$C=$G164) *
        ('Individual data from NASA'!$K:$K=$O164),
        'Individual data from NASA'!Q:Q
    )
)</f>
        <v>#DIV/0!</v>
      </c>
      <c r="V164" t="e" cm="1">
        <f t="array" ref="V164">AVERAGE(
    IF(
        ('Individual data from NASA'!$B:$B=$B164) *
        ('Individual data from NASA'!$C:$C=$G164) *
        ('Individual data from NASA'!$K:$K=$O164),
        'Individual data from NASA'!R:R
    )
)</f>
        <v>#DIV/0!</v>
      </c>
      <c r="W164" t="e" cm="1">
        <f t="array" ref="W164">AVERAGE(
    IF(
        ('Individual data from NASA'!$B:$B=$B164) *
        ('Individual data from NASA'!$C:$C=$G164) *
        ('Individual data from NASA'!$K:$K=$O164),
        'Individual data from NASA'!S:S
    )
)</f>
        <v>#DIV/0!</v>
      </c>
      <c r="X164" t="e" cm="1">
        <f t="array" ref="X164">AVERAGE(
    IF(
        ('Individual data from NASA'!$B:$B=$B164) *
        ('Individual data from NASA'!$C:$C=$G164) *
        ('Individual data from NASA'!$K:$K=$O164),
        'Individual data from NASA'!T:T
    )
)</f>
        <v>#DIV/0!</v>
      </c>
      <c r="Y164" cm="1">
        <f t="array" ref="Y164">AVERAGE(
    IF(
        ('Individual data from NASA'!$B:$B=$B164) *
        ('Individual data from NASA'!$C:$C=$G164) *
        ('Individual data from NASA'!$K:$K=$O164),
        'Individual data from NASA'!W:W
    )
)</f>
        <v>19.969429286</v>
      </c>
      <c r="Z164" cm="1">
        <f t="array" ref="Z164">AVERAGE(
    IF(
        ('Individual data from NASA'!$B:$B=$B164) *
        ('Individual data from NASA'!$C:$C=$G164) *
        ('Individual data from NASA'!$K:$K=$O164),
        'Individual data from NASA'!U:U
    )
)</f>
        <v>11.960932818</v>
      </c>
      <c r="AD164" t="str">
        <f t="shared" si="12"/>
        <v>Moore (2015)|APEX|Ground|CFM56-2C1|30|Mid power</v>
      </c>
      <c r="AW164" s="13" t="e" cm="1">
        <f t="array" ref="AW164">_xlfn.XLOOKUP($AD164 &amp; "|" &amp; $H164, $AD:$AD &amp; "|" &amp; $G:$G, L:L)</f>
        <v>#N/A</v>
      </c>
      <c r="AZ164" t="s">
        <v>232</v>
      </c>
    </row>
    <row r="165" spans="1:52" x14ac:dyDescent="0.2">
      <c r="A165" t="s">
        <v>32</v>
      </c>
      <c r="B165" t="s">
        <v>1</v>
      </c>
      <c r="C165" t="s">
        <v>110</v>
      </c>
      <c r="D165" t="s">
        <v>112</v>
      </c>
      <c r="E165">
        <v>30</v>
      </c>
      <c r="F165" t="s">
        <v>187</v>
      </c>
      <c r="G165" t="s">
        <v>8</v>
      </c>
      <c r="I165">
        <v>17.600000000000001</v>
      </c>
      <c r="J165">
        <v>0.93</v>
      </c>
      <c r="K165">
        <v>383</v>
      </c>
      <c r="L165">
        <v>13.69</v>
      </c>
      <c r="M165">
        <v>300.89999999999998</v>
      </c>
      <c r="N165">
        <v>300.89999999999998</v>
      </c>
      <c r="O165">
        <v>85</v>
      </c>
      <c r="P165">
        <v>3041.9999999999995</v>
      </c>
      <c r="Q165" cm="1">
        <f t="array" ref="Q165">AVERAGE(
    IF(
        ('Individual data from NASA'!$B:$B=$B165) *
        ('Individual data from NASA'!$C:$C=$G165) *
        ('Individual data from NASA'!$K:$K=$O165),
        'Individual data from NASA'!M:M
    )
)</f>
        <v>325000000000000</v>
      </c>
      <c r="R165" cm="1">
        <f t="array" ref="R165">AVERAGE(
    IF(
        ('Individual data from NASA'!$B:$B=$B165) *
        ('Individual data from NASA'!$C:$C=$G165) *
        ('Individual data from NASA'!$K:$K=$O165),
        'Individual data from NASA'!N:N
    )
)</f>
        <v>3962500000000000</v>
      </c>
      <c r="S165" cm="1">
        <f t="array" ref="S165">AVERAGE(
    IF(
        ('Individual data from NASA'!$B:$B=$B165) *
        ('Individual data from NASA'!$C:$C=$G165) *
        ('Individual data from NASA'!$K:$K=$O165),
        'Individual data from NASA'!O:O
    )
)</f>
        <v>4290000000000000</v>
      </c>
      <c r="T165" cm="1">
        <f t="array" ref="T165">AVERAGE(
    IF(
        ('Individual data from NASA'!$B:$B=$B165) *
        ('Individual data from NASA'!$C:$C=$G165) *
        ('Individual data from NASA'!$K:$K=$O165),
        'Individual data from NASA'!P:P
    )
)</f>
        <v>88.604500000000002</v>
      </c>
      <c r="U165" cm="1">
        <f t="array" ref="U165">AVERAGE(
    IF(
        ('Individual data from NASA'!$B:$B=$B165) *
        ('Individual data from NASA'!$C:$C=$G165) *
        ('Individual data from NASA'!$K:$K=$O165),
        'Individual data from NASA'!Q:Q
    )
)</f>
        <v>0.72917619199999995</v>
      </c>
      <c r="V165" cm="1">
        <f t="array" ref="V165">AVERAGE(
    IF(
        ('Individual data from NASA'!$B:$B=$B165) *
        ('Individual data from NASA'!$C:$C=$G165) *
        ('Individual data from NASA'!$K:$K=$O165),
        'Individual data from NASA'!R:R
    )
)</f>
        <v>0.270823808</v>
      </c>
      <c r="W165" cm="1">
        <f t="array" ref="W165">AVERAGE(
    IF(
        ('Individual data from NASA'!$B:$B=$B165) *
        ('Individual data from NASA'!$C:$C=$G165) *
        ('Individual data from NASA'!$K:$K=$O165),
        'Individual data from NASA'!S:S
    )
)</f>
        <v>50.532137134999999</v>
      </c>
      <c r="X165" cm="1">
        <f t="array" ref="X165">AVERAGE(
    IF(
        ('Individual data from NASA'!$B:$B=$B165) *
        ('Individual data from NASA'!$C:$C=$G165) *
        ('Individual data from NASA'!$K:$K=$O165),
        'Individual data from NASA'!T:T
    )
)</f>
        <v>17.054792729999999</v>
      </c>
      <c r="Y165" cm="1">
        <f t="array" ref="Y165">AVERAGE(
    IF(
        ('Individual data from NASA'!$B:$B=$B165) *
        ('Individual data from NASA'!$C:$C=$G165) *
        ('Individual data from NASA'!$K:$K=$O165),
        'Individual data from NASA'!W:W
    )
)</f>
        <v>26.6113860725</v>
      </c>
      <c r="Z165" cm="1">
        <f t="array" ref="Z165">AVERAGE(
    IF(
        ('Individual data from NASA'!$B:$B=$B165) *
        ('Individual data from NASA'!$C:$C=$G165) *
        ('Individual data from NASA'!$K:$K=$O165),
        'Individual data from NASA'!U:U
    )
)</f>
        <v>17.22884634</v>
      </c>
      <c r="AD165" t="str">
        <f t="shared" si="12"/>
        <v>Moore (2015)|APEX|Ground|CFM56-2C1|30|Climb</v>
      </c>
      <c r="AW165" s="13" t="e" cm="1">
        <f t="array" ref="AW165">_xlfn.XLOOKUP($AD165 &amp; "|" &amp; $H165, $AD:$AD &amp; "|" &amp; $G:$G, L:L)</f>
        <v>#N/A</v>
      </c>
      <c r="AZ165" t="s">
        <v>232</v>
      </c>
    </row>
    <row r="166" spans="1:52" x14ac:dyDescent="0.2">
      <c r="A166" t="s">
        <v>32</v>
      </c>
      <c r="B166" t="s">
        <v>1</v>
      </c>
      <c r="C166" t="s">
        <v>110</v>
      </c>
      <c r="D166" t="s">
        <v>112</v>
      </c>
      <c r="E166">
        <v>30</v>
      </c>
      <c r="F166" t="s">
        <v>195</v>
      </c>
      <c r="G166" t="s">
        <v>8</v>
      </c>
      <c r="I166">
        <v>17.600000000000001</v>
      </c>
      <c r="J166">
        <v>0.93</v>
      </c>
      <c r="K166">
        <v>383</v>
      </c>
      <c r="L166">
        <v>13.69</v>
      </c>
      <c r="M166">
        <v>301.39999999999998</v>
      </c>
      <c r="N166">
        <v>301.39999999999998</v>
      </c>
      <c r="O166">
        <v>100</v>
      </c>
      <c r="P166">
        <v>3218.4</v>
      </c>
      <c r="Q166" cm="1">
        <f t="array" ref="Q166">AVERAGE(
    IF(
        ('Individual data from NASA'!$B:$B=$B166) *
        ('Individual data from NASA'!$C:$C=$G166) *
        ('Individual data from NASA'!$K:$K=$O166),
        'Individual data from NASA'!M:M
    )
)</f>
        <v>415000000000000</v>
      </c>
      <c r="R166" cm="1">
        <f t="array" ref="R166">AVERAGE(
    IF(
        ('Individual data from NASA'!$B:$B=$B166) *
        ('Individual data from NASA'!$C:$C=$G166) *
        ('Individual data from NASA'!$K:$K=$O166),
        'Individual data from NASA'!N:N
    )
)</f>
        <v>5757500000000000</v>
      </c>
      <c r="S166" cm="1">
        <f t="array" ref="S166">AVERAGE(
    IF(
        ('Individual data from NASA'!$B:$B=$B166) *
        ('Individual data from NASA'!$C:$C=$G166) *
        ('Individual data from NASA'!$K:$K=$O166),
        'Individual data from NASA'!O:O
    )
)</f>
        <v>6132500000000000</v>
      </c>
      <c r="T166" cm="1">
        <f t="array" ref="T166">AVERAGE(
    IF(
        ('Individual data from NASA'!$B:$B=$B166) *
        ('Individual data from NASA'!$C:$C=$G166) *
        ('Individual data from NASA'!$K:$K=$O166),
        'Individual data from NASA'!P:P
    )
)</f>
        <v>83.75</v>
      </c>
      <c r="U166" cm="1">
        <f t="array" ref="U166">AVERAGE(
    IF(
        ('Individual data from NASA'!$B:$B=$B166) *
        ('Individual data from NASA'!$C:$C=$G166) *
        ('Individual data from NASA'!$K:$K=$O166),
        'Individual data from NASA'!Q:Q
    )
)</f>
        <v>0.73</v>
      </c>
      <c r="V166" cm="1">
        <f t="array" ref="V166">AVERAGE(
    IF(
        ('Individual data from NASA'!$B:$B=$B166) *
        ('Individual data from NASA'!$C:$C=$G166) *
        ('Individual data from NASA'!$K:$K=$O166),
        'Individual data from NASA'!R:R
    )
)</f>
        <v>0.27</v>
      </c>
      <c r="W166" cm="1">
        <f t="array" ref="W166">AVERAGE(
    IF(
        ('Individual data from NASA'!$B:$B=$B166) *
        ('Individual data from NASA'!$C:$C=$G166) *
        ('Individual data from NASA'!$K:$K=$O166),
        'Individual data from NASA'!S:S
    )
)</f>
        <v>54.296312669999999</v>
      </c>
      <c r="X166" cm="1">
        <f t="array" ref="X166">AVERAGE(
    IF(
        ('Individual data from NASA'!$B:$B=$B166) *
        ('Individual data from NASA'!$C:$C=$G166) *
        ('Individual data from NASA'!$K:$K=$O166),
        'Individual data from NASA'!T:T
    )
)</f>
        <v>20.130861360000001</v>
      </c>
      <c r="Y166" cm="1">
        <f t="array" ref="Y166">AVERAGE(
    IF(
        ('Individual data from NASA'!$B:$B=$B166) *
        ('Individual data from NASA'!$C:$C=$G166) *
        ('Individual data from NASA'!$K:$K=$O166),
        'Individual data from NASA'!W:W
    )
)</f>
        <v>23.867047500000002</v>
      </c>
      <c r="Z166" cm="1">
        <f t="array" ref="Z166">AVERAGE(
    IF(
        ('Individual data from NASA'!$B:$B=$B166) *
        ('Individual data from NASA'!$C:$C=$G166) *
        ('Individual data from NASA'!$K:$K=$O166),
        'Individual data from NASA'!U:U
    )
)</f>
        <v>16.150404999999999</v>
      </c>
      <c r="AD166" t="str">
        <f t="shared" si="12"/>
        <v>Moore (2015)|APEX|Ground|CFM56-2C1|30|Take-off</v>
      </c>
      <c r="AW166" s="13" t="e" cm="1">
        <f t="array" ref="AW166">_xlfn.XLOOKUP($AD166 &amp; "|" &amp; $H166, $AD:$AD &amp; "|" &amp; $G:$G, L:L)</f>
        <v>#N/A</v>
      </c>
      <c r="AZ166" t="s">
        <v>232</v>
      </c>
    </row>
    <row r="167" spans="1:52" x14ac:dyDescent="0.2">
      <c r="A167" t="s">
        <v>32</v>
      </c>
      <c r="B167" t="s">
        <v>1</v>
      </c>
      <c r="C167" t="s">
        <v>110</v>
      </c>
      <c r="D167" t="s">
        <v>112</v>
      </c>
      <c r="E167">
        <v>30</v>
      </c>
      <c r="F167" t="s">
        <v>190</v>
      </c>
      <c r="G167" t="s">
        <v>9</v>
      </c>
      <c r="H167" t="s">
        <v>8</v>
      </c>
      <c r="I167">
        <v>17.3</v>
      </c>
      <c r="J167">
        <v>1.31</v>
      </c>
      <c r="K167">
        <v>1595</v>
      </c>
      <c r="L167">
        <v>13.67</v>
      </c>
      <c r="M167">
        <v>303.64999999999998</v>
      </c>
      <c r="N167">
        <v>303.64999999999998</v>
      </c>
      <c r="O167">
        <v>4</v>
      </c>
      <c r="P167">
        <v>457.2</v>
      </c>
      <c r="Q167" cm="1">
        <f t="array" ref="Q167">AVERAGE(
    IF(
        ('Individual data from NASA'!$B:$B=$B167) *
        ('Individual data from NASA'!$C:$C=$G167) *
        ('Individual data from NASA'!$K:$K=$O167),
        'Individual data from NASA'!M:M
    )
)</f>
        <v>3930000000000000</v>
      </c>
      <c r="R167" cm="1">
        <f t="array" ref="R167">AVERAGE(
    IF(
        ('Individual data from NASA'!$B:$B=$B167) *
        ('Individual data from NASA'!$C:$C=$G167) *
        ('Individual data from NASA'!$K:$K=$O167),
        'Individual data from NASA'!N:N
    )
)</f>
        <v>4.925E+16</v>
      </c>
      <c r="S167" cm="1">
        <f t="array" ref="S167">AVERAGE(
    IF(
        ('Individual data from NASA'!$B:$B=$B167) *
        ('Individual data from NASA'!$C:$C=$G167) *
        ('Individual data from NASA'!$K:$K=$O167),
        'Individual data from NASA'!O:O
    )
)</f>
        <v>5.315E+16</v>
      </c>
      <c r="T167" cm="1">
        <f t="array" ref="T167">AVERAGE(
    IF(
        ('Individual data from NASA'!$B:$B=$B167) *
        ('Individual data from NASA'!$C:$C=$G167) *
        ('Individual data from NASA'!$K:$K=$O167),
        'Individual data from NASA'!P:P
    )
)</f>
        <v>7.5175000000000001</v>
      </c>
      <c r="U167" cm="1">
        <f t="array" ref="U167">AVERAGE(
    IF(
        ('Individual data from NASA'!$B:$B=$B167) *
        ('Individual data from NASA'!$C:$C=$G167) *
        ('Individual data from NASA'!$K:$K=$O167),
        'Individual data from NASA'!Q:Q
    )
)</f>
        <v>0.72799999999999998</v>
      </c>
      <c r="V167" cm="1">
        <f t="array" ref="V167">AVERAGE(
    IF(
        ('Individual data from NASA'!$B:$B=$B167) *
        ('Individual data from NASA'!$C:$C=$G167) *
        ('Individual data from NASA'!$K:$K=$O167),
        'Individual data from NASA'!R:R
    )
)</f>
        <v>0.27200000000000002</v>
      </c>
      <c r="W167" cm="1">
        <f t="array" ref="W167">AVERAGE(
    IF(
        ('Individual data from NASA'!$B:$B=$B167) *
        ('Individual data from NASA'!$C:$C=$G167) *
        ('Individual data from NASA'!$K:$K=$O167),
        'Individual data from NASA'!S:S
    )
)</f>
        <v>108.78420345000001</v>
      </c>
      <c r="X167" cm="1">
        <f t="array" ref="X167">AVERAGE(
    IF(
        ('Individual data from NASA'!$B:$B=$B167) *
        ('Individual data from NASA'!$C:$C=$G167) *
        ('Individual data from NASA'!$K:$K=$O167),
        'Individual data from NASA'!T:T
    )
)</f>
        <v>41.13891813</v>
      </c>
      <c r="Y167" cm="1">
        <f t="array" ref="Y167">AVERAGE(
    IF(
        ('Individual data from NASA'!$B:$B=$B167) *
        ('Individual data from NASA'!$C:$C=$G167) *
        ('Individual data from NASA'!$K:$K=$O167),
        'Individual data from NASA'!W:W
    )
)</f>
        <v>12.049999999999999</v>
      </c>
      <c r="Z167" cm="1">
        <f t="array" ref="Z167">AVERAGE(
    IF(
        ('Individual data from NASA'!$B:$B=$B167) *
        ('Individual data from NASA'!$C:$C=$G167) *
        ('Individual data from NASA'!$K:$K=$O167),
        'Individual data from NASA'!U:U
    )
)</f>
        <v>16.383333333333333</v>
      </c>
      <c r="AD167" t="str">
        <f t="shared" si="12"/>
        <v>Moore (2015)|APEX|Ground|CFM56-2C1|30|Idle (min)</v>
      </c>
      <c r="AE167" s="13" cm="1">
        <f t="array" ref="AE167">I167 / _xlfn.XLOOKUP($AD167 &amp; "|" &amp; $H167, $AD:$AD &amp; "|" &amp; $G:$G, I:I)</f>
        <v>0.98295454545454541</v>
      </c>
      <c r="AF167" s="13" cm="1">
        <f t="array" ref="AF167">J167 / _xlfn.XLOOKUP($AD167 &amp; "|" &amp; $H167, $AD:$AD &amp; "|" &amp; $G:$G, J:J)</f>
        <v>1.4086021505376345</v>
      </c>
      <c r="AG167" s="13" cm="1">
        <f t="array" ref="AG167">K167 / _xlfn.XLOOKUP($AD167 &amp; "|" &amp; $H167, $AD:$AD &amp; "|" &amp; $G:$G, K:K)</f>
        <v>4.1644908616187992</v>
      </c>
      <c r="AH167" s="13" cm="1">
        <f t="array" ref="AH167">L167 / _xlfn.XLOOKUP($AD167 &amp; "|" &amp; $H167, $AD:$AD &amp; "|" &amp; $G:$G, L:L)</f>
        <v>0.99853907962016075</v>
      </c>
      <c r="AI167" s="13" cm="1">
        <f t="array" ref="AI167">M167 / _xlfn.XLOOKUP($AD167 &amp; "|" &amp; $H167, $AD:$AD &amp; "|" &amp; $G:$G, M:M)</f>
        <v>1.0012365015250186</v>
      </c>
      <c r="AJ167" s="13" cm="1">
        <f t="array" ref="AJ167">N167 / _xlfn.XLOOKUP($AD167 &amp; "|" &amp; $H167, $AD:$AD &amp; "|" &amp; $G:$G, N:N)</f>
        <v>1.0012365015250186</v>
      </c>
      <c r="AK167" s="13" cm="1">
        <f t="array" ref="AK167">O167 / _xlfn.XLOOKUP($AD167 &amp; "|" &amp; $H167, $AD:$AD &amp; "|" &amp; $G:$G, O:O)</f>
        <v>1</v>
      </c>
      <c r="AL167" s="13" cm="1">
        <f t="array" ref="AL167">P167 / _xlfn.XLOOKUP($AD167 &amp; "|" &amp; $H167, $AD:$AD &amp; "|" &amp; $G:$G, P:P)</f>
        <v>1</v>
      </c>
      <c r="AM167" s="13" cm="1">
        <f t="array" ref="AM167">Q167 / _xlfn.XLOOKUP($AD167 &amp; "|" &amp; $H167, $AD:$AD &amp; "|" &amp; $G:$G, Q:Q)</f>
        <v>1.694878706199461</v>
      </c>
      <c r="AN167" s="13" cm="1">
        <f t="array" ref="AN167">R167 / _xlfn.XLOOKUP($AD167 &amp; "|" &amp; $H167, $AD:$AD &amp; "|" &amp; $G:$G, R:R)</f>
        <v>1.5259488768396592</v>
      </c>
      <c r="AO167" s="13" cm="1">
        <f t="array" ref="AO167">S167 / _xlfn.XLOOKUP($AD167 &amp; "|" &amp; $H167, $AD:$AD &amp; "|" &amp; $G:$G, S:S)</f>
        <v>1.5355724088118454</v>
      </c>
      <c r="AP167" s="13" cm="1">
        <f t="array" ref="AP167">T167 / _xlfn.XLOOKUP($AD167 &amp; "|" &amp; $H167, $AD:$AD &amp; "|" &amp; $G:$G, T:T)</f>
        <v>0.36202745003611853</v>
      </c>
      <c r="AQ167" s="13" cm="1">
        <f t="array" ref="AQ167">U167 / _xlfn.XLOOKUP($AD167 &amp; "|" &amp; $H167, $AD:$AD &amp; "|" &amp; $G:$G, U:U)</f>
        <v>0.83505391144757968</v>
      </c>
      <c r="AR167" s="13" cm="1">
        <f t="array" ref="AR167">V167 / _xlfn.XLOOKUP($AD167 &amp; "|" &amp; $H167, $AD:$AD &amp; "|" &amp; $G:$G, V:V)</f>
        <v>2.1216848673946958</v>
      </c>
      <c r="AS167" s="13" cm="1">
        <f t="array" ref="AS167">W167 / _xlfn.XLOOKUP($AD167 &amp; "|" &amp; $H167, $AD:$AD &amp; "|" &amp; $G:$G, W:W)</f>
        <v>1.0605488609988154</v>
      </c>
      <c r="AT167" s="13" cm="1">
        <f t="array" ref="AT167">X167 / _xlfn.XLOOKUP($AD167 &amp; "|" &amp; $H167, $AD:$AD &amp; "|" &amp; $G:$G, X:X)</f>
        <v>2.3744213366580902</v>
      </c>
      <c r="AU167" s="13" cm="1">
        <f t="array" ref="AU167">Y167 / _xlfn.XLOOKUP($AD167 &amp; "|" &amp; $H167, $AD:$AD &amp; "|" &amp; $G:$G, Y:Y)</f>
        <v>0.97079556898288</v>
      </c>
      <c r="AV167" s="13" cm="1">
        <f t="array" ref="AV167">Z167 / _xlfn.XLOOKUP($AD167 &amp; "|" &amp; $H167, $AD:$AD &amp; "|" &amp; $G:$G, Z:Z)</f>
        <v>0.96942800788954642</v>
      </c>
      <c r="AW167" s="13" cm="1">
        <f t="array" ref="AW167">_xlfn.XLOOKUP($AD167 &amp; "|" &amp; $H167, $AD:$AD &amp; "|" &amp; $G:$G, L:L)</f>
        <v>13.69</v>
      </c>
      <c r="AY167" s="13"/>
      <c r="AZ167" t="s">
        <v>232</v>
      </c>
    </row>
    <row r="168" spans="1:52" x14ac:dyDescent="0.2">
      <c r="A168" t="s">
        <v>32</v>
      </c>
      <c r="B168" t="s">
        <v>1</v>
      </c>
      <c r="C168" t="s">
        <v>110</v>
      </c>
      <c r="D168" t="s">
        <v>112</v>
      </c>
      <c r="E168">
        <v>30</v>
      </c>
      <c r="F168" t="s">
        <v>191</v>
      </c>
      <c r="G168" t="s">
        <v>9</v>
      </c>
      <c r="H168" t="s">
        <v>8</v>
      </c>
      <c r="I168">
        <v>17.3</v>
      </c>
      <c r="J168">
        <v>1.31</v>
      </c>
      <c r="K168">
        <v>1595</v>
      </c>
      <c r="L168">
        <v>13.67</v>
      </c>
      <c r="M168">
        <v>298.57857142857142</v>
      </c>
      <c r="N168">
        <v>298.57857142857142</v>
      </c>
      <c r="O168">
        <v>7</v>
      </c>
      <c r="P168">
        <v>561.096</v>
      </c>
      <c r="Q168" cm="1">
        <f t="array" ref="Q168">AVERAGE(
    IF(
        ('Individual data from NASA'!$B:$B=$B168) *
        ('Individual data from NASA'!$C:$C=$G168) *
        ('Individual data from NASA'!$K:$K=$O168),
        'Individual data from NASA'!M:M
    )
)</f>
        <v>2588571428571428.5</v>
      </c>
      <c r="R168" cm="1">
        <f t="array" ref="R168">AVERAGE(
    IF(
        ('Individual data from NASA'!$B:$B=$B168) *
        ('Individual data from NASA'!$C:$C=$G168) *
        ('Individual data from NASA'!$K:$K=$O168),
        'Individual data from NASA'!N:N
    )
)</f>
        <v>5.9014285714285712E+16</v>
      </c>
      <c r="S168" cm="1">
        <f t="array" ref="S168">AVERAGE(
    IF(
        ('Individual data from NASA'!$B:$B=$B168) *
        ('Individual data from NASA'!$C:$C=$G168) *
        ('Individual data from NASA'!$K:$K=$O168),
        'Individual data from NASA'!O:O
    )
)</f>
        <v>6.16E+16</v>
      </c>
      <c r="T168" cm="1">
        <f t="array" ref="T168">AVERAGE(
    IF(
        ('Individual data from NASA'!$B:$B=$B168) *
        ('Individual data from NASA'!$C:$C=$G168) *
        ('Individual data from NASA'!$K:$K=$O168),
        'Individual data from NASA'!P:P
    )
)</f>
        <v>23.14833333333333</v>
      </c>
      <c r="U168" cm="1">
        <f t="array" ref="U168">AVERAGE(
    IF(
        ('Individual data from NASA'!$B:$B=$B168) *
        ('Individual data from NASA'!$C:$C=$G168) *
        ('Individual data from NASA'!$K:$K=$O168),
        'Individual data from NASA'!Q:Q
    )
)</f>
        <v>0.77900000000000003</v>
      </c>
      <c r="V168" cm="1">
        <f t="array" ref="V168">AVERAGE(
    IF(
        ('Individual data from NASA'!$B:$B=$B168) *
        ('Individual data from NASA'!$C:$C=$G168) *
        ('Individual data from NASA'!$K:$K=$O168),
        'Individual data from NASA'!R:R
    )
)</f>
        <v>0.221</v>
      </c>
      <c r="W168" cm="1">
        <f t="array" ref="W168">AVERAGE(
    IF(
        ('Individual data from NASA'!$B:$B=$B168) *
        ('Individual data from NASA'!$C:$C=$G168) *
        ('Individual data from NASA'!$K:$K=$O168),
        'Individual data from NASA'!S:S
    )
)</f>
        <v>66.87884385000001</v>
      </c>
      <c r="X168" cm="1">
        <f t="array" ref="X168">AVERAGE(
    IF(
        ('Individual data from NASA'!$B:$B=$B168) *
        ('Individual data from NASA'!$C:$C=$G168) *
        ('Individual data from NASA'!$K:$K=$O168),
        'Individual data from NASA'!T:T
    )
)</f>
        <v>18.793538892499999</v>
      </c>
      <c r="Y168" cm="1">
        <f t="array" ref="Y168">AVERAGE(
    IF(
        ('Individual data from NASA'!$B:$B=$B168) *
        ('Individual data from NASA'!$C:$C=$G168) *
        ('Individual data from NASA'!$K:$K=$O168),
        'Individual data from NASA'!W:W
    )
)</f>
        <v>11.138260278571428</v>
      </c>
      <c r="Z168" cm="1">
        <f t="array" ref="Z168">AVERAGE(
    IF(
        ('Individual data from NASA'!$B:$B=$B168) *
        ('Individual data from NASA'!$C:$C=$G168) *
        ('Individual data from NASA'!$K:$K=$O168),
        'Individual data from NASA'!U:U
    )
)</f>
        <v>14.801714035714285</v>
      </c>
      <c r="AD168" t="str">
        <f t="shared" si="12"/>
        <v>Moore (2015)|APEX|Ground|CFM56-2C1|30|Idle (approach)</v>
      </c>
      <c r="AE168" s="13" cm="1">
        <f t="array" ref="AE168">I168 / _xlfn.XLOOKUP($AD168 &amp; "|" &amp; $H168, $AD:$AD &amp; "|" &amp; $G:$G, I:I)</f>
        <v>0.98295454545454541</v>
      </c>
      <c r="AF168" s="13" cm="1">
        <f t="array" ref="AF168">J168 / _xlfn.XLOOKUP($AD168 &amp; "|" &amp; $H168, $AD:$AD &amp; "|" &amp; $G:$G, J:J)</f>
        <v>1.4086021505376345</v>
      </c>
      <c r="AG168" s="13" cm="1">
        <f t="array" ref="AG168">K168 / _xlfn.XLOOKUP($AD168 &amp; "|" &amp; $H168, $AD:$AD &amp; "|" &amp; $G:$G, K:K)</f>
        <v>4.1644908616187992</v>
      </c>
      <c r="AH168" s="13" cm="1">
        <f t="array" ref="AH168">L168 / _xlfn.XLOOKUP($AD168 &amp; "|" &amp; $H168, $AD:$AD &amp; "|" &amp; $G:$G, L:L)</f>
        <v>0.99853907962016075</v>
      </c>
      <c r="AI168" s="13" cm="1">
        <f t="array" ref="AI168">M168 / _xlfn.XLOOKUP($AD168 &amp; "|" &amp; $H168, $AD:$AD &amp; "|" &amp; $G:$G, M:M)</f>
        <v>0.99559376935168875</v>
      </c>
      <c r="AJ168" s="13" cm="1">
        <f t="array" ref="AJ168">N168 / _xlfn.XLOOKUP($AD168 &amp; "|" &amp; $H168, $AD:$AD &amp; "|" &amp; $G:$G, N:N)</f>
        <v>0.99559376935168875</v>
      </c>
      <c r="AK168" s="13" cm="1">
        <f t="array" ref="AK168">O168 / _xlfn.XLOOKUP($AD168 &amp; "|" &amp; $H168, $AD:$AD &amp; "|" &amp; $G:$G, O:O)</f>
        <v>1</v>
      </c>
      <c r="AL168" s="13" cm="1">
        <f t="array" ref="AL168">P168 / _xlfn.XLOOKUP($AD168 &amp; "|" &amp; $H168, $AD:$AD &amp; "|" &amp; $G:$G, P:P)</f>
        <v>1</v>
      </c>
      <c r="AM168" s="13" cm="1">
        <f t="array" ref="AM168">Q168 / _xlfn.XLOOKUP($AD168 &amp; "|" &amp; $H168, $AD:$AD &amp; "|" &amp; $G:$G, Q:Q)</f>
        <v>1.8569378971100634</v>
      </c>
      <c r="AN168" s="13" cm="1">
        <f t="array" ref="AN168">R168 / _xlfn.XLOOKUP($AD168 &amp; "|" &amp; $H168, $AD:$AD &amp; "|" &amp; $G:$G, R:R)</f>
        <v>2.091469074339718</v>
      </c>
      <c r="AO168" s="13" cm="1">
        <f t="array" ref="AO168">S168 / _xlfn.XLOOKUP($AD168 &amp; "|" &amp; $H168, $AD:$AD &amp; "|" &amp; $G:$G, S:S)</f>
        <v>2.2454015253476896</v>
      </c>
      <c r="AP168" s="13" cm="1">
        <f t="array" ref="AP168">T168 / _xlfn.XLOOKUP($AD168 &amp; "|" &amp; $H168, $AD:$AD &amp; "|" &amp; $G:$G, T:T)</f>
        <v>3.4062538320049045</v>
      </c>
      <c r="AQ168" s="13" cm="1">
        <f t="array" ref="AQ168">U168 / _xlfn.XLOOKUP($AD168 &amp; "|" &amp; $H168, $AD:$AD &amp; "|" &amp; $G:$G, U:U)</f>
        <v>1.0914185639229423</v>
      </c>
      <c r="AR168" s="13" cm="1">
        <f t="array" ref="AR168">V168 / _xlfn.XLOOKUP($AD168 &amp; "|" &amp; $H168, $AD:$AD &amp; "|" &amp; $G:$G, V:V)</f>
        <v>0.77205240174672485</v>
      </c>
      <c r="AS168" s="13" cm="1">
        <f t="array" ref="AS168">W168 / _xlfn.XLOOKUP($AD168 &amp; "|" &amp; $H168, $AD:$AD &amp; "|" &amp; $G:$G, W:W)</f>
        <v>0.8931428086227069</v>
      </c>
      <c r="AT168" s="13" cm="1">
        <f t="array" ref="AT168">X168 / _xlfn.XLOOKUP($AD168 &amp; "|" &amp; $H168, $AD:$AD &amp; "|" &amp; $G:$G, X:X)</f>
        <v>0.77399560695812464</v>
      </c>
      <c r="AU168" s="13" cm="1">
        <f t="array" ref="AU168">Y168 / _xlfn.XLOOKUP($AD168 &amp; "|" &amp; $H168, $AD:$AD &amp; "|" &amp; $G:$G, Y:Y)</f>
        <v>0.88025404847554067</v>
      </c>
      <c r="AV168" s="13" cm="1">
        <f t="array" ref="AV168">Z168 / _xlfn.XLOOKUP($AD168 &amp; "|" &amp; $H168, $AD:$AD &amp; "|" &amp; $G:$G, Z:Z)</f>
        <v>0.91030514404860741</v>
      </c>
      <c r="AW168" s="13" cm="1">
        <f t="array" ref="AW168">_xlfn.XLOOKUP($AD168 &amp; "|" &amp; $H168, $AD:$AD &amp; "|" &amp; $G:$G, L:L)</f>
        <v>13.69</v>
      </c>
      <c r="AY168" s="13"/>
      <c r="AZ168" t="s">
        <v>232</v>
      </c>
    </row>
    <row r="169" spans="1:52" x14ac:dyDescent="0.2">
      <c r="A169" t="s">
        <v>32</v>
      </c>
      <c r="B169" t="s">
        <v>1</v>
      </c>
      <c r="C169" t="s">
        <v>110</v>
      </c>
      <c r="D169" t="s">
        <v>112</v>
      </c>
      <c r="E169">
        <v>30</v>
      </c>
      <c r="F169" t="s">
        <v>192</v>
      </c>
      <c r="G169" t="s">
        <v>9</v>
      </c>
      <c r="H169" t="s">
        <v>8</v>
      </c>
      <c r="I169">
        <v>17.3</v>
      </c>
      <c r="J169">
        <v>1.31</v>
      </c>
      <c r="K169">
        <v>1595</v>
      </c>
      <c r="L169">
        <v>13.67</v>
      </c>
      <c r="M169">
        <v>299.89999999999998</v>
      </c>
      <c r="N169">
        <v>299.89999999999998</v>
      </c>
      <c r="O169">
        <v>30</v>
      </c>
      <c r="P169">
        <v>1231.2000000000003</v>
      </c>
      <c r="Q169" cm="1">
        <f t="array" ref="Q169">AVERAGE(
    IF(
        ('Individual data from NASA'!$B:$B=$B169) *
        ('Individual data from NASA'!$C:$C=$G169) *
        ('Individual data from NASA'!$K:$K=$O169),
        'Individual data from NASA'!M:M
    )
)</f>
        <v>151850000000000</v>
      </c>
      <c r="R169" cm="1">
        <f t="array" ref="R169">AVERAGE(
    IF(
        ('Individual data from NASA'!$B:$B=$B169) *
        ('Individual data from NASA'!$C:$C=$G169) *
        ('Individual data from NASA'!$K:$K=$O169),
        'Individual data from NASA'!N:N
    )
)</f>
        <v>5.42E+16</v>
      </c>
      <c r="S169" cm="1">
        <f t="array" ref="S169">AVERAGE(
    IF(
        ('Individual data from NASA'!$B:$B=$B169) *
        ('Individual data from NASA'!$C:$C=$G169) *
        ('Individual data from NASA'!$K:$K=$O169),
        'Individual data from NASA'!O:O
    )
)</f>
        <v>5.4375E+16</v>
      </c>
      <c r="T169" cm="1">
        <f t="array" ref="T169">AVERAGE(
    IF(
        ('Individual data from NASA'!$B:$B=$B169) *
        ('Individual data from NASA'!$C:$C=$G169) *
        ('Individual data from NASA'!$K:$K=$O169),
        'Individual data from NASA'!P:P
    )
)</f>
        <v>11.85525</v>
      </c>
      <c r="U169" cm="1">
        <f t="array" ref="U169">AVERAGE(
    IF(
        ('Individual data from NASA'!$B:$B=$B169) *
        ('Individual data from NASA'!$C:$C=$G169) *
        ('Individual data from NASA'!$K:$K=$O169),
        'Individual data from NASA'!Q:Q
    )
)</f>
        <v>0.61199999999999999</v>
      </c>
      <c r="V169" cm="1">
        <f t="array" ref="V169">AVERAGE(
    IF(
        ('Individual data from NASA'!$B:$B=$B169) *
        ('Individual data from NASA'!$C:$C=$G169) *
        ('Individual data from NASA'!$K:$K=$O169),
        'Individual data from NASA'!R:R
    )
)</f>
        <v>0.38799999999999996</v>
      </c>
      <c r="W169" cm="1">
        <f t="array" ref="W169">AVERAGE(
    IF(
        ('Individual data from NASA'!$B:$B=$B169) *
        ('Individual data from NASA'!$C:$C=$G169) *
        ('Individual data from NASA'!$K:$K=$O169),
        'Individual data from NASA'!S:S
    )
)</f>
        <v>97.680976723333345</v>
      </c>
      <c r="X169" cm="1">
        <f t="array" ref="X169">AVERAGE(
    IF(
        ('Individual data from NASA'!$B:$B=$B169) *
        ('Individual data from NASA'!$C:$C=$G169) *
        ('Individual data from NASA'!$K:$K=$O169),
        'Individual data from NASA'!T:T
    )
)</f>
        <v>62.660457763333334</v>
      </c>
      <c r="Y169" cm="1">
        <f t="array" ref="Y169">AVERAGE(
    IF(
        ('Individual data from NASA'!$B:$B=$B169) *
        ('Individual data from NASA'!$C:$C=$G169) *
        ('Individual data from NASA'!$K:$K=$O169),
        'Individual data from NASA'!W:W
    )
)</f>
        <v>14.7950298675</v>
      </c>
      <c r="Z169" cm="1">
        <f t="array" ref="Z169">AVERAGE(
    IF(
        ('Individual data from NASA'!$B:$B=$B169) *
        ('Individual data from NASA'!$C:$C=$G169) *
        ('Individual data from NASA'!$K:$K=$O169),
        'Individual data from NASA'!U:U
    )
)</f>
        <v>15.005112277499999</v>
      </c>
      <c r="AD169" t="str">
        <f t="shared" si="12"/>
        <v>Moore (2015)|APEX|Ground|CFM56-2C1|30|Intermediate</v>
      </c>
      <c r="AE169" s="13" cm="1">
        <f t="array" ref="AE169">I169 / _xlfn.XLOOKUP($AD169 &amp; "|" &amp; $H169, $AD:$AD &amp; "|" &amp; $G:$G, I:I)</f>
        <v>0.98295454545454541</v>
      </c>
      <c r="AF169" s="13" cm="1">
        <f t="array" ref="AF169">J169 / _xlfn.XLOOKUP($AD169 &amp; "|" &amp; $H169, $AD:$AD &amp; "|" &amp; $G:$G, J:J)</f>
        <v>1.4086021505376345</v>
      </c>
      <c r="AG169" s="13" cm="1">
        <f t="array" ref="AG169">K169 / _xlfn.XLOOKUP($AD169 &amp; "|" &amp; $H169, $AD:$AD &amp; "|" &amp; $G:$G, K:K)</f>
        <v>4.1644908616187992</v>
      </c>
      <c r="AH169" s="13" cm="1">
        <f t="array" ref="AH169">L169 / _xlfn.XLOOKUP($AD169 &amp; "|" &amp; $H169, $AD:$AD &amp; "|" &amp; $G:$G, L:L)</f>
        <v>0.99853907962016075</v>
      </c>
      <c r="AI169" s="13" cm="1">
        <f t="array" ref="AI169">M169 / _xlfn.XLOOKUP($AD169 &amp; "|" &amp; $H169, $AD:$AD &amp; "|" &amp; $G:$G, M:M)</f>
        <v>1.0005957913300447</v>
      </c>
      <c r="AJ169" s="13" cm="1">
        <f t="array" ref="AJ169">N169 / _xlfn.XLOOKUP($AD169 &amp; "|" &amp; $H169, $AD:$AD &amp; "|" &amp; $G:$G, N:N)</f>
        <v>1.0005957913300447</v>
      </c>
      <c r="AK169" s="13" cm="1">
        <f t="array" ref="AK169">O169 / _xlfn.XLOOKUP($AD169 &amp; "|" &amp; $H169, $AD:$AD &amp; "|" &amp; $G:$G, O:O)</f>
        <v>1</v>
      </c>
      <c r="AL169" s="13" cm="1">
        <f t="array" ref="AL169">P169 / _xlfn.XLOOKUP($AD169 &amp; "|" &amp; $H169, $AD:$AD &amp; "|" &amp; $G:$G, P:P)</f>
        <v>1</v>
      </c>
      <c r="AM169" s="13" cm="1">
        <f t="array" ref="AM169">Q169 / _xlfn.XLOOKUP($AD169 &amp; "|" &amp; $H169, $AD:$AD &amp; "|" &amp; $G:$G, Q:Q)</f>
        <v>0.74855633802816901</v>
      </c>
      <c r="AN169" s="13" cm="1">
        <f t="array" ref="AN169">R169 / _xlfn.XLOOKUP($AD169 &amp; "|" &amp; $H169, $AD:$AD &amp; "|" &amp; $G:$G, R:R)</f>
        <v>3.9028906491101738</v>
      </c>
      <c r="AO169" s="13" cm="1">
        <f t="array" ref="AO169">S169 / _xlfn.XLOOKUP($AD169 &amp; "|" &amp; $H169, $AD:$AD &amp; "|" &amp; $G:$G, S:S)</f>
        <v>3.8634287454323997</v>
      </c>
      <c r="AP169" s="13" cm="1">
        <f t="array" ref="AP169">T169 / _xlfn.XLOOKUP($AD169 &amp; "|" &amp; $H169, $AD:$AD &amp; "|" &amp; $G:$G, T:T)</f>
        <v>2.5191011747563974</v>
      </c>
      <c r="AQ169" s="13" cm="1">
        <f t="array" ref="AQ169">U169 / _xlfn.XLOOKUP($AD169 &amp; "|" &amp; $H169, $AD:$AD &amp; "|" &amp; $G:$G, U:U)</f>
        <v>0.98076923076923073</v>
      </c>
      <c r="AR169" s="13" cm="1">
        <f t="array" ref="AR169">V169 / _xlfn.XLOOKUP($AD169 &amp; "|" &amp; $H169, $AD:$AD &amp; "|" &amp; $G:$G, V:V)</f>
        <v>1.0319148936170213</v>
      </c>
      <c r="AS169" s="13" cm="1">
        <f t="array" ref="AS169">W169 / _xlfn.XLOOKUP($AD169 &amp; "|" &amp; $H169, $AD:$AD &amp; "|" &amp; $G:$G, W:W)</f>
        <v>5.8288613291011151</v>
      </c>
      <c r="AT169" s="13" cm="1">
        <f t="array" ref="AT169">X169 / _xlfn.XLOOKUP($AD169 &amp; "|" &amp; $H169, $AD:$AD &amp; "|" &amp; $G:$G, X:X)</f>
        <v>6.3174653855730023</v>
      </c>
      <c r="AU169" s="13" cm="1">
        <f t="array" ref="AU169">Y169 / _xlfn.XLOOKUP($AD169 &amp; "|" &amp; $H169, $AD:$AD &amp; "|" &amp; $G:$G, Y:Y)</f>
        <v>1.0327777411740946</v>
      </c>
      <c r="AV169" s="13" cm="1">
        <f t="array" ref="AV169">Z169 / _xlfn.XLOOKUP($AD169 &amp; "|" &amp; $H169, $AD:$AD &amp; "|" &amp; $G:$G, Z:Z)</f>
        <v>1.0376569658682138</v>
      </c>
      <c r="AW169" s="13" cm="1">
        <f t="array" ref="AW169">_xlfn.XLOOKUP($AD169 &amp; "|" &amp; $H169, $AD:$AD &amp; "|" &amp; $G:$G, L:L)</f>
        <v>13.69</v>
      </c>
      <c r="AY169" s="13"/>
      <c r="AZ169" t="s">
        <v>232</v>
      </c>
    </row>
    <row r="170" spans="1:52" x14ac:dyDescent="0.2">
      <c r="A170" t="s">
        <v>32</v>
      </c>
      <c r="B170" t="s">
        <v>1</v>
      </c>
      <c r="C170" t="s">
        <v>110</v>
      </c>
      <c r="D170" t="s">
        <v>112</v>
      </c>
      <c r="E170">
        <v>30</v>
      </c>
      <c r="F170" t="s">
        <v>197</v>
      </c>
      <c r="G170" t="s">
        <v>9</v>
      </c>
      <c r="H170" t="s">
        <v>8</v>
      </c>
      <c r="I170">
        <v>17.3</v>
      </c>
      <c r="J170">
        <v>1.31</v>
      </c>
      <c r="K170">
        <v>1595</v>
      </c>
      <c r="L170">
        <v>13.67</v>
      </c>
      <c r="M170">
        <v>300.64999999999998</v>
      </c>
      <c r="N170">
        <v>300.64999999999998</v>
      </c>
      <c r="O170">
        <v>65</v>
      </c>
      <c r="P170">
        <v>2167.1999999999998</v>
      </c>
      <c r="Q170" cm="1">
        <f t="array" ref="Q170">AVERAGE(
    IF(
        ('Individual data from NASA'!$B:$B=$B170) *
        ('Individual data from NASA'!$C:$C=$G170) *
        ('Individual data from NASA'!$K:$K=$O170),
        'Individual data from NASA'!M:M
    )
)</f>
        <v>166250000000000</v>
      </c>
      <c r="R170" cm="1">
        <f t="array" ref="R170">AVERAGE(
    IF(
        ('Individual data from NASA'!$B:$B=$B170) *
        ('Individual data from NASA'!$C:$C=$G170) *
        ('Individual data from NASA'!$K:$K=$O170),
        'Individual data from NASA'!N:N
    )
)</f>
        <v>2.8175E+16</v>
      </c>
      <c r="S170" cm="1">
        <f t="array" ref="S170">AVERAGE(
    IF(
        ('Individual data from NASA'!$B:$B=$B170) *
        ('Individual data from NASA'!$C:$C=$G170) *
        ('Individual data from NASA'!$K:$K=$O170),
        'Individual data from NASA'!O:O
    )
)</f>
        <v>2.8325E+16</v>
      </c>
      <c r="T170" cm="1">
        <f t="array" ref="T170">AVERAGE(
    IF(
        ('Individual data from NASA'!$B:$B=$B170) *
        ('Individual data from NASA'!$C:$C=$G170) *
        ('Individual data from NASA'!$K:$K=$O170),
        'Individual data from NASA'!P:P
    )
)</f>
        <v>16.307500000000001</v>
      </c>
      <c r="U170" cm="1">
        <f t="array" ref="U170">AVERAGE(
    IF(
        ('Individual data from NASA'!$B:$B=$B170) *
        ('Individual data from NASA'!$C:$C=$G170) *
        ('Individual data from NASA'!$K:$K=$O170),
        'Individual data from NASA'!Q:Q
    )
)</f>
        <v>0.59499999999999997</v>
      </c>
      <c r="V170" cm="1">
        <f t="array" ref="V170">AVERAGE(
    IF(
        ('Individual data from NASA'!$B:$B=$B170) *
        ('Individual data from NASA'!$C:$C=$G170) *
        ('Individual data from NASA'!$K:$K=$O170),
        'Individual data from NASA'!R:R
    )
)</f>
        <v>0.40500000000000003</v>
      </c>
      <c r="W170" cm="1">
        <f t="array" ref="W170">AVERAGE(
    IF(
        ('Individual data from NASA'!$B:$B=$B170) *
        ('Individual data from NASA'!$C:$C=$G170) *
        ('Individual data from NASA'!$K:$K=$O170),
        'Individual data from NASA'!S:S
    )
)</f>
        <v>68.699623105000001</v>
      </c>
      <c r="X170" cm="1">
        <f t="array" ref="X170">AVERAGE(
    IF(
        ('Individual data from NASA'!$B:$B=$B170) *
        ('Individual data from NASA'!$C:$C=$G170) *
        ('Individual data from NASA'!$K:$K=$O170),
        'Individual data from NASA'!T:T
    )
)</f>
        <v>46.667572454999998</v>
      </c>
      <c r="Y170" cm="1">
        <f t="array" ref="Y170">AVERAGE(
    IF(
        ('Individual data from NASA'!$B:$B=$B170) *
        ('Individual data from NASA'!$C:$C=$G170) *
        ('Individual data from NASA'!$K:$K=$O170),
        'Individual data from NASA'!W:W
    )
)</f>
        <v>17.175106477500002</v>
      </c>
      <c r="Z170" cm="1">
        <f t="array" ref="Z170">AVERAGE(
    IF(
        ('Individual data from NASA'!$B:$B=$B170) *
        ('Individual data from NASA'!$C:$C=$G170) *
        ('Individual data from NASA'!$K:$K=$O170),
        'Individual data from NASA'!U:U
    )
)</f>
        <v>14.77841134</v>
      </c>
      <c r="AD170" t="str">
        <f t="shared" si="12"/>
        <v>Moore (2015)|APEX|Ground|CFM56-2C1|30|Mid power</v>
      </c>
      <c r="AE170" s="13" cm="1">
        <f t="array" ref="AE170">I170 / _xlfn.XLOOKUP($AD170 &amp; "|" &amp; $H170, $AD:$AD &amp; "|" &amp; $G:$G, I:I)</f>
        <v>0.98295454545454541</v>
      </c>
      <c r="AF170" s="13" cm="1">
        <f t="array" ref="AF170">J170 / _xlfn.XLOOKUP($AD170 &amp; "|" &amp; $H170, $AD:$AD &amp; "|" &amp; $G:$G, J:J)</f>
        <v>1.4086021505376345</v>
      </c>
      <c r="AG170" s="13" cm="1">
        <f t="array" ref="AG170">K170 / _xlfn.XLOOKUP($AD170 &amp; "|" &amp; $H170, $AD:$AD &amp; "|" &amp; $G:$G, K:K)</f>
        <v>4.1644908616187992</v>
      </c>
      <c r="AH170" s="13" cm="1">
        <f t="array" ref="AH170">L170 / _xlfn.XLOOKUP($AD170 &amp; "|" &amp; $H170, $AD:$AD &amp; "|" &amp; $G:$G, L:L)</f>
        <v>0.99853907962016075</v>
      </c>
      <c r="AI170" s="13" cm="1">
        <f t="array" ref="AI170">M170 / _xlfn.XLOOKUP($AD170 &amp; "|" &amp; $H170, $AD:$AD &amp; "|" &amp; $G:$G, M:M)</f>
        <v>1.0036721749290602</v>
      </c>
      <c r="AJ170" s="13" cm="1">
        <f t="array" ref="AJ170">N170 / _xlfn.XLOOKUP($AD170 &amp; "|" &amp; $H170, $AD:$AD &amp; "|" &amp; $G:$G, N:N)</f>
        <v>1.0036721749290602</v>
      </c>
      <c r="AK170" s="13" cm="1">
        <f t="array" ref="AK170">O170 / _xlfn.XLOOKUP($AD170 &amp; "|" &amp; $H170, $AD:$AD &amp; "|" &amp; $G:$G, O:O)</f>
        <v>1</v>
      </c>
      <c r="AL170" s="13" cm="1">
        <f t="array" ref="AL170">P170 / _xlfn.XLOOKUP($AD170 &amp; "|" &amp; $H170, $AD:$AD &amp; "|" &amp; $G:$G, P:P)</f>
        <v>1</v>
      </c>
      <c r="AM170" s="13" cm="1">
        <f t="array" ref="AM170">Q170 / _xlfn.XLOOKUP($AD170 &amp; "|" &amp; $H170, $AD:$AD &amp; "|" &amp; $G:$G, Q:Q)</f>
        <v>1.0416666666666667</v>
      </c>
      <c r="AN170" s="13" cm="1">
        <f t="array" ref="AN170">R170 / _xlfn.XLOOKUP($AD170 &amp; "|" &amp; $H170, $AD:$AD &amp; "|" &amp; $G:$G, R:R)</f>
        <v>2.3644679422625043</v>
      </c>
      <c r="AO170" s="13" cm="1">
        <f t="array" ref="AO170">S170 / _xlfn.XLOOKUP($AD170 &amp; "|" &amp; $H170, $AD:$AD &amp; "|" &amp; $G:$G, S:S)</f>
        <v>2.3482838666887749</v>
      </c>
      <c r="AP170" s="13" cm="1">
        <f t="array" ref="AP170">T170 / _xlfn.XLOOKUP($AD170 &amp; "|" &amp; $H170, $AD:$AD &amp; "|" &amp; $G:$G, T:T)</f>
        <v>0.88139120095124857</v>
      </c>
      <c r="AQ170" s="13" t="e" cm="1">
        <f t="array" ref="AQ170">U170 / _xlfn.XLOOKUP($AD170 &amp; "|" &amp; $H170, $AD:$AD &amp; "|" &amp; $G:$G, U:U)</f>
        <v>#DIV/0!</v>
      </c>
      <c r="AR170" s="13" t="e" cm="1">
        <f t="array" ref="AR170">V170 / _xlfn.XLOOKUP($AD170 &amp; "|" &amp; $H170, $AD:$AD &amp; "|" &amp; $G:$G, V:V)</f>
        <v>#DIV/0!</v>
      </c>
      <c r="AS170" s="13" t="e" cm="1">
        <f t="array" ref="AS170">W170 / _xlfn.XLOOKUP($AD170 &amp; "|" &amp; $H170, $AD:$AD &amp; "|" &amp; $G:$G, W:W)</f>
        <v>#DIV/0!</v>
      </c>
      <c r="AT170" s="13" t="e" cm="1">
        <f t="array" ref="AT170">X170 / _xlfn.XLOOKUP($AD170 &amp; "|" &amp; $H170, $AD:$AD &amp; "|" &amp; $G:$G, X:X)</f>
        <v>#DIV/0!</v>
      </c>
      <c r="AU170" s="13" cm="1">
        <f t="array" ref="AU170">Y170 / _xlfn.XLOOKUP($AD170 &amp; "|" &amp; $H170, $AD:$AD &amp; "|" &amp; $G:$G, Y:Y)</f>
        <v>0.86006997153098319</v>
      </c>
      <c r="AV170" s="13" cm="1">
        <f t="array" ref="AV170">Z170 / _xlfn.XLOOKUP($AD170 &amp; "|" &amp; $H170, $AD:$AD &amp; "|" &amp; $G:$G, Z:Z)</f>
        <v>1.2355567550517446</v>
      </c>
      <c r="AW170" s="13" cm="1">
        <f t="array" ref="AW170">_xlfn.XLOOKUP($AD170 &amp; "|" &amp; $H170, $AD:$AD &amp; "|" &amp; $G:$G, L:L)</f>
        <v>13.69</v>
      </c>
      <c r="AY170" s="13"/>
      <c r="AZ170" t="s">
        <v>232</v>
      </c>
    </row>
    <row r="171" spans="1:52" x14ac:dyDescent="0.2">
      <c r="A171" t="s">
        <v>32</v>
      </c>
      <c r="B171" t="s">
        <v>1</v>
      </c>
      <c r="C171" t="s">
        <v>110</v>
      </c>
      <c r="D171" t="s">
        <v>112</v>
      </c>
      <c r="E171">
        <v>30</v>
      </c>
      <c r="F171" t="s">
        <v>187</v>
      </c>
      <c r="G171" t="s">
        <v>9</v>
      </c>
      <c r="H171" t="s">
        <v>8</v>
      </c>
      <c r="I171">
        <v>17.3</v>
      </c>
      <c r="J171">
        <v>1.31</v>
      </c>
      <c r="K171">
        <v>1595</v>
      </c>
      <c r="L171">
        <v>13.67</v>
      </c>
      <c r="M171">
        <v>300.14999999999998</v>
      </c>
      <c r="N171">
        <v>300.14999999999998</v>
      </c>
      <c r="O171">
        <v>85</v>
      </c>
      <c r="P171">
        <v>3041.9999999999995</v>
      </c>
      <c r="Q171" cm="1">
        <f t="array" ref="Q171">AVERAGE(
    IF(
        ('Individual data from NASA'!$B:$B=$B171) *
        ('Individual data from NASA'!$C:$C=$G171) *
        ('Individual data from NASA'!$K:$K=$O171),
        'Individual data from NASA'!M:M
    )
)</f>
        <v>321666666666666.69</v>
      </c>
      <c r="R171" cm="1">
        <f t="array" ref="R171">AVERAGE(
    IF(
        ('Individual data from NASA'!$B:$B=$B171) *
        ('Individual data from NASA'!$C:$C=$G171) *
        ('Individual data from NASA'!$K:$K=$O171),
        'Individual data from NASA'!N:N
    )
)</f>
        <v>1.266E+16</v>
      </c>
      <c r="S171" cm="1">
        <f t="array" ref="S171">AVERAGE(
    IF(
        ('Individual data from NASA'!$B:$B=$B171) *
        ('Individual data from NASA'!$C:$C=$G171) *
        ('Individual data from NASA'!$K:$K=$O171),
        'Individual data from NASA'!O:O
    )
)</f>
        <v>1.296E+16</v>
      </c>
      <c r="T171" cm="1">
        <f t="array" ref="T171">AVERAGE(
    IF(
        ('Individual data from NASA'!$B:$B=$B171) *
        ('Individual data from NASA'!$C:$C=$G171) *
        ('Individual data from NASA'!$K:$K=$O171),
        'Individual data from NASA'!P:P
    )
)</f>
        <v>88.445666666666668</v>
      </c>
      <c r="U171" cm="1">
        <f t="array" ref="U171">AVERAGE(
    IF(
        ('Individual data from NASA'!$B:$B=$B171) *
        ('Individual data from NASA'!$C:$C=$G171) *
        ('Individual data from NASA'!$K:$K=$O171),
        'Individual data from NASA'!Q:Q
    )
)</f>
        <v>0.489799074</v>
      </c>
      <c r="V171" cm="1">
        <f t="array" ref="V171">AVERAGE(
    IF(
        ('Individual data from NASA'!$B:$B=$B171) *
        ('Individual data from NASA'!$C:$C=$G171) *
        ('Individual data from NASA'!$K:$K=$O171),
        'Individual data from NASA'!R:R
    )
)</f>
        <v>0.510200926</v>
      </c>
      <c r="W171" cm="1">
        <f t="array" ref="W171">AVERAGE(
    IF(
        ('Individual data from NASA'!$B:$B=$B171) *
        ('Individual data from NASA'!$C:$C=$G171) *
        ('Individual data from NASA'!$K:$K=$O171),
        'Individual data from NASA'!S:S
    )
)</f>
        <v>59.046895755000001</v>
      </c>
      <c r="X171" cm="1">
        <f t="array" ref="X171">AVERAGE(
    IF(
        ('Individual data from NASA'!$B:$B=$B171) *
        ('Individual data from NASA'!$C:$C=$G171) *
        ('Individual data from NASA'!$K:$K=$O171),
        'Individual data from NASA'!T:T
    )
)</f>
        <v>62.308357345000005</v>
      </c>
      <c r="Y171" cm="1">
        <f t="array" ref="Y171">AVERAGE(
    IF(
        ('Individual data from NASA'!$B:$B=$B171) *
        ('Individual data from NASA'!$C:$C=$G171) *
        ('Individual data from NASA'!$K:$K=$O171),
        'Individual data from NASA'!W:W
    )
)</f>
        <v>25.179764943333335</v>
      </c>
      <c r="Z171" cm="1">
        <f t="array" ref="Z171">AVERAGE(
    IF(
        ('Individual data from NASA'!$B:$B=$B171) *
        ('Individual data from NASA'!$C:$C=$G171) *
        ('Individual data from NASA'!$K:$K=$O171),
        'Individual data from NASA'!U:U
    )
)</f>
        <v>14.686788776666667</v>
      </c>
      <c r="AD171" t="str">
        <f t="shared" si="12"/>
        <v>Moore (2015)|APEX|Ground|CFM56-2C1|30|Climb</v>
      </c>
      <c r="AE171" s="13" cm="1">
        <f t="array" ref="AE171">I171 / _xlfn.XLOOKUP($AD171 &amp; "|" &amp; $H171, $AD:$AD &amp; "|" &amp; $G:$G, I:I)</f>
        <v>0.98295454545454541</v>
      </c>
      <c r="AF171" s="13" cm="1">
        <f t="array" ref="AF171">J171 / _xlfn.XLOOKUP($AD171 &amp; "|" &amp; $H171, $AD:$AD &amp; "|" &amp; $G:$G, J:J)</f>
        <v>1.4086021505376345</v>
      </c>
      <c r="AG171" s="13" cm="1">
        <f t="array" ref="AG171">K171 / _xlfn.XLOOKUP($AD171 &amp; "|" &amp; $H171, $AD:$AD &amp; "|" &amp; $G:$G, K:K)</f>
        <v>4.1644908616187992</v>
      </c>
      <c r="AH171" s="13" cm="1">
        <f t="array" ref="AH171">L171 / _xlfn.XLOOKUP($AD171 &amp; "|" &amp; $H171, $AD:$AD &amp; "|" &amp; $G:$G, L:L)</f>
        <v>0.99853907962016075</v>
      </c>
      <c r="AI171" s="13" cm="1">
        <f t="array" ref="AI171">M171 / _xlfn.XLOOKUP($AD171 &amp; "|" &amp; $H171, $AD:$AD &amp; "|" &amp; $G:$G, M:M)</f>
        <v>0.99750747756729807</v>
      </c>
      <c r="AJ171" s="13" cm="1">
        <f t="array" ref="AJ171">N171 / _xlfn.XLOOKUP($AD171 &amp; "|" &amp; $H171, $AD:$AD &amp; "|" &amp; $G:$G, N:N)</f>
        <v>0.99750747756729807</v>
      </c>
      <c r="AK171" s="13" cm="1">
        <f t="array" ref="AK171">O171 / _xlfn.XLOOKUP($AD171 &amp; "|" &amp; $H171, $AD:$AD &amp; "|" &amp; $G:$G, O:O)</f>
        <v>1</v>
      </c>
      <c r="AL171" s="13" cm="1">
        <f t="array" ref="AL171">P171 / _xlfn.XLOOKUP($AD171 &amp; "|" &amp; $H171, $AD:$AD &amp; "|" &amp; $G:$G, P:P)</f>
        <v>1</v>
      </c>
      <c r="AM171" s="13" cm="1">
        <f t="array" ref="AM171">Q171 / _xlfn.XLOOKUP($AD171 &amp; "|" &amp; $H171, $AD:$AD &amp; "|" &amp; $G:$G, Q:Q)</f>
        <v>0.98974358974358978</v>
      </c>
      <c r="AN171" s="13" cm="1">
        <f t="array" ref="AN171">R171 / _xlfn.XLOOKUP($AD171 &amp; "|" &amp; $H171, $AD:$AD &amp; "|" &amp; $G:$G, R:R)</f>
        <v>3.1949526813880125</v>
      </c>
      <c r="AO171" s="13" cm="1">
        <f t="array" ref="AO171">S171 / _xlfn.XLOOKUP($AD171 &amp; "|" &amp; $H171, $AD:$AD &amp; "|" &amp; $G:$G, S:S)</f>
        <v>3.0209790209790208</v>
      </c>
      <c r="AP171" s="13" cm="1">
        <f t="array" ref="AP171">T171 / _xlfn.XLOOKUP($AD171 &amp; "|" &amp; $H171, $AD:$AD &amp; "|" &amp; $G:$G, T:T)</f>
        <v>0.99820738976763779</v>
      </c>
      <c r="AQ171" s="13" cm="1">
        <f t="array" ref="AQ171">U171 / _xlfn.XLOOKUP($AD171 &amp; "|" &amp; $H171, $AD:$AD &amp; "|" &amp; $G:$G, U:U)</f>
        <v>0.67171566950995576</v>
      </c>
      <c r="AR171" s="13" cm="1">
        <f t="array" ref="AR171">V171 / _xlfn.XLOOKUP($AD171 &amp; "|" &amp; $H171, $AD:$AD &amp; "|" &amp; $G:$G, V:V)</f>
        <v>1.8838850607993813</v>
      </c>
      <c r="AS171" s="13" cm="1">
        <f t="array" ref="AS171">W171 / _xlfn.XLOOKUP($AD171 &amp; "|" &amp; $H171, $AD:$AD &amp; "|" &amp; $G:$G, W:W)</f>
        <v>1.168501850560016</v>
      </c>
      <c r="AT171" s="13" cm="1">
        <f t="array" ref="AT171">X171 / _xlfn.XLOOKUP($AD171 &amp; "|" &amp; $H171, $AD:$AD &amp; "|" &amp; $G:$G, X:X)</f>
        <v>3.6534221395371955</v>
      </c>
      <c r="AU171" s="13" cm="1">
        <f t="array" ref="AU171">Y171 / _xlfn.XLOOKUP($AD171 &amp; "|" &amp; $H171, $AD:$AD &amp; "|" &amp; $G:$G, Y:Y)</f>
        <v>0.94620268462280166</v>
      </c>
      <c r="AV171" s="13" cm="1">
        <f t="array" ref="AV171">Z171 / _xlfn.XLOOKUP($AD171 &amp; "|" &amp; $H171, $AD:$AD &amp; "|" &amp; $G:$G, Z:Z)</f>
        <v>0.85245340789699486</v>
      </c>
      <c r="AW171" s="13" cm="1">
        <f t="array" ref="AW171">_xlfn.XLOOKUP($AD171 &amp; "|" &amp; $H171, $AD:$AD &amp; "|" &amp; $G:$G, L:L)</f>
        <v>13.69</v>
      </c>
      <c r="AY171" s="13"/>
      <c r="AZ171" t="s">
        <v>232</v>
      </c>
    </row>
    <row r="172" spans="1:52" x14ac:dyDescent="0.2">
      <c r="A172" t="s">
        <v>32</v>
      </c>
      <c r="B172" t="s">
        <v>1</v>
      </c>
      <c r="C172" t="s">
        <v>110</v>
      </c>
      <c r="D172" t="s">
        <v>112</v>
      </c>
      <c r="E172">
        <v>30</v>
      </c>
      <c r="F172" t="s">
        <v>195</v>
      </c>
      <c r="G172" t="s">
        <v>9</v>
      </c>
      <c r="H172" t="s">
        <v>8</v>
      </c>
      <c r="I172">
        <v>17.3</v>
      </c>
      <c r="J172">
        <v>1.31</v>
      </c>
      <c r="K172">
        <v>1595</v>
      </c>
      <c r="L172">
        <v>13.67</v>
      </c>
      <c r="M172">
        <v>300.81666666666666</v>
      </c>
      <c r="N172">
        <v>300.81666666666666</v>
      </c>
      <c r="O172">
        <v>100</v>
      </c>
      <c r="P172">
        <v>3218.4</v>
      </c>
      <c r="Q172" cm="1">
        <f t="array" ref="Q172">AVERAGE(
    IF(
        ('Individual data from NASA'!$B:$B=$B172) *
        ('Individual data from NASA'!$C:$C=$G172) *
        ('Individual data from NASA'!$K:$K=$O172),
        'Individual data from NASA'!M:M
    )
)</f>
        <v>516000000000000</v>
      </c>
      <c r="R172" cm="1">
        <f t="array" ref="R172">AVERAGE(
    IF(
        ('Individual data from NASA'!$B:$B=$B172) *
        ('Individual data from NASA'!$C:$C=$G172) *
        ('Individual data from NASA'!$K:$K=$O172),
        'Individual data from NASA'!N:N
    )
)</f>
        <v>1.5246666666666666E+16</v>
      </c>
      <c r="S172" cm="1">
        <f t="array" ref="S172">AVERAGE(
    IF(
        ('Individual data from NASA'!$B:$B=$B172) *
        ('Individual data from NASA'!$C:$C=$G172) *
        ('Individual data from NASA'!$K:$K=$O172),
        'Individual data from NASA'!O:O
    )
)</f>
        <v>1.574E+16</v>
      </c>
      <c r="T172" cm="1">
        <f t="array" ref="T172">AVERAGE(
    IF(
        ('Individual data from NASA'!$B:$B=$B172) *
        ('Individual data from NASA'!$C:$C=$G172) *
        ('Individual data from NASA'!$K:$K=$O172),
        'Individual data from NASA'!P:P
    )
)</f>
        <v>106.73333333333333</v>
      </c>
      <c r="U172" cm="1">
        <f t="array" ref="U172">AVERAGE(
    IF(
        ('Individual data from NASA'!$B:$B=$B172) *
        ('Individual data from NASA'!$C:$C=$G172) *
        ('Individual data from NASA'!$K:$K=$O172),
        'Individual data from NASA'!Q:Q
    )
)</f>
        <v>0.57250000000000001</v>
      </c>
      <c r="V172" cm="1">
        <f t="array" ref="V172">AVERAGE(
    IF(
        ('Individual data from NASA'!$B:$B=$B172) *
        ('Individual data from NASA'!$C:$C=$G172) *
        ('Individual data from NASA'!$K:$K=$O172),
        'Individual data from NASA'!R:R
    )
)</f>
        <v>0.42749999999999999</v>
      </c>
      <c r="W172" cm="1">
        <f t="array" ref="W172">AVERAGE(
    IF(
        ('Individual data from NASA'!$B:$B=$B172) *
        ('Individual data from NASA'!$C:$C=$G172) *
        ('Individual data from NASA'!$K:$K=$O172),
        'Individual data from NASA'!S:S
    )
)</f>
        <v>64.400673259999991</v>
      </c>
      <c r="X172" cm="1">
        <f t="array" ref="X172">AVERAGE(
    IF(
        ('Individual data from NASA'!$B:$B=$B172) *
        ('Individual data from NASA'!$C:$C=$G172) *
        ('Individual data from NASA'!$K:$K=$O172),
        'Individual data from NASA'!T:T
    )
)</f>
        <v>47.644417564999998</v>
      </c>
      <c r="Y172" cm="1">
        <f t="array" ref="Y172">AVERAGE(
    IF(
        ('Individual data from NASA'!$B:$B=$B172) *
        ('Individual data from NASA'!$C:$C=$G172) *
        ('Individual data from NASA'!$K:$K=$O172),
        'Individual data from NASA'!W:W
    )
)</f>
        <v>22.536480000000001</v>
      </c>
      <c r="Z172" cm="1">
        <f t="array" ref="Z172">AVERAGE(
    IF(
        ('Individual data from NASA'!$B:$B=$B172) *
        ('Individual data from NASA'!$C:$C=$G172) *
        ('Individual data from NASA'!$K:$K=$O172),
        'Individual data from NASA'!U:U
    )
)</f>
        <v>14.394950446666664</v>
      </c>
      <c r="AD172" t="str">
        <f t="shared" si="12"/>
        <v>Moore (2015)|APEX|Ground|CFM56-2C1|30|Take-off</v>
      </c>
      <c r="AE172" s="13" cm="1">
        <f t="array" ref="AE172">I172 / _xlfn.XLOOKUP($AD172 &amp; "|" &amp; $H172, $AD:$AD &amp; "|" &amp; $G:$G, I:I)</f>
        <v>0.98295454545454541</v>
      </c>
      <c r="AF172" s="13" cm="1">
        <f t="array" ref="AF172">J172 / _xlfn.XLOOKUP($AD172 &amp; "|" &amp; $H172, $AD:$AD &amp; "|" &amp; $G:$G, J:J)</f>
        <v>1.4086021505376345</v>
      </c>
      <c r="AG172" s="13" cm="1">
        <f t="array" ref="AG172">K172 / _xlfn.XLOOKUP($AD172 &amp; "|" &amp; $H172, $AD:$AD &amp; "|" &amp; $G:$G, K:K)</f>
        <v>4.1644908616187992</v>
      </c>
      <c r="AH172" s="13" cm="1">
        <f t="array" ref="AH172">L172 / _xlfn.XLOOKUP($AD172 &amp; "|" &amp; $H172, $AD:$AD &amp; "|" &amp; $G:$G, L:L)</f>
        <v>0.99853907962016075</v>
      </c>
      <c r="AI172" s="13" cm="1">
        <f t="array" ref="AI172">M172 / _xlfn.XLOOKUP($AD172 &amp; "|" &amp; $H172, $AD:$AD &amp; "|" &amp; $G:$G, M:M)</f>
        <v>0.99806458748064597</v>
      </c>
      <c r="AJ172" s="13" cm="1">
        <f t="array" ref="AJ172">N172 / _xlfn.XLOOKUP($AD172 &amp; "|" &amp; $H172, $AD:$AD &amp; "|" &amp; $G:$G, N:N)</f>
        <v>0.99806458748064597</v>
      </c>
      <c r="AK172" s="13" cm="1">
        <f t="array" ref="AK172">O172 / _xlfn.XLOOKUP($AD172 &amp; "|" &amp; $H172, $AD:$AD &amp; "|" &amp; $G:$G, O:O)</f>
        <v>1</v>
      </c>
      <c r="AL172" s="13" cm="1">
        <f t="array" ref="AL172">P172 / _xlfn.XLOOKUP($AD172 &amp; "|" &amp; $H172, $AD:$AD &amp; "|" &amp; $G:$G, P:P)</f>
        <v>1</v>
      </c>
      <c r="AM172" s="13" cm="1">
        <f t="array" ref="AM172">Q172 / _xlfn.XLOOKUP($AD172 &amp; "|" &amp; $H172, $AD:$AD &amp; "|" &amp; $G:$G, Q:Q)</f>
        <v>1.2433734939759036</v>
      </c>
      <c r="AN172" s="13" cm="1">
        <f t="array" ref="AN172">R172 / _xlfn.XLOOKUP($AD172 &amp; "|" &amp; $H172, $AD:$AD &amp; "|" &amp; $G:$G, R:R)</f>
        <v>2.6481401071066721</v>
      </c>
      <c r="AO172" s="13" cm="1">
        <f t="array" ref="AO172">S172 / _xlfn.XLOOKUP($AD172 &amp; "|" &amp; $H172, $AD:$AD &amp; "|" &amp; $G:$G, S:S)</f>
        <v>2.5666530778638403</v>
      </c>
      <c r="AP172" s="13" cm="1">
        <f t="array" ref="AP172">T172 / _xlfn.XLOOKUP($AD172 &amp; "|" &amp; $H172, $AD:$AD &amp; "|" &amp; $G:$G, T:T)</f>
        <v>1.2744278606965174</v>
      </c>
      <c r="AQ172" s="13" cm="1">
        <f t="array" ref="AQ172">U172 / _xlfn.XLOOKUP($AD172 &amp; "|" &amp; $H172, $AD:$AD &amp; "|" &amp; $G:$G, U:U)</f>
        <v>0.78424657534246578</v>
      </c>
      <c r="AR172" s="13" cm="1">
        <f t="array" ref="AR172">V172 / _xlfn.XLOOKUP($AD172 &amp; "|" &amp; $H172, $AD:$AD &amp; "|" &amp; $G:$G, V:V)</f>
        <v>1.5833333333333333</v>
      </c>
      <c r="AS172" s="13" cm="1">
        <f t="array" ref="AS172">W172 / _xlfn.XLOOKUP($AD172 &amp; "|" &amp; $H172, $AD:$AD &amp; "|" &amp; $G:$G, W:W)</f>
        <v>1.1860966259608066</v>
      </c>
      <c r="AT172" s="13" cm="1">
        <f t="array" ref="AT172">X172 / _xlfn.XLOOKUP($AD172 &amp; "|" &amp; $H172, $AD:$AD &amp; "|" &amp; $G:$G, X:X)</f>
        <v>2.3667351691005831</v>
      </c>
      <c r="AU172" s="13" cm="1">
        <f t="array" ref="AU172">Y172 / _xlfn.XLOOKUP($AD172 &amp; "|" &amp; $H172, $AD:$AD &amp; "|" &amp; $G:$G, Y:Y)</f>
        <v>0.94425085465640435</v>
      </c>
      <c r="AV172" s="13" cm="1">
        <f t="array" ref="AV172">Z172 / _xlfn.XLOOKUP($AD172 &amp; "|" &amp; $H172, $AD:$AD &amp; "|" &amp; $G:$G, Z:Z)</f>
        <v>0.89130584939923585</v>
      </c>
      <c r="AW172" s="13" cm="1">
        <f t="array" ref="AW172">_xlfn.XLOOKUP($AD172 &amp; "|" &amp; $H172, $AD:$AD &amp; "|" &amp; $G:$G, L:L)</f>
        <v>13.69</v>
      </c>
      <c r="AY172" s="13"/>
      <c r="AZ172" t="s">
        <v>232</v>
      </c>
    </row>
    <row r="173" spans="1:52" x14ac:dyDescent="0.2">
      <c r="A173" t="s">
        <v>32</v>
      </c>
      <c r="B173" t="s">
        <v>1</v>
      </c>
      <c r="C173" t="s">
        <v>110</v>
      </c>
      <c r="D173" t="s">
        <v>112</v>
      </c>
      <c r="E173">
        <v>30</v>
      </c>
      <c r="F173" t="s">
        <v>190</v>
      </c>
      <c r="G173" t="s">
        <v>10</v>
      </c>
      <c r="H173" t="s">
        <v>8</v>
      </c>
      <c r="I173">
        <v>21.8</v>
      </c>
      <c r="J173">
        <v>1.34</v>
      </c>
      <c r="K173">
        <v>530</v>
      </c>
      <c r="L173">
        <v>13.7</v>
      </c>
      <c r="M173">
        <v>297.89999999999998</v>
      </c>
      <c r="N173">
        <v>297.89999999999998</v>
      </c>
      <c r="O173">
        <v>4</v>
      </c>
      <c r="P173">
        <v>457.2</v>
      </c>
      <c r="Q173" cm="1">
        <f t="array" ref="Q173">AVERAGE(
    IF(
        ('Individual data from NASA'!$B:$B=$B173) *
        ('Individual data from NASA'!$C:$C=$G173) *
        ('Individual data from NASA'!$K:$K=$O173),
        'Individual data from NASA'!M:M
    )
)</f>
        <v>3372500000000000</v>
      </c>
      <c r="R173" cm="1">
        <f t="array" ref="R173">AVERAGE(
    IF(
        ('Individual data from NASA'!$B:$B=$B173) *
        ('Individual data from NASA'!$C:$C=$G173) *
        ('Individual data from NASA'!$K:$K=$O173),
        'Individual data from NASA'!N:N
    )
)</f>
        <v>4.355E+16</v>
      </c>
      <c r="S173" cm="1">
        <f t="array" ref="S173">AVERAGE(
    IF(
        ('Individual data from NASA'!$B:$B=$B173) *
        ('Individual data from NASA'!$C:$C=$G173) *
        ('Individual data from NASA'!$K:$K=$O173),
        'Individual data from NASA'!O:O
    )
)</f>
        <v>4.6925E+16</v>
      </c>
      <c r="T173" cm="1">
        <f t="array" ref="T173">AVERAGE(
    IF(
        ('Individual data from NASA'!$B:$B=$B173) *
        ('Individual data from NASA'!$C:$C=$G173) *
        ('Individual data from NASA'!$K:$K=$O173),
        'Individual data from NASA'!P:P
    )
)</f>
        <v>13.477499999999999</v>
      </c>
      <c r="U173" cm="1">
        <f t="array" ref="U173">AVERAGE(
    IF(
        ('Individual data from NASA'!$B:$B=$B173) *
        ('Individual data from NASA'!$C:$C=$G173) *
        ('Individual data from NASA'!$K:$K=$O173),
        'Individual data from NASA'!Q:Q
    )
)</f>
        <v>0.87749999999999995</v>
      </c>
      <c r="V173" cm="1">
        <f t="array" ref="V173">AVERAGE(
    IF(
        ('Individual data from NASA'!$B:$B=$B173) *
        ('Individual data from NASA'!$C:$C=$G173) *
        ('Individual data from NASA'!$K:$K=$O173),
        'Individual data from NASA'!R:R
    )
)</f>
        <v>0.1225</v>
      </c>
      <c r="W173" cm="1">
        <f t="array" ref="W173">AVERAGE(
    IF(
        ('Individual data from NASA'!$B:$B=$B173) *
        ('Individual data from NASA'!$C:$C=$G173) *
        ('Individual data from NASA'!$K:$K=$O173),
        'Individual data from NASA'!S:S
    )
)</f>
        <v>131.50739884749999</v>
      </c>
      <c r="X173" cm="1">
        <f t="array" ref="X173">AVERAGE(
    IF(
        ('Individual data from NASA'!$B:$B=$B173) *
        ('Individual data from NASA'!$C:$C=$G173) *
        ('Individual data from NASA'!$K:$K=$O173),
        'Individual data from NASA'!T:T
    )
)</f>
        <v>11.627112149750001</v>
      </c>
      <c r="Y173" cm="1">
        <f t="array" ref="Y173">AVERAGE(
    IF(
        ('Individual data from NASA'!$B:$B=$B173) *
        ('Individual data from NASA'!$C:$C=$G173) *
        ('Individual data from NASA'!$K:$K=$O173),
        'Individual data from NASA'!W:W
    )
)</f>
        <v>11.3</v>
      </c>
      <c r="Z173" cm="1">
        <f t="array" ref="Z173">AVERAGE(
    IF(
        ('Individual data from NASA'!$B:$B=$B173) *
        ('Individual data from NASA'!$C:$C=$G173) *
        ('Individual data from NASA'!$K:$K=$O173),
        'Individual data from NASA'!U:U
    )
)</f>
        <v>15.574999999999999</v>
      </c>
      <c r="AD173" t="str">
        <f t="shared" si="12"/>
        <v>Moore (2015)|APEX|Ground|CFM56-2C1|30|Idle (min)</v>
      </c>
      <c r="AE173" s="13" cm="1">
        <f t="array" ref="AE173">I173 / _xlfn.XLOOKUP($AD173 &amp; "|" &amp; $H173, $AD:$AD &amp; "|" &amp; $G:$G, I:I)</f>
        <v>1.2386363636363635</v>
      </c>
      <c r="AF173" s="13" cm="1">
        <f t="array" ref="AF173">J173 / _xlfn.XLOOKUP($AD173 &amp; "|" &amp; $H173, $AD:$AD &amp; "|" &amp; $G:$G, J:J)</f>
        <v>1.4408602150537635</v>
      </c>
      <c r="AG173" s="13" cm="1">
        <f t="array" ref="AG173">K173 / _xlfn.XLOOKUP($AD173 &amp; "|" &amp; $H173, $AD:$AD &amp; "|" &amp; $G:$G, K:K)</f>
        <v>1.3838120104438643</v>
      </c>
      <c r="AH173" s="13" cm="1">
        <f t="array" ref="AH173">L173 / _xlfn.XLOOKUP($AD173 &amp; "|" &amp; $H173, $AD:$AD &amp; "|" &amp; $G:$G, L:L)</f>
        <v>1.0007304601899196</v>
      </c>
      <c r="AI173" s="13" cm="1">
        <f t="array" ref="AI173">M173 / _xlfn.XLOOKUP($AD173 &amp; "|" &amp; $H173, $AD:$AD &amp; "|" &amp; $G:$G, M:M)</f>
        <v>0.98227681147473411</v>
      </c>
      <c r="AJ173" s="13" cm="1">
        <f t="array" ref="AJ173">N173 / _xlfn.XLOOKUP($AD173 &amp; "|" &amp; $H173, $AD:$AD &amp; "|" &amp; $G:$G, N:N)</f>
        <v>0.98227681147473411</v>
      </c>
      <c r="AK173" s="13" cm="1">
        <f t="array" ref="AK173">O173 / _xlfn.XLOOKUP($AD173 &amp; "|" &amp; $H173, $AD:$AD &amp; "|" &amp; $G:$G, O:O)</f>
        <v>1</v>
      </c>
      <c r="AL173" s="13" cm="1">
        <f t="array" ref="AL173">P173 / _xlfn.XLOOKUP($AD173 &amp; "|" &amp; $H173, $AD:$AD &amp; "|" &amp; $G:$G, P:P)</f>
        <v>1</v>
      </c>
      <c r="AM173" s="13" cm="1">
        <f t="array" ref="AM173">Q173 / _xlfn.XLOOKUP($AD173 &amp; "|" &amp; $H173, $AD:$AD &amp; "|" &amp; $G:$G, Q:Q)</f>
        <v>1.4544474393530997</v>
      </c>
      <c r="AN173" s="13" cm="1">
        <f t="array" ref="AN173">R173 / _xlfn.XLOOKUP($AD173 &amp; "|" &amp; $H173, $AD:$AD &amp; "|" &amp; $G:$G, R:R)</f>
        <v>1.3493415956622774</v>
      </c>
      <c r="AO173" s="13" cm="1">
        <f t="array" ref="AO173">S173 / _xlfn.XLOOKUP($AD173 &amp; "|" &amp; $H173, $AD:$AD &amp; "|" &amp; $G:$G, S:S)</f>
        <v>1.3557240881184542</v>
      </c>
      <c r="AP173" s="13" cm="1">
        <f t="array" ref="AP173">T173 / _xlfn.XLOOKUP($AD173 &amp; "|" &amp; $H173, $AD:$AD &amp; "|" &amp; $G:$G, T:T)</f>
        <v>0.64904888032747421</v>
      </c>
      <c r="AQ173" s="13" cm="1">
        <f t="array" ref="AQ173">U173 / _xlfn.XLOOKUP($AD173 &amp; "|" &amp; $H173, $AD:$AD &amp; "|" &amp; $G:$G, U:U)</f>
        <v>1.0065381968341363</v>
      </c>
      <c r="AR173" s="13" cm="1">
        <f t="array" ref="AR173">V173 / _xlfn.XLOOKUP($AD173 &amp; "|" &amp; $H173, $AD:$AD &amp; "|" &amp; $G:$G, V:V)</f>
        <v>0.95553822152886103</v>
      </c>
      <c r="AS173" s="13" cm="1">
        <f t="array" ref="AS173">W173 / _xlfn.XLOOKUP($AD173 &amp; "|" &amp; $H173, $AD:$AD &amp; "|" &amp; $G:$G, W:W)</f>
        <v>1.2820797288343155</v>
      </c>
      <c r="AT173" s="13" cm="1">
        <f t="array" ref="AT173">X173 / _xlfn.XLOOKUP($AD173 &amp; "|" &amp; $H173, $AD:$AD &amp; "|" &amp; $G:$G, X:X)</f>
        <v>0.67108384048510994</v>
      </c>
      <c r="AU173" s="13" cm="1">
        <f t="array" ref="AU173">Y173 / _xlfn.XLOOKUP($AD173 &amp; "|" &amp; $H173, $AD:$AD &amp; "|" &amp; $G:$G, Y:Y)</f>
        <v>0.91037260825780464</v>
      </c>
      <c r="AV173" s="13" cm="1">
        <f t="array" ref="AV173">Z173 / _xlfn.XLOOKUP($AD173 &amp; "|" &amp; $H173, $AD:$AD &amp; "|" &amp; $G:$G, Z:Z)</f>
        <v>0.92159763313609466</v>
      </c>
      <c r="AW173" s="13" cm="1">
        <f t="array" ref="AW173">_xlfn.XLOOKUP($AD173 &amp; "|" &amp; $H173, $AD:$AD &amp; "|" &amp; $G:$G, L:L)</f>
        <v>13.69</v>
      </c>
      <c r="AY173" s="13"/>
      <c r="AZ173" t="s">
        <v>232</v>
      </c>
    </row>
    <row r="174" spans="1:52" x14ac:dyDescent="0.2">
      <c r="A174" t="s">
        <v>32</v>
      </c>
      <c r="B174" t="s">
        <v>1</v>
      </c>
      <c r="C174" t="s">
        <v>110</v>
      </c>
      <c r="D174" t="s">
        <v>112</v>
      </c>
      <c r="E174">
        <v>30</v>
      </c>
      <c r="F174" t="s">
        <v>191</v>
      </c>
      <c r="G174" t="s">
        <v>10</v>
      </c>
      <c r="H174" t="s">
        <v>8</v>
      </c>
      <c r="I174">
        <v>21.8</v>
      </c>
      <c r="J174">
        <v>1.34</v>
      </c>
      <c r="K174">
        <v>530</v>
      </c>
      <c r="L174">
        <v>13.7</v>
      </c>
      <c r="M174">
        <v>297.14999999999998</v>
      </c>
      <c r="N174">
        <v>297.14999999999998</v>
      </c>
      <c r="O174">
        <v>7</v>
      </c>
      <c r="P174">
        <v>561.096</v>
      </c>
      <c r="Q174" cm="1">
        <f t="array" ref="Q174">AVERAGE(
    IF(
        ('Individual data from NASA'!$B:$B=$B174) *
        ('Individual data from NASA'!$C:$C=$G174) *
        ('Individual data from NASA'!$K:$K=$O174),
        'Individual data from NASA'!M:M
    )
)</f>
        <v>2030000000000000</v>
      </c>
      <c r="R174" cm="1">
        <f t="array" ref="R174">AVERAGE(
    IF(
        ('Individual data from NASA'!$B:$B=$B174) *
        ('Individual data from NASA'!$C:$C=$G174) *
        ('Individual data from NASA'!$K:$K=$O174),
        'Individual data from NASA'!N:N
    )
)</f>
        <v>4.655E+16</v>
      </c>
      <c r="S174" cm="1">
        <f t="array" ref="S174">AVERAGE(
    IF(
        ('Individual data from NASA'!$B:$B=$B174) *
        ('Individual data from NASA'!$C:$C=$G174) *
        ('Individual data from NASA'!$K:$K=$O174),
        'Individual data from NASA'!O:O
    )
)</f>
        <v>4.86E+16</v>
      </c>
      <c r="T174" cm="1">
        <f t="array" ref="T174">AVERAGE(
    IF(
        ('Individual data from NASA'!$B:$B=$B174) *
        ('Individual data from NASA'!$C:$C=$G174) *
        ('Individual data from NASA'!$K:$K=$O174),
        'Individual data from NASA'!P:P
    )
)</f>
        <v>4.9050000000000002</v>
      </c>
      <c r="U174" cm="1">
        <f t="array" ref="U174">AVERAGE(
    IF(
        ('Individual data from NASA'!$B:$B=$B174) *
        ('Individual data from NASA'!$C:$C=$G174) *
        ('Individual data from NASA'!$K:$K=$O174),
        'Individual data from NASA'!Q:Q
    )
)</f>
        <v>0.72100000000000009</v>
      </c>
      <c r="V174" cm="1">
        <f t="array" ref="V174">AVERAGE(
    IF(
        ('Individual data from NASA'!$B:$B=$B174) *
        ('Individual data from NASA'!$C:$C=$G174) *
        ('Individual data from NASA'!$K:$K=$O174),
        'Individual data from NASA'!R:R
    )
)</f>
        <v>0.27900000000000003</v>
      </c>
      <c r="W174" cm="1">
        <f t="array" ref="W174">AVERAGE(
    IF(
        ('Individual data from NASA'!$B:$B=$B174) *
        ('Individual data from NASA'!$C:$C=$G174) *
        ('Individual data from NASA'!$K:$K=$O174),
        'Individual data from NASA'!S:S
    )
)</f>
        <v>88.431111229999999</v>
      </c>
      <c r="X174" cm="1">
        <f t="array" ref="X174">AVERAGE(
    IF(
        ('Individual data from NASA'!$B:$B=$B174) *
        ('Individual data from NASA'!$C:$C=$G174) *
        ('Individual data from NASA'!$K:$K=$O174),
        'Individual data from NASA'!T:T
    )
)</f>
        <v>33.21522289</v>
      </c>
      <c r="Y174" cm="1">
        <f t="array" ref="Y174">AVERAGE(
    IF(
        ('Individual data from NASA'!$B:$B=$B174) *
        ('Individual data from NASA'!$C:$C=$G174) *
        ('Individual data from NASA'!$K:$K=$O174),
        'Individual data from NASA'!W:W
    )
)</f>
        <v>10.4793295</v>
      </c>
      <c r="Z174" cm="1">
        <f t="array" ref="Z174">AVERAGE(
    IF(
        ('Individual data from NASA'!$B:$B=$B174) *
        ('Individual data from NASA'!$C:$C=$G174) *
        ('Individual data from NASA'!$K:$K=$O174),
        'Individual data from NASA'!U:U
    )
)</f>
        <v>13.757639645000001</v>
      </c>
      <c r="AD174" t="str">
        <f t="shared" si="12"/>
        <v>Moore (2015)|APEX|Ground|CFM56-2C1|30|Idle (approach)</v>
      </c>
      <c r="AE174" s="13" cm="1">
        <f t="array" ref="AE174">I174 / _xlfn.XLOOKUP($AD174 &amp; "|" &amp; $H174, $AD:$AD &amp; "|" &amp; $G:$G, I:I)</f>
        <v>1.2386363636363635</v>
      </c>
      <c r="AF174" s="13" cm="1">
        <f t="array" ref="AF174">J174 / _xlfn.XLOOKUP($AD174 &amp; "|" &amp; $H174, $AD:$AD &amp; "|" &amp; $G:$G, J:J)</f>
        <v>1.4408602150537635</v>
      </c>
      <c r="AG174" s="13" cm="1">
        <f t="array" ref="AG174">K174 / _xlfn.XLOOKUP($AD174 &amp; "|" &amp; $H174, $AD:$AD &amp; "|" &amp; $G:$G, K:K)</f>
        <v>1.3838120104438643</v>
      </c>
      <c r="AH174" s="13" cm="1">
        <f t="array" ref="AH174">L174 / _xlfn.XLOOKUP($AD174 &amp; "|" &amp; $H174, $AD:$AD &amp; "|" &amp; $G:$G, L:L)</f>
        <v>1.0007304601899196</v>
      </c>
      <c r="AI174" s="13" cm="1">
        <f t="array" ref="AI174">M174 / _xlfn.XLOOKUP($AD174 &amp; "|" &amp; $H174, $AD:$AD &amp; "|" &amp; $G:$G, M:M)</f>
        <v>0.99083027675891966</v>
      </c>
      <c r="AJ174" s="13" cm="1">
        <f t="array" ref="AJ174">N174 / _xlfn.XLOOKUP($AD174 &amp; "|" &amp; $H174, $AD:$AD &amp; "|" &amp; $G:$G, N:N)</f>
        <v>0.99083027675891966</v>
      </c>
      <c r="AK174" s="13" cm="1">
        <f t="array" ref="AK174">O174 / _xlfn.XLOOKUP($AD174 &amp; "|" &amp; $H174, $AD:$AD &amp; "|" &amp; $G:$G, O:O)</f>
        <v>1</v>
      </c>
      <c r="AL174" s="13" cm="1">
        <f t="array" ref="AL174">P174 / _xlfn.XLOOKUP($AD174 &amp; "|" &amp; $H174, $AD:$AD &amp; "|" &amp; $G:$G, P:P)</f>
        <v>1</v>
      </c>
      <c r="AM174" s="13" cm="1">
        <f t="array" ref="AM174">Q174 / _xlfn.XLOOKUP($AD174 &amp; "|" &amp; $H174, $AD:$AD &amp; "|" &amp; $G:$G, Q:Q)</f>
        <v>1.4562410329985653</v>
      </c>
      <c r="AN174" s="13" cm="1">
        <f t="array" ref="AN174">R174 / _xlfn.XLOOKUP($AD174 &amp; "|" &amp; $H174, $AD:$AD &amp; "|" &amp; $G:$G, R:R)</f>
        <v>1.6497341996455994</v>
      </c>
      <c r="AO174" s="13" cm="1">
        <f t="array" ref="AO174">S174 / _xlfn.XLOOKUP($AD174 &amp; "|" &amp; $H174, $AD:$AD &amp; "|" &amp; $G:$G, S:S)</f>
        <v>1.7715343203230149</v>
      </c>
      <c r="AP174" s="13" cm="1">
        <f t="array" ref="AP174">T174 / _xlfn.XLOOKUP($AD174 &amp; "|" &amp; $H174, $AD:$AD &amp; "|" &amp; $G:$G, T:T)</f>
        <v>0.72176578786020851</v>
      </c>
      <c r="AQ174" s="13" cm="1">
        <f t="array" ref="AQ174">U174 / _xlfn.XLOOKUP($AD174 &amp; "|" &amp; $H174, $AD:$AD &amp; "|" &amp; $G:$G, U:U)</f>
        <v>1.0101576182136605</v>
      </c>
      <c r="AR174" s="13" cm="1">
        <f t="array" ref="AR174">V174 / _xlfn.XLOOKUP($AD174 &amp; "|" &amp; $H174, $AD:$AD &amp; "|" &amp; $G:$G, V:V)</f>
        <v>0.97467248908296955</v>
      </c>
      <c r="AS174" s="13" cm="1">
        <f t="array" ref="AS174">W174 / _xlfn.XLOOKUP($AD174 &amp; "|" &amp; $H174, $AD:$AD &amp; "|" &amp; $G:$G, W:W)</f>
        <v>1.1809655566225699</v>
      </c>
      <c r="AT174" s="13" cm="1">
        <f t="array" ref="AT174">X174 / _xlfn.XLOOKUP($AD174 &amp; "|" &amp; $H174, $AD:$AD &amp; "|" &amp; $G:$G, X:X)</f>
        <v>1.3679401600756789</v>
      </c>
      <c r="AU174" s="13" cm="1">
        <f t="array" ref="AU174">Y174 / _xlfn.XLOOKUP($AD174 &amp; "|" &amp; $H174, $AD:$AD &amp; "|" &amp; $G:$G, Y:Y)</f>
        <v>0.8281789064878341</v>
      </c>
      <c r="AV174" s="13" cm="1">
        <f t="array" ref="AV174">Z174 / _xlfn.XLOOKUP($AD174 &amp; "|" &amp; $H174, $AD:$AD &amp; "|" &amp; $G:$G, Z:Z)</f>
        <v>0.84609458800466586</v>
      </c>
      <c r="AW174" s="13" cm="1">
        <f t="array" ref="AW174">_xlfn.XLOOKUP($AD174 &amp; "|" &amp; $H174, $AD:$AD &amp; "|" &amp; $G:$G, L:L)</f>
        <v>13.69</v>
      </c>
      <c r="AY174" s="13"/>
      <c r="AZ174" t="s">
        <v>232</v>
      </c>
    </row>
    <row r="175" spans="1:52" x14ac:dyDescent="0.2">
      <c r="A175" t="s">
        <v>32</v>
      </c>
      <c r="B175" t="s">
        <v>1</v>
      </c>
      <c r="C175" t="s">
        <v>110</v>
      </c>
      <c r="D175" t="s">
        <v>112</v>
      </c>
      <c r="E175">
        <v>30</v>
      </c>
      <c r="F175" t="s">
        <v>192</v>
      </c>
      <c r="G175" t="s">
        <v>10</v>
      </c>
      <c r="H175" t="s">
        <v>8</v>
      </c>
      <c r="I175">
        <v>21.8</v>
      </c>
      <c r="J175">
        <v>1.34</v>
      </c>
      <c r="K175">
        <v>530</v>
      </c>
      <c r="L175">
        <v>13.7</v>
      </c>
      <c r="M175">
        <v>298.64999999999998</v>
      </c>
      <c r="N175">
        <v>298.64999999999998</v>
      </c>
      <c r="O175">
        <v>30</v>
      </c>
      <c r="P175">
        <v>1231.2000000000003</v>
      </c>
      <c r="Q175" cm="1">
        <f t="array" ref="Q175">AVERAGE(
    IF(
        ('Individual data from NASA'!$B:$B=$B175) *
        ('Individual data from NASA'!$C:$C=$G175) *
        ('Individual data from NASA'!$K:$K=$O175),
        'Individual data from NASA'!M:M
    )
)</f>
        <v>104400000000000</v>
      </c>
      <c r="R175" cm="1">
        <f t="array" ref="R175">AVERAGE(
    IF(
        ('Individual data from NASA'!$B:$B=$B175) *
        ('Individual data from NASA'!$C:$C=$G175) *
        ('Individual data from NASA'!$K:$K=$O175),
        'Individual data from NASA'!N:N
    )
)</f>
        <v>3.45E+16</v>
      </c>
      <c r="S175" cm="1">
        <f t="array" ref="S175">AVERAGE(
    IF(
        ('Individual data from NASA'!$B:$B=$B175) *
        ('Individual data from NASA'!$C:$C=$G175) *
        ('Individual data from NASA'!$K:$K=$O175),
        'Individual data from NASA'!O:O
    )
)</f>
        <v>3.46E+16</v>
      </c>
      <c r="T175" cm="1">
        <f t="array" ref="T175">AVERAGE(
    IF(
        ('Individual data from NASA'!$B:$B=$B175) *
        ('Individual data from NASA'!$C:$C=$G175) *
        ('Individual data from NASA'!$K:$K=$O175),
        'Individual data from NASA'!P:P
    )
)</f>
        <v>4.7240000000000002</v>
      </c>
      <c r="U175" cm="1">
        <f t="array" ref="U175">AVERAGE(
    IF(
        ('Individual data from NASA'!$B:$B=$B175) *
        ('Individual data from NASA'!$C:$C=$G175) *
        ('Individual data from NASA'!$K:$K=$O175),
        'Individual data from NASA'!Q:Q
    )
)</f>
        <v>0.59650000000000003</v>
      </c>
      <c r="V175" cm="1">
        <f t="array" ref="V175">AVERAGE(
    IF(
        ('Individual data from NASA'!$B:$B=$B175) *
        ('Individual data from NASA'!$C:$C=$G175) *
        ('Individual data from NASA'!$K:$K=$O175),
        'Individual data from NASA'!R:R
    )
)</f>
        <v>0.40349999999999997</v>
      </c>
      <c r="W175" cm="1">
        <f t="array" ref="W175">AVERAGE(
    IF(
        ('Individual data from NASA'!$B:$B=$B175) *
        ('Individual data from NASA'!$C:$C=$G175) *
        ('Individual data from NASA'!$K:$K=$O175),
        'Individual data from NASA'!S:S
    )
)</f>
        <v>28.720573610000002</v>
      </c>
      <c r="X175" cm="1">
        <f t="array" ref="X175">AVERAGE(
    IF(
        ('Individual data from NASA'!$B:$B=$B175) *
        ('Individual data from NASA'!$C:$C=$G175) *
        ('Individual data from NASA'!$K:$K=$O175),
        'Individual data from NASA'!T:T
    )
)</f>
        <v>18.592004764999999</v>
      </c>
      <c r="Y175" cm="1">
        <f t="array" ref="Y175">AVERAGE(
    IF(
        ('Individual data from NASA'!$B:$B=$B175) *
        ('Individual data from NASA'!$C:$C=$G175) *
        ('Individual data from NASA'!$K:$K=$O175),
        'Individual data from NASA'!W:W
    )
)</f>
        <v>18.304795500000001</v>
      </c>
      <c r="Z175" cm="1">
        <f t="array" ref="Z175">AVERAGE(
    IF(
        ('Individual data from NASA'!$B:$B=$B175) *
        ('Individual data from NASA'!$C:$C=$G175) *
        ('Individual data from NASA'!$K:$K=$O175),
        'Individual data from NASA'!U:U
    )
)</f>
        <v>12.341129285000001</v>
      </c>
      <c r="AD175" t="str">
        <f t="shared" si="12"/>
        <v>Moore (2015)|APEX|Ground|CFM56-2C1|30|Intermediate</v>
      </c>
      <c r="AE175" s="13" cm="1">
        <f t="array" ref="AE175">I175 / _xlfn.XLOOKUP($AD175 &amp; "|" &amp; $H175, $AD:$AD &amp; "|" &amp; $G:$G, I:I)</f>
        <v>1.2386363636363635</v>
      </c>
      <c r="AF175" s="13" cm="1">
        <f t="array" ref="AF175">J175 / _xlfn.XLOOKUP($AD175 &amp; "|" &amp; $H175, $AD:$AD &amp; "|" &amp; $G:$G, J:J)</f>
        <v>1.4408602150537635</v>
      </c>
      <c r="AG175" s="13" cm="1">
        <f t="array" ref="AG175">K175 / _xlfn.XLOOKUP($AD175 &amp; "|" &amp; $H175, $AD:$AD &amp; "|" &amp; $G:$G, K:K)</f>
        <v>1.3838120104438643</v>
      </c>
      <c r="AH175" s="13" cm="1">
        <f t="array" ref="AH175">L175 / _xlfn.XLOOKUP($AD175 &amp; "|" &amp; $H175, $AD:$AD &amp; "|" &amp; $G:$G, L:L)</f>
        <v>1.0007304601899196</v>
      </c>
      <c r="AI175" s="13" cm="1">
        <f t="array" ref="AI175">M175 / _xlfn.XLOOKUP($AD175 &amp; "|" &amp; $H175, $AD:$AD &amp; "|" &amp; $G:$G, M:M)</f>
        <v>0.99642525201973264</v>
      </c>
      <c r="AJ175" s="13" cm="1">
        <f t="array" ref="AJ175">N175 / _xlfn.XLOOKUP($AD175 &amp; "|" &amp; $H175, $AD:$AD &amp; "|" &amp; $G:$G, N:N)</f>
        <v>0.99642525201973264</v>
      </c>
      <c r="AK175" s="13" cm="1">
        <f t="array" ref="AK175">O175 / _xlfn.XLOOKUP($AD175 &amp; "|" &amp; $H175, $AD:$AD &amp; "|" &amp; $G:$G, O:O)</f>
        <v>1</v>
      </c>
      <c r="AL175" s="13" cm="1">
        <f t="array" ref="AL175">P175 / _xlfn.XLOOKUP($AD175 &amp; "|" &amp; $H175, $AD:$AD &amp; "|" &amp; $G:$G, P:P)</f>
        <v>1</v>
      </c>
      <c r="AM175" s="13" cm="1">
        <f t="array" ref="AM175">Q175 / _xlfn.XLOOKUP($AD175 &amp; "|" &amp; $H175, $AD:$AD &amp; "|" &amp; $G:$G, Q:Q)</f>
        <v>0.51464788732394373</v>
      </c>
      <c r="AN175" s="13" cm="1">
        <f t="array" ref="AN175">R175 / _xlfn.XLOOKUP($AD175 &amp; "|" &amp; $H175, $AD:$AD &amp; "|" &amp; $G:$G, R:R)</f>
        <v>2.4843123135479885</v>
      </c>
      <c r="AO175" s="13" cm="1">
        <f t="array" ref="AO175">S175 / _xlfn.XLOOKUP($AD175 &amp; "|" &amp; $H175, $AD:$AD &amp; "|" &amp; $G:$G, S:S)</f>
        <v>2.4583840844498579</v>
      </c>
      <c r="AP175" s="13" cm="1">
        <f t="array" ref="AP175">T175 / _xlfn.XLOOKUP($AD175 &amp; "|" &amp; $H175, $AD:$AD &amp; "|" &amp; $G:$G, T:T)</f>
        <v>1.0037944328081838</v>
      </c>
      <c r="AQ175" s="13" cm="1">
        <f t="array" ref="AQ175">U175 / _xlfn.XLOOKUP($AD175 &amp; "|" &amp; $H175, $AD:$AD &amp; "|" &amp; $G:$G, U:U)</f>
        <v>0.95592948717948723</v>
      </c>
      <c r="AR175" s="13" cm="1">
        <f t="array" ref="AR175">V175 / _xlfn.XLOOKUP($AD175 &amp; "|" &amp; $H175, $AD:$AD &amp; "|" &amp; $G:$G, V:V)</f>
        <v>1.0731382978723403</v>
      </c>
      <c r="AS175" s="13" cm="1">
        <f t="array" ref="AS175">W175 / _xlfn.XLOOKUP($AD175 &amp; "|" &amp; $H175, $AD:$AD &amp; "|" &amp; $G:$G, W:W)</f>
        <v>1.713826442779024</v>
      </c>
      <c r="AT175" s="13" cm="1">
        <f t="array" ref="AT175">X175 / _xlfn.XLOOKUP($AD175 &amp; "|" &amp; $H175, $AD:$AD &amp; "|" &amp; $G:$G, X:X)</f>
        <v>1.8744572054503232</v>
      </c>
      <c r="AU175" s="13" cm="1">
        <f t="array" ref="AU175">Y175 / _xlfn.XLOOKUP($AD175 &amp; "|" &amp; $H175, $AD:$AD &amp; "|" &amp; $G:$G, Y:Y)</f>
        <v>1.2777794650263983</v>
      </c>
      <c r="AV175" s="13" cm="1">
        <f t="array" ref="AV175">Z175 / _xlfn.XLOOKUP($AD175 &amp; "|" &amp; $H175, $AD:$AD &amp; "|" &amp; $G:$G, Z:Z)</f>
        <v>0.85343305217800369</v>
      </c>
      <c r="AW175" s="13" cm="1">
        <f t="array" ref="AW175">_xlfn.XLOOKUP($AD175 &amp; "|" &amp; $H175, $AD:$AD &amp; "|" &amp; $G:$G, L:L)</f>
        <v>13.69</v>
      </c>
      <c r="AY175" s="13"/>
      <c r="AZ175" t="s">
        <v>232</v>
      </c>
    </row>
    <row r="176" spans="1:52" x14ac:dyDescent="0.2">
      <c r="A176" t="s">
        <v>32</v>
      </c>
      <c r="B176" t="s">
        <v>1</v>
      </c>
      <c r="C176" t="s">
        <v>110</v>
      </c>
      <c r="D176" t="s">
        <v>112</v>
      </c>
      <c r="E176">
        <v>30</v>
      </c>
      <c r="F176" t="s">
        <v>197</v>
      </c>
      <c r="G176" t="s">
        <v>10</v>
      </c>
      <c r="H176" t="s">
        <v>8</v>
      </c>
      <c r="I176">
        <v>21.8</v>
      </c>
      <c r="J176">
        <v>1.34</v>
      </c>
      <c r="K176">
        <v>530</v>
      </c>
      <c r="L176">
        <v>13.7</v>
      </c>
      <c r="M176">
        <v>296.64999999999998</v>
      </c>
      <c r="N176">
        <v>296.64999999999998</v>
      </c>
      <c r="O176">
        <v>65</v>
      </c>
      <c r="P176">
        <v>2167.1999999999998</v>
      </c>
      <c r="Q176" cm="1">
        <f t="array" ref="Q176">AVERAGE(
    IF(
        ('Individual data from NASA'!$B:$B=$B176) *
        ('Individual data from NASA'!$C:$C=$G176) *
        ('Individual data from NASA'!$K:$K=$O176),
        'Individual data from NASA'!M:M
    )
)</f>
        <v>187250000000000</v>
      </c>
      <c r="R176" cm="1">
        <f t="array" ref="R176">AVERAGE(
    IF(
        ('Individual data from NASA'!$B:$B=$B176) *
        ('Individual data from NASA'!$C:$C=$G176) *
        ('Individual data from NASA'!$K:$K=$O176),
        'Individual data from NASA'!N:N
    )
)</f>
        <v>1.7425E+16</v>
      </c>
      <c r="S176" cm="1">
        <f t="array" ref="S176">AVERAGE(
    IF(
        ('Individual data from NASA'!$B:$B=$B176) *
        ('Individual data from NASA'!$C:$C=$G176) *
        ('Individual data from NASA'!$K:$K=$O176),
        'Individual data from NASA'!O:O
    )
)</f>
        <v>1.76E+16</v>
      </c>
      <c r="T176" cm="1">
        <f t="array" ref="T176">AVERAGE(
    IF(
        ('Individual data from NASA'!$B:$B=$B176) *
        ('Individual data from NASA'!$C:$C=$G176) *
        ('Individual data from NASA'!$K:$K=$O176),
        'Individual data from NASA'!P:P
    )
)</f>
        <v>21.215</v>
      </c>
      <c r="U176" cm="1">
        <f t="array" ref="U176">AVERAGE(
    IF(
        ('Individual data from NASA'!$B:$B=$B176) *
        ('Individual data from NASA'!$C:$C=$G176) *
        ('Individual data from NASA'!$K:$K=$O176),
        'Individual data from NASA'!Q:Q
    )
)</f>
        <v>0.69350000000000001</v>
      </c>
      <c r="V176" cm="1">
        <f t="array" ref="V176">AVERAGE(
    IF(
        ('Individual data from NASA'!$B:$B=$B176) *
        ('Individual data from NASA'!$C:$C=$G176) *
        ('Individual data from NASA'!$K:$K=$O176),
        'Individual data from NASA'!R:R
    )
)</f>
        <v>0.30649999999999999</v>
      </c>
      <c r="W176" cm="1">
        <f t="array" ref="W176">AVERAGE(
    IF(
        ('Individual data from NASA'!$B:$B=$B176) *
        ('Individual data from NASA'!$C:$C=$G176) *
        ('Individual data from NASA'!$K:$K=$O176),
        'Individual data from NASA'!S:S
    )
)</f>
        <v>30.420767789999999</v>
      </c>
      <c r="X176" cm="1">
        <f t="array" ref="X176">AVERAGE(
    IF(
        ('Individual data from NASA'!$B:$B=$B176) *
        ('Individual data from NASA'!$C:$C=$G176) *
        ('Individual data from NASA'!$K:$K=$O176),
        'Individual data from NASA'!T:T
    )
)</f>
        <v>13.324752589999999</v>
      </c>
      <c r="Y176" cm="1">
        <f t="array" ref="Y176">AVERAGE(
    IF(
        ('Individual data from NASA'!$B:$B=$B176) *
        ('Individual data from NASA'!$C:$C=$G176) *
        ('Individual data from NASA'!$K:$K=$O176),
        'Individual data from NASA'!W:W
    )
)</f>
        <v>21.445175774999996</v>
      </c>
      <c r="Z176" cm="1">
        <f t="array" ref="Z176">AVERAGE(
    IF(
        ('Individual data from NASA'!$B:$B=$B176) *
        ('Individual data from NASA'!$C:$C=$G176) *
        ('Individual data from NASA'!$K:$K=$O176),
        'Individual data from NASA'!U:U
    )
)</f>
        <v>12.330488405000001</v>
      </c>
      <c r="AD176" t="str">
        <f t="shared" si="12"/>
        <v>Moore (2015)|APEX|Ground|CFM56-2C1|30|Mid power</v>
      </c>
      <c r="AE176" s="13" cm="1">
        <f t="array" ref="AE176">I176 / _xlfn.XLOOKUP($AD176 &amp; "|" &amp; $H176, $AD:$AD &amp; "|" &amp; $G:$G, I:I)</f>
        <v>1.2386363636363635</v>
      </c>
      <c r="AF176" s="13" cm="1">
        <f t="array" ref="AF176">J176 / _xlfn.XLOOKUP($AD176 &amp; "|" &amp; $H176, $AD:$AD &amp; "|" &amp; $G:$G, J:J)</f>
        <v>1.4408602150537635</v>
      </c>
      <c r="AG176" s="13" cm="1">
        <f t="array" ref="AG176">K176 / _xlfn.XLOOKUP($AD176 &amp; "|" &amp; $H176, $AD:$AD &amp; "|" &amp; $G:$G, K:K)</f>
        <v>1.3838120104438643</v>
      </c>
      <c r="AH176" s="13" cm="1">
        <f t="array" ref="AH176">L176 / _xlfn.XLOOKUP($AD176 &amp; "|" &amp; $H176, $AD:$AD &amp; "|" &amp; $G:$G, L:L)</f>
        <v>1.0007304601899196</v>
      </c>
      <c r="AI176" s="13" cm="1">
        <f t="array" ref="AI176">M176 / _xlfn.XLOOKUP($AD176 &amp; "|" &amp; $H176, $AD:$AD &amp; "|" &amp; $G:$G, M:M)</f>
        <v>0.99031881155065937</v>
      </c>
      <c r="AJ176" s="13" cm="1">
        <f t="array" ref="AJ176">N176 / _xlfn.XLOOKUP($AD176 &amp; "|" &amp; $H176, $AD:$AD &amp; "|" &amp; $G:$G, N:N)</f>
        <v>0.99031881155065937</v>
      </c>
      <c r="AK176" s="13" cm="1">
        <f t="array" ref="AK176">O176 / _xlfn.XLOOKUP($AD176 &amp; "|" &amp; $H176, $AD:$AD &amp; "|" &amp; $G:$G, O:O)</f>
        <v>1</v>
      </c>
      <c r="AL176" s="13" cm="1">
        <f t="array" ref="AL176">P176 / _xlfn.XLOOKUP($AD176 &amp; "|" &amp; $H176, $AD:$AD &amp; "|" &amp; $G:$G, P:P)</f>
        <v>1</v>
      </c>
      <c r="AM176" s="13" cm="1">
        <f t="array" ref="AM176">Q176 / _xlfn.XLOOKUP($AD176 &amp; "|" &amp; $H176, $AD:$AD &amp; "|" &amp; $G:$G, Q:Q)</f>
        <v>1.1732456140350878</v>
      </c>
      <c r="AN176" s="13" cm="1">
        <f t="array" ref="AN176">R176 / _xlfn.XLOOKUP($AD176 &amp; "|" &amp; $H176, $AD:$AD &amp; "|" &amp; $G:$G, R:R)</f>
        <v>1.4623195703256127</v>
      </c>
      <c r="AO176" s="13" cm="1">
        <f t="array" ref="AO176">S176 / _xlfn.XLOOKUP($AD176 &amp; "|" &amp; $H176, $AD:$AD &amp; "|" &amp; $G:$G, S:S)</f>
        <v>1.4591278394959377</v>
      </c>
      <c r="AP176" s="13" cm="1">
        <f t="array" ref="AP176">T176 / _xlfn.XLOOKUP($AD176 &amp; "|" &amp; $H176, $AD:$AD &amp; "|" &amp; $G:$G, T:T)</f>
        <v>1.1466327964544374</v>
      </c>
      <c r="AQ176" s="13" t="e" cm="1">
        <f t="array" ref="AQ176">U176 / _xlfn.XLOOKUP($AD176 &amp; "|" &amp; $H176, $AD:$AD &amp; "|" &amp; $G:$G, U:U)</f>
        <v>#DIV/0!</v>
      </c>
      <c r="AR176" s="13" t="e" cm="1">
        <f t="array" ref="AR176">V176 / _xlfn.XLOOKUP($AD176 &amp; "|" &amp; $H176, $AD:$AD &amp; "|" &amp; $G:$G, V:V)</f>
        <v>#DIV/0!</v>
      </c>
      <c r="AS176" s="13" t="e" cm="1">
        <f t="array" ref="AS176">W176 / _xlfn.XLOOKUP($AD176 &amp; "|" &amp; $H176, $AD:$AD &amp; "|" &amp; $G:$G, W:W)</f>
        <v>#DIV/0!</v>
      </c>
      <c r="AT176" s="13" t="e" cm="1">
        <f t="array" ref="AT176">X176 / _xlfn.XLOOKUP($AD176 &amp; "|" &amp; $H176, $AD:$AD &amp; "|" &amp; $G:$G, X:X)</f>
        <v>#DIV/0!</v>
      </c>
      <c r="AU176" s="13" cm="1">
        <f t="array" ref="AU176">Y176 / _xlfn.XLOOKUP($AD176 &amp; "|" &amp; $H176, $AD:$AD &amp; "|" &amp; $G:$G, Y:Y)</f>
        <v>1.0739002836718323</v>
      </c>
      <c r="AV176" s="13" cm="1">
        <f t="array" ref="AV176">Z176 / _xlfn.XLOOKUP($AD176 &amp; "|" &amp; $H176, $AD:$AD &amp; "|" &amp; $G:$G, Z:Z)</f>
        <v>1.0308968867749058</v>
      </c>
      <c r="AW176" s="13" cm="1">
        <f t="array" ref="AW176">_xlfn.XLOOKUP($AD176 &amp; "|" &amp; $H176, $AD:$AD &amp; "|" &amp; $G:$G, L:L)</f>
        <v>13.69</v>
      </c>
      <c r="AY176" s="13"/>
      <c r="AZ176" t="s">
        <v>232</v>
      </c>
    </row>
    <row r="177" spans="1:52" x14ac:dyDescent="0.2">
      <c r="A177" t="s">
        <v>32</v>
      </c>
      <c r="B177" t="s">
        <v>1</v>
      </c>
      <c r="C177" t="s">
        <v>110</v>
      </c>
      <c r="D177" t="s">
        <v>112</v>
      </c>
      <c r="E177">
        <v>30</v>
      </c>
      <c r="F177" t="s">
        <v>187</v>
      </c>
      <c r="G177" t="s">
        <v>10</v>
      </c>
      <c r="H177" t="s">
        <v>8</v>
      </c>
      <c r="I177">
        <v>21.8</v>
      </c>
      <c r="J177">
        <v>1.34</v>
      </c>
      <c r="K177">
        <v>530</v>
      </c>
      <c r="L177">
        <v>13.7</v>
      </c>
      <c r="M177">
        <v>298.14999999999998</v>
      </c>
      <c r="N177">
        <v>298.14999999999998</v>
      </c>
      <c r="O177">
        <v>85</v>
      </c>
      <c r="P177">
        <v>3041.9999999999995</v>
      </c>
      <c r="Q177" cm="1">
        <f t="array" ref="Q177">AVERAGE(
    IF(
        ('Individual data from NASA'!$B:$B=$B177) *
        ('Individual data from NASA'!$C:$C=$G177) *
        ('Individual data from NASA'!$K:$K=$O177),
        'Individual data from NASA'!M:M
    )
)</f>
        <v>353000000000000</v>
      </c>
      <c r="R177" cm="1">
        <f t="array" ref="R177">AVERAGE(
    IF(
        ('Individual data from NASA'!$B:$B=$B177) *
        ('Individual data from NASA'!$C:$C=$G177) *
        ('Individual data from NASA'!$K:$K=$O177),
        'Individual data from NASA'!N:N
    )
)</f>
        <v>7670000000000000</v>
      </c>
      <c r="S177" cm="1">
        <f t="array" ref="S177">AVERAGE(
    IF(
        ('Individual data from NASA'!$B:$B=$B177) *
        ('Individual data from NASA'!$C:$C=$G177) *
        ('Individual data from NASA'!$K:$K=$O177),
        'Individual data from NASA'!O:O
    )
)</f>
        <v>8030000000000000</v>
      </c>
      <c r="T177" cm="1">
        <f t="array" ref="T177">AVERAGE(
    IF(
        ('Individual data from NASA'!$B:$B=$B177) *
        ('Individual data from NASA'!$C:$C=$G177) *
        ('Individual data from NASA'!$K:$K=$O177),
        'Individual data from NASA'!P:P
    )
)</f>
        <v>89.986999999999995</v>
      </c>
      <c r="U177" cm="1">
        <f t="array" ref="U177">AVERAGE(
    IF(
        ('Individual data from NASA'!$B:$B=$B177) *
        ('Individual data from NASA'!$C:$C=$G177) *
        ('Individual data from NASA'!$K:$K=$O177),
        'Individual data from NASA'!Q:Q
    )
)</f>
        <v>0.69784806700000002</v>
      </c>
      <c r="V177" cm="1">
        <f t="array" ref="V177">AVERAGE(
    IF(
        ('Individual data from NASA'!$B:$B=$B177) *
        ('Individual data from NASA'!$C:$C=$G177) *
        ('Individual data from NASA'!$K:$K=$O177),
        'Individual data from NASA'!R:R
    )
)</f>
        <v>0.30215193299999998</v>
      </c>
      <c r="W177" cm="1">
        <f t="array" ref="W177">AVERAGE(
    IF(
        ('Individual data from NASA'!$B:$B=$B177) *
        ('Individual data from NASA'!$C:$C=$G177) *
        ('Individual data from NASA'!$K:$K=$O177),
        'Individual data from NASA'!S:S
    )
)</f>
        <v>48.516231310000002</v>
      </c>
      <c r="X177" cm="1">
        <f t="array" ref="X177">AVERAGE(
    IF(
        ('Individual data from NASA'!$B:$B=$B177) *
        ('Individual data from NASA'!$C:$C=$G177) *
        ('Individual data from NASA'!$K:$K=$O177),
        'Individual data from NASA'!T:T
    )
)</f>
        <v>20.843158845000001</v>
      </c>
      <c r="Y177" cm="1">
        <f t="array" ref="Y177">AVERAGE(
    IF(
        ('Individual data from NASA'!$B:$B=$B177) *
        ('Individual data from NASA'!$C:$C=$G177) *
        ('Individual data from NASA'!$K:$K=$O177),
        'Individual data from NASA'!W:W
    )
)</f>
        <v>26.295521069999999</v>
      </c>
      <c r="Z177" cm="1">
        <f t="array" ref="Z177">AVERAGE(
    IF(
        ('Individual data from NASA'!$B:$B=$B177) *
        ('Individual data from NASA'!$C:$C=$G177) *
        ('Individual data from NASA'!$K:$K=$O177),
        'Individual data from NASA'!U:U
    )
)</f>
        <v>12.614153569999999</v>
      </c>
      <c r="AD177" t="str">
        <f t="shared" si="12"/>
        <v>Moore (2015)|APEX|Ground|CFM56-2C1|30|Climb</v>
      </c>
      <c r="AE177" s="13" cm="1">
        <f t="array" ref="AE177">I177 / _xlfn.XLOOKUP($AD177 &amp; "|" &amp; $H177, $AD:$AD &amp; "|" &amp; $G:$G, I:I)</f>
        <v>1.2386363636363635</v>
      </c>
      <c r="AF177" s="13" cm="1">
        <f t="array" ref="AF177">J177 / _xlfn.XLOOKUP($AD177 &amp; "|" &amp; $H177, $AD:$AD &amp; "|" &amp; $G:$G, J:J)</f>
        <v>1.4408602150537635</v>
      </c>
      <c r="AG177" s="13" cm="1">
        <f t="array" ref="AG177">K177 / _xlfn.XLOOKUP($AD177 &amp; "|" &amp; $H177, $AD:$AD &amp; "|" &amp; $G:$G, K:K)</f>
        <v>1.3838120104438643</v>
      </c>
      <c r="AH177" s="13" cm="1">
        <f t="array" ref="AH177">L177 / _xlfn.XLOOKUP($AD177 &amp; "|" &amp; $H177, $AD:$AD &amp; "|" &amp; $G:$G, L:L)</f>
        <v>1.0007304601899196</v>
      </c>
      <c r="AI177" s="13" cm="1">
        <f t="array" ref="AI177">M177 / _xlfn.XLOOKUP($AD177 &amp; "|" &amp; $H177, $AD:$AD &amp; "|" &amp; $G:$G, M:M)</f>
        <v>0.99086075108009308</v>
      </c>
      <c r="AJ177" s="13" cm="1">
        <f t="array" ref="AJ177">N177 / _xlfn.XLOOKUP($AD177 &amp; "|" &amp; $H177, $AD:$AD &amp; "|" &amp; $G:$G, N:N)</f>
        <v>0.99086075108009308</v>
      </c>
      <c r="AK177" s="13" cm="1">
        <f t="array" ref="AK177">O177 / _xlfn.XLOOKUP($AD177 &amp; "|" &amp; $H177, $AD:$AD &amp; "|" &amp; $G:$G, O:O)</f>
        <v>1</v>
      </c>
      <c r="AL177" s="13" cm="1">
        <f t="array" ref="AL177">P177 / _xlfn.XLOOKUP($AD177 &amp; "|" &amp; $H177, $AD:$AD &amp; "|" &amp; $G:$G, P:P)</f>
        <v>1</v>
      </c>
      <c r="AM177" s="13" cm="1">
        <f t="array" ref="AM177">Q177 / _xlfn.XLOOKUP($AD177 &amp; "|" &amp; $H177, $AD:$AD &amp; "|" &amp; $G:$G, Q:Q)</f>
        <v>1.0861538461538462</v>
      </c>
      <c r="AN177" s="13" cm="1">
        <f t="array" ref="AN177">R177 / _xlfn.XLOOKUP($AD177 &amp; "|" &amp; $H177, $AD:$AD &amp; "|" &amp; $G:$G, R:R)</f>
        <v>1.935646687697161</v>
      </c>
      <c r="AO177" s="13" cm="1">
        <f t="array" ref="AO177">S177 / _xlfn.XLOOKUP($AD177 &amp; "|" &amp; $H177, $AD:$AD &amp; "|" &amp; $G:$G, S:S)</f>
        <v>1.8717948717948718</v>
      </c>
      <c r="AP177" s="13" cm="1">
        <f t="array" ref="AP177">T177 / _xlfn.XLOOKUP($AD177 &amp; "|" &amp; $H177, $AD:$AD &amp; "|" &amp; $G:$G, T:T)</f>
        <v>1.0156030449920714</v>
      </c>
      <c r="AQ177" s="13" cm="1">
        <f t="array" ref="AQ177">U177 / _xlfn.XLOOKUP($AD177 &amp; "|" &amp; $H177, $AD:$AD &amp; "|" &amp; $G:$G, U:U)</f>
        <v>0.95703627553435</v>
      </c>
      <c r="AR177" s="13" cm="1">
        <f t="array" ref="AR177">V177 / _xlfn.XLOOKUP($AD177 &amp; "|" &amp; $H177, $AD:$AD &amp; "|" &amp; $G:$G, V:V)</f>
        <v>1.1156771453416681</v>
      </c>
      <c r="AS177" s="13" cm="1">
        <f t="array" ref="AS177">W177 / _xlfn.XLOOKUP($AD177 &amp; "|" &amp; $H177, $AD:$AD &amp; "|" &amp; $G:$G, W:W)</f>
        <v>0.96010646017969969</v>
      </c>
      <c r="AT177" s="13" cm="1">
        <f t="array" ref="AT177">X177 / _xlfn.XLOOKUP($AD177 &amp; "|" &amp; $H177, $AD:$AD &amp; "|" &amp; $G:$G, X:X)</f>
        <v>1.2221291208269056</v>
      </c>
      <c r="AU177" s="13" cm="1">
        <f t="array" ref="AU177">Y177 / _xlfn.XLOOKUP($AD177 &amp; "|" &amp; $H177, $AD:$AD &amp; "|" &amp; $G:$G, Y:Y)</f>
        <v>0.98813045657826848</v>
      </c>
      <c r="AV177" s="13" cm="1">
        <f t="array" ref="AV177">Z177 / _xlfn.XLOOKUP($AD177 &amp; "|" &amp; $H177, $AD:$AD &amp; "|" &amp; $G:$G, Z:Z)</f>
        <v>0.73215311815242523</v>
      </c>
      <c r="AW177" s="13" cm="1">
        <f t="array" ref="AW177">_xlfn.XLOOKUP($AD177 &amp; "|" &amp; $H177, $AD:$AD &amp; "|" &amp; $G:$G, L:L)</f>
        <v>13.69</v>
      </c>
      <c r="AY177" s="13"/>
      <c r="AZ177" t="s">
        <v>232</v>
      </c>
    </row>
    <row r="178" spans="1:52" x14ac:dyDescent="0.2">
      <c r="A178" t="s">
        <v>32</v>
      </c>
      <c r="B178" t="s">
        <v>1</v>
      </c>
      <c r="C178" t="s">
        <v>110</v>
      </c>
      <c r="D178" t="s">
        <v>112</v>
      </c>
      <c r="E178">
        <v>30</v>
      </c>
      <c r="F178" t="s">
        <v>195</v>
      </c>
      <c r="G178" t="s">
        <v>10</v>
      </c>
      <c r="H178" t="s">
        <v>8</v>
      </c>
      <c r="I178">
        <v>21.8</v>
      </c>
      <c r="J178">
        <v>1.34</v>
      </c>
      <c r="K178">
        <v>530</v>
      </c>
      <c r="L178">
        <v>13.7</v>
      </c>
      <c r="M178">
        <v>298.64999999999998</v>
      </c>
      <c r="N178">
        <v>298.64999999999998</v>
      </c>
      <c r="O178">
        <v>100</v>
      </c>
      <c r="P178">
        <v>3218.4</v>
      </c>
      <c r="Q178" cm="1">
        <f t="array" ref="Q178">AVERAGE(
    IF(
        ('Individual data from NASA'!$B:$B=$B178) *
        ('Individual data from NASA'!$C:$C=$G178) *
        ('Individual data from NASA'!$K:$K=$O178),
        'Individual data from NASA'!M:M
    )
)</f>
        <v>680500000000000</v>
      </c>
      <c r="R178" cm="1">
        <f t="array" ref="R178">AVERAGE(
    IF(
        ('Individual data from NASA'!$B:$B=$B178) *
        ('Individual data from NASA'!$C:$C=$G178) *
        ('Individual data from NASA'!$K:$K=$O178),
        'Individual data from NASA'!N:N
    )
)</f>
        <v>1.008E+16</v>
      </c>
      <c r="S178" cm="1">
        <f t="array" ref="S178">AVERAGE(
    IF(
        ('Individual data from NASA'!$B:$B=$B178) *
        ('Individual data from NASA'!$C:$C=$G178) *
        ('Individual data from NASA'!$K:$K=$O178),
        'Individual data from NASA'!O:O
    )
)</f>
        <v>1.0775E+16</v>
      </c>
      <c r="T178" cm="1">
        <f t="array" ref="T178">AVERAGE(
    IF(
        ('Individual data from NASA'!$B:$B=$B178) *
        ('Individual data from NASA'!$C:$C=$G178) *
        ('Individual data from NASA'!$K:$K=$O178),
        'Individual data from NASA'!P:P
    )
)</f>
        <v>134.1</v>
      </c>
      <c r="U178" cm="1">
        <f t="array" ref="U178">AVERAGE(
    IF(
        ('Individual data from NASA'!$B:$B=$B178) *
        ('Individual data from NASA'!$C:$C=$G178) *
        ('Individual data from NASA'!$K:$K=$O178),
        'Individual data from NASA'!Q:Q
    )
)</f>
        <v>0.73499999999999999</v>
      </c>
      <c r="V178" cm="1">
        <f t="array" ref="V178">AVERAGE(
    IF(
        ('Individual data from NASA'!$B:$B=$B178) *
        ('Individual data from NASA'!$C:$C=$G178) *
        ('Individual data from NASA'!$K:$K=$O178),
        'Individual data from NASA'!R:R
    )
)</f>
        <v>0.26500000000000001</v>
      </c>
      <c r="W178" cm="1">
        <f t="array" ref="W178">AVERAGE(
    IF(
        ('Individual data from NASA'!$B:$B=$B178) *
        ('Individual data from NASA'!$C:$C=$G178) *
        ('Individual data from NASA'!$K:$K=$O178),
        'Individual data from NASA'!S:S
    )
)</f>
        <v>68.195357180000002</v>
      </c>
      <c r="X178" cm="1">
        <f t="array" ref="X178">AVERAGE(
    IF(
        ('Individual data from NASA'!$B:$B=$B178) *
        ('Individual data from NASA'!$C:$C=$G178) *
        ('Individual data from NASA'!$K:$K=$O178),
        'Individual data from NASA'!T:T
    )
)</f>
        <v>23.427461905000001</v>
      </c>
      <c r="Y178" cm="1">
        <f t="array" ref="Y178">AVERAGE(
    IF(
        ('Individual data from NASA'!$B:$B=$B178) *
        ('Individual data from NASA'!$C:$C=$G178) *
        ('Individual data from NASA'!$K:$K=$O178),
        'Individual data from NASA'!W:W
    )
)</f>
        <v>21.5165425</v>
      </c>
      <c r="Z178" cm="1">
        <f t="array" ref="Z178">AVERAGE(
    IF(
        ('Individual data from NASA'!$B:$B=$B178) *
        ('Individual data from NASA'!$C:$C=$G178) *
        ('Individual data from NASA'!$K:$K=$O178),
        'Individual data from NASA'!U:U
    )
)</f>
        <v>13.378522500000001</v>
      </c>
      <c r="AD178" t="str">
        <f t="shared" si="12"/>
        <v>Moore (2015)|APEX|Ground|CFM56-2C1|30|Take-off</v>
      </c>
      <c r="AE178" s="13" cm="1">
        <f t="array" ref="AE178">I178 / _xlfn.XLOOKUP($AD178 &amp; "|" &amp; $H178, $AD:$AD &amp; "|" &amp; $G:$G, I:I)</f>
        <v>1.2386363636363635</v>
      </c>
      <c r="AF178" s="13" cm="1">
        <f t="array" ref="AF178">J178 / _xlfn.XLOOKUP($AD178 &amp; "|" &amp; $H178, $AD:$AD &amp; "|" &amp; $G:$G, J:J)</f>
        <v>1.4408602150537635</v>
      </c>
      <c r="AG178" s="13" cm="1">
        <f t="array" ref="AG178">K178 / _xlfn.XLOOKUP($AD178 &amp; "|" &amp; $H178, $AD:$AD &amp; "|" &amp; $G:$G, K:K)</f>
        <v>1.3838120104438643</v>
      </c>
      <c r="AH178" s="13" cm="1">
        <f t="array" ref="AH178">L178 / _xlfn.XLOOKUP($AD178 &amp; "|" &amp; $H178, $AD:$AD &amp; "|" &amp; $G:$G, L:L)</f>
        <v>1.0007304601899196</v>
      </c>
      <c r="AI178" s="13" cm="1">
        <f t="array" ref="AI178">M178 / _xlfn.XLOOKUP($AD178 &amp; "|" &amp; $H178, $AD:$AD &amp; "|" &amp; $G:$G, M:M)</f>
        <v>0.99087591240875916</v>
      </c>
      <c r="AJ178" s="13" cm="1">
        <f t="array" ref="AJ178">N178 / _xlfn.XLOOKUP($AD178 &amp; "|" &amp; $H178, $AD:$AD &amp; "|" &amp; $G:$G, N:N)</f>
        <v>0.99087591240875916</v>
      </c>
      <c r="AK178" s="13" cm="1">
        <f t="array" ref="AK178">O178 / _xlfn.XLOOKUP($AD178 &amp; "|" &amp; $H178, $AD:$AD &amp; "|" &amp; $G:$G, O:O)</f>
        <v>1</v>
      </c>
      <c r="AL178" s="13" cm="1">
        <f t="array" ref="AL178">P178 / _xlfn.XLOOKUP($AD178 &amp; "|" &amp; $H178, $AD:$AD &amp; "|" &amp; $G:$G, P:P)</f>
        <v>1</v>
      </c>
      <c r="AM178" s="13" cm="1">
        <f t="array" ref="AM178">Q178 / _xlfn.XLOOKUP($AD178 &amp; "|" &amp; $H178, $AD:$AD &amp; "|" &amp; $G:$G, Q:Q)</f>
        <v>1.6397590361445784</v>
      </c>
      <c r="AN178" s="13" cm="1">
        <f t="array" ref="AN178">R178 / _xlfn.XLOOKUP($AD178 &amp; "|" &amp; $H178, $AD:$AD &amp; "|" &amp; $G:$G, R:R)</f>
        <v>1.7507598784194529</v>
      </c>
      <c r="AO178" s="13" cm="1">
        <f t="array" ref="AO178">S178 / _xlfn.XLOOKUP($AD178 &amp; "|" &amp; $H178, $AD:$AD &amp; "|" &amp; $G:$G, S:S)</f>
        <v>1.7570322054626988</v>
      </c>
      <c r="AP178" s="13" cm="1">
        <f t="array" ref="AP178">T178 / _xlfn.XLOOKUP($AD178 &amp; "|" &amp; $H178, $AD:$AD &amp; "|" &amp; $G:$G, T:T)</f>
        <v>1.6011940298507461</v>
      </c>
      <c r="AQ178" s="13" cm="1">
        <f t="array" ref="AQ178">U178 / _xlfn.XLOOKUP($AD178 &amp; "|" &amp; $H178, $AD:$AD &amp; "|" &amp; $G:$G, U:U)</f>
        <v>1.0068493150684932</v>
      </c>
      <c r="AR178" s="13" cm="1">
        <f t="array" ref="AR178">V178 / _xlfn.XLOOKUP($AD178 &amp; "|" &amp; $H178, $AD:$AD &amp; "|" &amp; $G:$G, V:V)</f>
        <v>0.98148148148148151</v>
      </c>
      <c r="AS178" s="13" cm="1">
        <f t="array" ref="AS178">W178 / _xlfn.XLOOKUP($AD178 &amp; "|" &amp; $H178, $AD:$AD &amp; "|" &amp; $G:$G, W:W)</f>
        <v>1.255985053616349</v>
      </c>
      <c r="AT178" s="13" cm="1">
        <f t="array" ref="AT178">X178 / _xlfn.XLOOKUP($AD178 &amp; "|" &amp; $H178, $AD:$AD &amp; "|" &amp; $G:$G, X:X)</f>
        <v>1.1637585439612803</v>
      </c>
      <c r="AU178" s="13" cm="1">
        <f t="array" ref="AU178">Y178 / _xlfn.XLOOKUP($AD178 &amp; "|" &amp; $H178, $AD:$AD &amp; "|" &amp; $G:$G, Y:Y)</f>
        <v>0.90151672509974257</v>
      </c>
      <c r="AV178" s="13" cm="1">
        <f t="array" ref="AV178">Z178 / _xlfn.XLOOKUP($AD178 &amp; "|" &amp; $H178, $AD:$AD &amp; "|" &amp; $G:$G, Z:Z)</f>
        <v>0.82837071268491413</v>
      </c>
      <c r="AW178" s="13" cm="1">
        <f t="array" ref="AW178">_xlfn.XLOOKUP($AD178 &amp; "|" &amp; $H178, $AD:$AD &amp; "|" &amp; $G:$G, L:L)</f>
        <v>13.69</v>
      </c>
      <c r="AY178" s="13"/>
      <c r="AZ178" t="s">
        <v>232</v>
      </c>
    </row>
    <row r="179" spans="1:52" x14ac:dyDescent="0.2">
      <c r="A179" t="s">
        <v>32</v>
      </c>
      <c r="B179" t="s">
        <v>2</v>
      </c>
      <c r="C179" t="s">
        <v>110</v>
      </c>
      <c r="D179" t="s">
        <v>112</v>
      </c>
      <c r="E179">
        <v>30</v>
      </c>
      <c r="F179" t="s">
        <v>213</v>
      </c>
      <c r="G179" t="s">
        <v>8</v>
      </c>
      <c r="I179">
        <v>18.600000000000001</v>
      </c>
      <c r="J179">
        <v>1.6</v>
      </c>
      <c r="K179">
        <v>1148</v>
      </c>
      <c r="L179">
        <v>13.6</v>
      </c>
      <c r="M179">
        <v>281.22272727272724</v>
      </c>
      <c r="N179">
        <v>281.22272727272724</v>
      </c>
      <c r="O179">
        <v>4</v>
      </c>
      <c r="P179">
        <v>457.2</v>
      </c>
      <c r="Q179" t="e" cm="1">
        <f t="array" ref="Q179">AVERAGE(
    IF(
        ('Individual data from NASA'!$B:$B=$B179) *
        ('Individual data from NASA'!$C:$C=$G179) *
        ('Individual data from NASA'!$K:$K=$O179) *
        ('Individual data from NASA'!$D:$D=3),
        'Individual data from NASA'!M:M
    )
)</f>
        <v>#DIV/0!</v>
      </c>
      <c r="R179" t="e" cm="1">
        <f t="array" ref="R179">AVERAGE(
    IF(
        ('Individual data from NASA'!$B:$B=$B179) *
        ('Individual data from NASA'!$C:$C=$G179) *
        ('Individual data from NASA'!$K:$K=$O179) *
        ('Individual data from NASA'!$D:$D=3),
        'Individual data from NASA'!N:N
    )
)</f>
        <v>#DIV/0!</v>
      </c>
      <c r="S179" t="e" cm="1">
        <f t="array" ref="S179">AVERAGE(
    IF(
        ('Individual data from NASA'!$B:$B=$B179) *
        ('Individual data from NASA'!$C:$C=$G179) *
        ('Individual data from NASA'!$K:$K=$O179) *
        ('Individual data from NASA'!$D:$D=3),
        'Individual data from NASA'!O:O
    )
)</f>
        <v>#DIV/0!</v>
      </c>
      <c r="T179" t="e" cm="1">
        <f t="array" ref="T179">AVERAGE(
    IF(
        ('Individual data from NASA'!$B:$B=$B179) *
        ('Individual data from NASA'!$C:$C=$G179) *
        ('Individual data from NASA'!$K:$K=$O179) *
        ('Individual data from NASA'!$D:$D=3),
        'Individual data from NASA'!P:P
    )
)</f>
        <v>#DIV/0!</v>
      </c>
      <c r="U179" t="e" cm="1">
        <f t="array" ref="U179">AVERAGE(
    IF(
        ('Individual data from NASA'!$B:$B=$B179) *
        ('Individual data from NASA'!$C:$C=$G179) *
        ('Individual data from NASA'!$K:$K=$O179) *
        ('Individual data from NASA'!$D:$D=3),
        'Individual data from NASA'!Q:Q
    )
)</f>
        <v>#DIV/0!</v>
      </c>
      <c r="V179" t="e" cm="1">
        <f t="array" ref="V179">AVERAGE(
    IF(
        ('Individual data from NASA'!$B:$B=$B179) *
        ('Individual data from NASA'!$C:$C=$G179) *
        ('Individual data from NASA'!$K:$K=$O179) *
        ('Individual data from NASA'!$D:$D=3),
        'Individual data from NASA'!R:R
    )
)</f>
        <v>#DIV/0!</v>
      </c>
      <c r="W179" t="e" cm="1">
        <f t="array" ref="W179">AVERAGE(
    IF(
        ('Individual data from NASA'!$B:$B=$B179) *
        ('Individual data from NASA'!$C:$C=$G179) *
        ('Individual data from NASA'!$K:$K=$O179) *
        ('Individual data from NASA'!$D:$D=3),
        'Individual data from NASA'!S:S
    )
)</f>
        <v>#DIV/0!</v>
      </c>
      <c r="X179" t="e" cm="1">
        <f t="array" ref="X179">AVERAGE(
    IF(
        ('Individual data from NASA'!$B:$B=$B179) *
        ('Individual data from NASA'!$C:$C=$G179) *
        ('Individual data from NASA'!$K:$K=$O179) *
        ('Individual data from NASA'!$D:$D=3),
        'Individual data from NASA'!T:T
    )
)</f>
        <v>#DIV/0!</v>
      </c>
      <c r="Y179" t="e" cm="1">
        <f t="array" ref="Y179">AVERAGE(
    IF(
        ('Individual data from NASA'!$B:$B=$B179) *
        ('Individual data from NASA'!$C:$C=$G179) *
        ('Individual data from NASA'!$K:$K=$O179) *
        ('Individual data from NASA'!$D:$D=3),
        'Individual data from NASA'!U:U
    )
)</f>
        <v>#DIV/0!</v>
      </c>
      <c r="Z179" t="e" cm="1">
        <f t="array" ref="Z179">AVERAGE(
    IF(
        ('Individual data from NASA'!$B:$B=$B179) *
        ('Individual data from NASA'!$C:$C=$G179) *
        ('Individual data from NASA'!$K:$K=$O179) *
        ('Individual data from NASA'!$D:$D=3),
        'Individual data from NASA'!V:V
    )
)</f>
        <v>#DIV/0!</v>
      </c>
      <c r="AD179" t="str">
        <f t="shared" si="12"/>
        <v>Moore (2015)|AAFEX-I|Ground|CFM56-2C1|30|Eg no 3 Idle (min)</v>
      </c>
      <c r="AW179" s="13"/>
      <c r="AZ179" t="s">
        <v>232</v>
      </c>
    </row>
    <row r="180" spans="1:52" x14ac:dyDescent="0.2">
      <c r="A180" t="s">
        <v>32</v>
      </c>
      <c r="B180" t="s">
        <v>2</v>
      </c>
      <c r="C180" t="s">
        <v>110</v>
      </c>
      <c r="D180" t="s">
        <v>112</v>
      </c>
      <c r="E180">
        <v>30</v>
      </c>
      <c r="F180" t="s">
        <v>214</v>
      </c>
      <c r="G180" t="s">
        <v>8</v>
      </c>
      <c r="I180">
        <v>18.600000000000001</v>
      </c>
      <c r="J180">
        <v>1.6</v>
      </c>
      <c r="K180">
        <v>1148</v>
      </c>
      <c r="L180">
        <v>13.6</v>
      </c>
      <c r="M180">
        <v>281.62741935483871</v>
      </c>
      <c r="N180">
        <v>281.62741935483871</v>
      </c>
      <c r="O180">
        <v>7</v>
      </c>
      <c r="P180">
        <v>561.096</v>
      </c>
      <c r="Q180" cm="1">
        <f t="array" ref="Q180">AVERAGE(
    IF(
        ('Individual data from NASA'!$B:$B=$B180) *
        ('Individual data from NASA'!$C:$C=$G180) *
        ('Individual data from NASA'!$K:$K=$O180) *
        ('Individual data from NASA'!$D:$D=3),
        'Individual data from NASA'!M:M
    )
)</f>
        <v>1857500000000000</v>
      </c>
      <c r="R180" cm="1">
        <f t="array" ref="R180">AVERAGE(
    IF(
        ('Individual data from NASA'!$B:$B=$B180) *
        ('Individual data from NASA'!$C:$C=$G180) *
        ('Individual data from NASA'!$K:$K=$O180) *
        ('Individual data from NASA'!$D:$D=3),
        'Individual data from NASA'!N:N
    )
)</f>
        <v>4.61E+16</v>
      </c>
      <c r="S180" cm="1">
        <f t="array" ref="S180">AVERAGE(
    IF(
        ('Individual data from NASA'!$B:$B=$B180) *
        ('Individual data from NASA'!$C:$C=$G180) *
        ('Individual data from NASA'!$K:$K=$O180) *
        ('Individual data from NASA'!$D:$D=3),
        'Individual data from NASA'!O:O
    )
)</f>
        <v>4.8666666666666664E+16</v>
      </c>
      <c r="T180" cm="1">
        <f t="array" ref="T180">AVERAGE(
    IF(
        ('Individual data from NASA'!$B:$B=$B180) *
        ('Individual data from NASA'!$C:$C=$G180) *
        ('Individual data from NASA'!$K:$K=$O180) *
        ('Individual data from NASA'!$D:$D=3),
        'Individual data from NASA'!P:P
    )
)</f>
        <v>12.066666666666666</v>
      </c>
      <c r="U180" t="e" cm="1">
        <f t="array" ref="U180">AVERAGE(
    IF(
        ('Individual data from NASA'!$B:$B=$B180) *
        ('Individual data from NASA'!$C:$C=$G180) *
        ('Individual data from NASA'!$K:$K=$O180) *
        ('Individual data from NASA'!$D:$D=3),
        'Individual data from NASA'!Q:Q
    )
)</f>
        <v>#DIV/0!</v>
      </c>
      <c r="V180" t="e" cm="1">
        <f t="array" ref="V180">AVERAGE(
    IF(
        ('Individual data from NASA'!$B:$B=$B180) *
        ('Individual data from NASA'!$C:$C=$G180) *
        ('Individual data from NASA'!$K:$K=$O180) *
        ('Individual data from NASA'!$D:$D=3),
        'Individual data from NASA'!R:R
    )
)</f>
        <v>#DIV/0!</v>
      </c>
      <c r="W180" t="e" cm="1">
        <f t="array" ref="W180">AVERAGE(
    IF(
        ('Individual data from NASA'!$B:$B=$B180) *
        ('Individual data from NASA'!$C:$C=$G180) *
        ('Individual data from NASA'!$K:$K=$O180) *
        ('Individual data from NASA'!$D:$D=3),
        'Individual data from NASA'!S:S
    )
)</f>
        <v>#DIV/0!</v>
      </c>
      <c r="X180" t="e" cm="1">
        <f t="array" ref="X180">AVERAGE(
    IF(
        ('Individual data from NASA'!$B:$B=$B180) *
        ('Individual data from NASA'!$C:$C=$G180) *
        ('Individual data from NASA'!$K:$K=$O180) *
        ('Individual data from NASA'!$D:$D=3),
        'Individual data from NASA'!T:T
    )
)</f>
        <v>#DIV/0!</v>
      </c>
      <c r="Y180" cm="1">
        <f t="array" ref="Y180">AVERAGE(
    IF(
        ('Individual data from NASA'!$B:$B=$B180) *
        ('Individual data from NASA'!$C:$C=$G180) *
        ('Individual data from NASA'!$K:$K=$O180) *
        ('Individual data from NASA'!$D:$D=3),
        'Individual data from NASA'!U:U
    )
)</f>
        <v>15.476890000000001</v>
      </c>
      <c r="Z180" cm="1">
        <f t="array" ref="Z180">AVERAGE(
    IF(
        ('Individual data from NASA'!$B:$B=$B180) *
        ('Individual data from NASA'!$C:$C=$G180) *
        ('Individual data from NASA'!$K:$K=$O180) *
        ('Individual data from NASA'!$D:$D=3),
        'Individual data from NASA'!V:V
    )
)</f>
        <v>23.180790000000002</v>
      </c>
      <c r="AD180" t="str">
        <f t="shared" si="12"/>
        <v>Moore (2015)|AAFEX-I|Ground|CFM56-2C1|30|Eg no 3 Idle (approach)</v>
      </c>
      <c r="AW180" s="13"/>
      <c r="AZ180" t="s">
        <v>232</v>
      </c>
    </row>
    <row r="181" spans="1:52" x14ac:dyDescent="0.2">
      <c r="A181" t="s">
        <v>32</v>
      </c>
      <c r="B181" t="s">
        <v>2</v>
      </c>
      <c r="C181" t="s">
        <v>110</v>
      </c>
      <c r="D181" t="s">
        <v>112</v>
      </c>
      <c r="E181">
        <v>30</v>
      </c>
      <c r="F181" t="s">
        <v>215</v>
      </c>
      <c r="G181" t="s">
        <v>8</v>
      </c>
      <c r="I181">
        <v>18.600000000000001</v>
      </c>
      <c r="J181">
        <v>1.6</v>
      </c>
      <c r="K181">
        <v>1148</v>
      </c>
      <c r="L181">
        <v>13.6</v>
      </c>
      <c r="M181">
        <v>279.32058823529411</v>
      </c>
      <c r="N181">
        <v>279.32058823529411</v>
      </c>
      <c r="O181">
        <v>30</v>
      </c>
      <c r="P181">
        <v>1231.2000000000003</v>
      </c>
      <c r="Q181" cm="1">
        <f t="array" ref="Q181">AVERAGE(
    IF(
        ('Individual data from NASA'!$B:$B=$B181) *
        ('Individual data from NASA'!$C:$C=$G181) *
        ('Individual data from NASA'!$K:$K=$O181) *
        ('Individual data from NASA'!$D:$D=3),
        'Individual data from NASA'!M:M
    )
)</f>
        <v>1737142857142857.2</v>
      </c>
      <c r="R181" cm="1">
        <f t="array" ref="R181">AVERAGE(
    IF(
        ('Individual data from NASA'!$B:$B=$B181) *
        ('Individual data from NASA'!$C:$C=$G181) *
        ('Individual data from NASA'!$K:$K=$O181) *
        ('Individual data from NASA'!$D:$D=3),
        'Individual data from NASA'!N:N
    )
)</f>
        <v>3.2042857142857144E+16</v>
      </c>
      <c r="S181" cm="1">
        <f t="array" ref="S181">AVERAGE(
    IF(
        ('Individual data from NASA'!$B:$B=$B181) *
        ('Individual data from NASA'!$C:$C=$G181) *
        ('Individual data from NASA'!$K:$K=$O181) *
        ('Individual data from NASA'!$D:$D=3),
        'Individual data from NASA'!O:O
    )
)</f>
        <v>3.3857142857142856E+16</v>
      </c>
      <c r="T181" cm="1">
        <f t="array" ref="T181">AVERAGE(
    IF(
        ('Individual data from NASA'!$B:$B=$B181) *
        ('Individual data from NASA'!$C:$C=$G181) *
        ('Individual data from NASA'!$K:$K=$O181) *
        ('Individual data from NASA'!$D:$D=3),
        'Individual data from NASA'!P:P
    )
)</f>
        <v>12.363571428571428</v>
      </c>
      <c r="U181" t="e" cm="1">
        <f t="array" ref="U181">AVERAGE(
    IF(
        ('Individual data from NASA'!$B:$B=$B181) *
        ('Individual data from NASA'!$C:$C=$G181) *
        ('Individual data from NASA'!$K:$K=$O181) *
        ('Individual data from NASA'!$D:$D=3),
        'Individual data from NASA'!Q:Q
    )
)</f>
        <v>#DIV/0!</v>
      </c>
      <c r="V181" t="e" cm="1">
        <f t="array" ref="V181">AVERAGE(
    IF(
        ('Individual data from NASA'!$B:$B=$B181) *
        ('Individual data from NASA'!$C:$C=$G181) *
        ('Individual data from NASA'!$K:$K=$O181) *
        ('Individual data from NASA'!$D:$D=3),
        'Individual data from NASA'!R:R
    )
)</f>
        <v>#DIV/0!</v>
      </c>
      <c r="W181" t="e" cm="1">
        <f t="array" ref="W181">AVERAGE(
    IF(
        ('Individual data from NASA'!$B:$B=$B181) *
        ('Individual data from NASA'!$C:$C=$G181) *
        ('Individual data from NASA'!$K:$K=$O181) *
        ('Individual data from NASA'!$D:$D=3),
        'Individual data from NASA'!S:S
    )
)</f>
        <v>#DIV/0!</v>
      </c>
      <c r="X181" t="e" cm="1">
        <f t="array" ref="X181">AVERAGE(
    IF(
        ('Individual data from NASA'!$B:$B=$B181) *
        ('Individual data from NASA'!$C:$C=$G181) *
        ('Individual data from NASA'!$K:$K=$O181) *
        ('Individual data from NASA'!$D:$D=3),
        'Individual data from NASA'!T:T
    )
)</f>
        <v>#DIV/0!</v>
      </c>
      <c r="Y181" cm="1">
        <f t="array" ref="Y181">AVERAGE(
    IF(
        ('Individual data from NASA'!$B:$B=$B181) *
        ('Individual data from NASA'!$C:$C=$G181) *
        ('Individual data from NASA'!$K:$K=$O181) *
        ('Individual data from NASA'!$D:$D=3),
        'Individual data from NASA'!U:U
    )
)</f>
        <v>13.251185714285713</v>
      </c>
      <c r="Z181" cm="1">
        <f t="array" ref="Z181">AVERAGE(
    IF(
        ('Individual data from NASA'!$B:$B=$B181) *
        ('Individual data from NASA'!$C:$C=$G181) *
        ('Individual data from NASA'!$K:$K=$O181) *
        ('Individual data from NASA'!$D:$D=3),
        'Individual data from NASA'!V:V
    )
)</f>
        <v>21.724842857142853</v>
      </c>
      <c r="AD181" t="str">
        <f t="shared" si="12"/>
        <v>Moore (2015)|AAFEX-I|Ground|CFM56-2C1|30|Eg no 3 Intermediate</v>
      </c>
      <c r="AW181" s="13"/>
      <c r="AZ181" t="s">
        <v>232</v>
      </c>
    </row>
    <row r="182" spans="1:52" x14ac:dyDescent="0.2">
      <c r="A182" t="s">
        <v>32</v>
      </c>
      <c r="B182" t="s">
        <v>2</v>
      </c>
      <c r="C182" t="s">
        <v>110</v>
      </c>
      <c r="D182" t="s">
        <v>112</v>
      </c>
      <c r="E182">
        <v>30</v>
      </c>
      <c r="F182" t="s">
        <v>216</v>
      </c>
      <c r="G182" t="s">
        <v>8</v>
      </c>
      <c r="I182">
        <v>18.600000000000001</v>
      </c>
      <c r="J182">
        <v>1.6</v>
      </c>
      <c r="K182">
        <v>1148</v>
      </c>
      <c r="L182">
        <v>13.6</v>
      </c>
      <c r="M182">
        <v>279.41666666666663</v>
      </c>
      <c r="N182">
        <v>279.41666666666663</v>
      </c>
      <c r="O182">
        <v>65</v>
      </c>
      <c r="P182">
        <v>2167.1999999999998</v>
      </c>
      <c r="Q182" cm="1">
        <f t="array" ref="Q182">AVERAGE(
    IF(
        ('Individual data from NASA'!$B:$B=$B182) *
        ('Individual data from NASA'!$C:$C=$G182) *
        ('Individual data from NASA'!$K:$K=$O182) *
        ('Individual data from NASA'!$D:$D=3),
        'Individual data from NASA'!M:M
    )
)</f>
        <v>1358750000000000</v>
      </c>
      <c r="R182" cm="1">
        <f t="array" ref="R182">AVERAGE(
    IF(
        ('Individual data from NASA'!$B:$B=$B182) *
        ('Individual data from NASA'!$C:$C=$G182) *
        ('Individual data from NASA'!$K:$K=$O182) *
        ('Individual data from NASA'!$D:$D=3),
        'Individual data from NASA'!N:N
    )
)</f>
        <v>2.2455E+16</v>
      </c>
      <c r="S182" cm="1">
        <f t="array" ref="S182">AVERAGE(
    IF(
        ('Individual data from NASA'!$B:$B=$B182) *
        ('Individual data from NASA'!$C:$C=$G182) *
        ('Individual data from NASA'!$K:$K=$O182) *
        ('Individual data from NASA'!$D:$D=3),
        'Individual data from NASA'!O:O
    )
)</f>
        <v>2.37375E+16</v>
      </c>
      <c r="T182" cm="1">
        <f t="array" ref="T182">AVERAGE(
    IF(
        ('Individual data from NASA'!$B:$B=$B182) *
        ('Individual data from NASA'!$C:$C=$G182) *
        ('Individual data from NASA'!$K:$K=$O182) *
        ('Individual data from NASA'!$D:$D=3),
        'Individual data from NASA'!P:P
    )
)</f>
        <v>31.549999999999997</v>
      </c>
      <c r="U182" cm="1">
        <f t="array" ref="U182">AVERAGE(
    IF(
        ('Individual data from NASA'!$B:$B=$B182) *
        ('Individual data from NASA'!$C:$C=$G182) *
        ('Individual data from NASA'!$K:$K=$O182) *
        ('Individual data from NASA'!$D:$D=3),
        'Individual data from NASA'!Q:Q
    )
)</f>
        <v>0.90874999999999995</v>
      </c>
      <c r="V182" cm="1">
        <f t="array" ref="V182">AVERAGE(
    IF(
        ('Individual data from NASA'!$B:$B=$B182) *
        ('Individual data from NASA'!$C:$C=$G182) *
        ('Individual data from NASA'!$K:$K=$O182) *
        ('Individual data from NASA'!$D:$D=3),
        'Individual data from NASA'!R:R
    )
)</f>
        <v>9.1249999999999998E-2</v>
      </c>
      <c r="W182" cm="1">
        <f t="array" ref="W182">AVERAGE(
    IF(
        ('Individual data from NASA'!$B:$B=$B182) *
        ('Individual data from NASA'!$C:$C=$G182) *
        ('Individual data from NASA'!$K:$K=$O182) *
        ('Individual data from NASA'!$D:$D=3),
        'Individual data from NASA'!S:S
    )
)</f>
        <v>65.972934770000009</v>
      </c>
      <c r="X182" cm="1">
        <f t="array" ref="X182">AVERAGE(
    IF(
        ('Individual data from NASA'!$B:$B=$B182) *
        ('Individual data from NASA'!$C:$C=$G182) *
        ('Individual data from NASA'!$K:$K=$O182) *
        ('Individual data from NASA'!$D:$D=3),
        'Individual data from NASA'!T:T
    )
)</f>
        <v>7.5729952285000008</v>
      </c>
      <c r="Y182" cm="1">
        <f t="array" ref="Y182">AVERAGE(
    IF(
        ('Individual data from NASA'!$B:$B=$B182) *
        ('Individual data from NASA'!$C:$C=$G182) *
        ('Individual data from NASA'!$K:$K=$O182) *
        ('Individual data from NASA'!$D:$D=3),
        'Individual data from NASA'!U:U
    )
)</f>
        <v>13.985087499999999</v>
      </c>
      <c r="Z182" cm="1">
        <f t="array" ref="Z182">AVERAGE(
    IF(
        ('Individual data from NASA'!$B:$B=$B182) *
        ('Individual data from NASA'!$C:$C=$G182) *
        ('Individual data from NASA'!$K:$K=$O182) *
        ('Individual data from NASA'!$D:$D=3),
        'Individual data from NASA'!V:V
    )
)</f>
        <v>33.237687500000007</v>
      </c>
      <c r="AD182" t="str">
        <f t="shared" si="12"/>
        <v>Moore (2015)|AAFEX-I|Ground|CFM56-2C1|30|Eg no 3 Mid power</v>
      </c>
      <c r="AW182" s="13"/>
      <c r="AZ182" t="s">
        <v>232</v>
      </c>
    </row>
    <row r="183" spans="1:52" x14ac:dyDescent="0.2">
      <c r="A183" t="s">
        <v>32</v>
      </c>
      <c r="B183" t="s">
        <v>2</v>
      </c>
      <c r="C183" t="s">
        <v>110</v>
      </c>
      <c r="D183" t="s">
        <v>112</v>
      </c>
      <c r="E183">
        <v>30</v>
      </c>
      <c r="F183" t="s">
        <v>217</v>
      </c>
      <c r="G183" t="s">
        <v>8</v>
      </c>
      <c r="I183">
        <v>18.600000000000001</v>
      </c>
      <c r="J183">
        <v>1.6</v>
      </c>
      <c r="K183">
        <v>1148</v>
      </c>
      <c r="L183">
        <v>13.6</v>
      </c>
      <c r="M183">
        <v>279.85666666666663</v>
      </c>
      <c r="N183">
        <v>279.85666666666663</v>
      </c>
      <c r="O183">
        <v>85</v>
      </c>
      <c r="P183">
        <v>3041.9999999999995</v>
      </c>
      <c r="Q183" cm="1">
        <f t="array" ref="Q183">AVERAGE(
    IF(
        ('Individual data from NASA'!$B:$B=$B183) *
        ('Individual data from NASA'!$C:$C=$G183) *
        ('Individual data from NASA'!$K:$K=$O183) *
        ('Individual data from NASA'!$D:$D=3),
        'Individual data from NASA'!M:M
    )
)</f>
        <v>1660000000000000</v>
      </c>
      <c r="R183" cm="1">
        <f t="array" ref="R183">AVERAGE(
    IF(
        ('Individual data from NASA'!$B:$B=$B183) *
        ('Individual data from NASA'!$C:$C=$G183) *
        ('Individual data from NASA'!$K:$K=$O183) *
        ('Individual data from NASA'!$D:$D=3),
        'Individual data from NASA'!N:N
    )
)</f>
        <v>1.6865E+16</v>
      </c>
      <c r="S183" cm="1">
        <f t="array" ref="S183">AVERAGE(
    IF(
        ('Individual data from NASA'!$B:$B=$B183) *
        ('Individual data from NASA'!$C:$C=$G183) *
        ('Individual data from NASA'!$K:$K=$O183) *
        ('Individual data from NASA'!$D:$D=3),
        'Individual data from NASA'!O:O
    )
)</f>
        <v>1.86E+16</v>
      </c>
      <c r="T183" cm="1">
        <f t="array" ref="T183">AVERAGE(
    IF(
        ('Individual data from NASA'!$B:$B=$B183) *
        ('Individual data from NASA'!$C:$C=$G183) *
        ('Individual data from NASA'!$K:$K=$O183) *
        ('Individual data from NASA'!$D:$D=3),
        'Individual data from NASA'!P:P
    )
)</f>
        <v>125.95</v>
      </c>
      <c r="U183" cm="1">
        <f t="array" ref="U183">AVERAGE(
    IF(
        ('Individual data from NASA'!$B:$B=$B183) *
        ('Individual data from NASA'!$C:$C=$G183) *
        ('Individual data from NASA'!$K:$K=$O183) *
        ('Individual data from NASA'!$D:$D=3),
        'Individual data from NASA'!Q:Q
    )
)</f>
        <v>0.63456560775000004</v>
      </c>
      <c r="V183" cm="1">
        <f t="array" ref="V183">AVERAGE(
    IF(
        ('Individual data from NASA'!$B:$B=$B183) *
        ('Individual data from NASA'!$C:$C=$G183) *
        ('Individual data from NASA'!$K:$K=$O183) *
        ('Individual data from NASA'!$D:$D=3),
        'Individual data from NASA'!R:R
    )
)</f>
        <v>0.36543439225000002</v>
      </c>
      <c r="W183" cm="1">
        <f t="array" ref="W183">AVERAGE(
    IF(
        ('Individual data from NASA'!$B:$B=$B183) *
        ('Individual data from NASA'!$C:$C=$G183) *
        ('Individual data from NASA'!$K:$K=$O183) *
        ('Individual data from NASA'!$D:$D=3),
        'Individual data from NASA'!S:S
    )
)</f>
        <v>57.464189609999998</v>
      </c>
      <c r="X183" cm="1">
        <f t="array" ref="X183">AVERAGE(
    IF(
        ('Individual data from NASA'!$B:$B=$B183) *
        ('Individual data from NASA'!$C:$C=$G183) *
        ('Individual data from NASA'!$K:$K=$O183) *
        ('Individual data from NASA'!$D:$D=3),
        'Individual data from NASA'!T:T
    )
)</f>
        <v>36.66411038975</v>
      </c>
      <c r="Y183" cm="1">
        <f t="array" ref="Y183">AVERAGE(
    IF(
        ('Individual data from NASA'!$B:$B=$B183) *
        ('Individual data from NASA'!$C:$C=$G183) *
        ('Individual data from NASA'!$K:$K=$O183) *
        ('Individual data from NASA'!$D:$D=3),
        'Individual data from NASA'!U:U
    )
)</f>
        <v>13.513366666666668</v>
      </c>
      <c r="Z183" cm="1">
        <f t="array" ref="Z183">AVERAGE(
    IF(
        ('Individual data from NASA'!$B:$B=$B183) *
        ('Individual data from NASA'!$C:$C=$G183) *
        ('Individual data from NASA'!$K:$K=$O183) *
        ('Individual data from NASA'!$D:$D=3),
        'Individual data from NASA'!V:V
    )
)</f>
        <v>61.86196666666666</v>
      </c>
      <c r="AD183" t="str">
        <f t="shared" si="12"/>
        <v>Moore (2015)|AAFEX-I|Ground|CFM56-2C1|30|Eg no 3 Climb</v>
      </c>
      <c r="AW183" s="13"/>
      <c r="AZ183" t="s">
        <v>232</v>
      </c>
    </row>
    <row r="184" spans="1:52" x14ac:dyDescent="0.2">
      <c r="A184" t="s">
        <v>32</v>
      </c>
      <c r="B184" t="s">
        <v>2</v>
      </c>
      <c r="C184" t="s">
        <v>110</v>
      </c>
      <c r="D184" t="s">
        <v>112</v>
      </c>
      <c r="E184">
        <v>30</v>
      </c>
      <c r="F184" t="s">
        <v>212</v>
      </c>
      <c r="G184" t="s">
        <v>8</v>
      </c>
      <c r="I184">
        <v>18.600000000000001</v>
      </c>
      <c r="J184">
        <v>1.6</v>
      </c>
      <c r="K184">
        <v>1148</v>
      </c>
      <c r="L184">
        <v>13.6</v>
      </c>
      <c r="M184">
        <v>282.22499999999997</v>
      </c>
      <c r="N184">
        <v>282.22499999999997</v>
      </c>
      <c r="O184">
        <v>100</v>
      </c>
      <c r="P184">
        <v>3218.4</v>
      </c>
      <c r="Q184" cm="1">
        <f t="array" ref="Q184">AVERAGE(
    IF(
        ('Individual data from NASA'!$B:$B=$B184) *
        ('Individual data from NASA'!$C:$C=$G184) *
        ('Individual data from NASA'!$K:$K=$O184) *
        ('Individual data from NASA'!$D:$D=3),
        'Individual data from NASA'!M:M
    )
)</f>
        <v>1929500000000000</v>
      </c>
      <c r="R184" cm="1">
        <f t="array" ref="R184">AVERAGE(
    IF(
        ('Individual data from NASA'!$B:$B=$B184) *
        ('Individual data from NASA'!$C:$C=$G184) *
        ('Individual data from NASA'!$K:$K=$O184) *
        ('Individual data from NASA'!$D:$D=3),
        'Individual data from NASA'!N:N
    )
)</f>
        <v>1.35475E+16</v>
      </c>
      <c r="S184" cm="1">
        <f t="array" ref="S184">AVERAGE(
    IF(
        ('Individual data from NASA'!$B:$B=$B184) *
        ('Individual data from NASA'!$C:$C=$G184) *
        ('Individual data from NASA'!$K:$K=$O184) *
        ('Individual data from NASA'!$D:$D=3),
        'Individual data from NASA'!O:O
    )
)</f>
        <v>1.54425E+16</v>
      </c>
      <c r="T184" cm="1">
        <f t="array" ref="T184">AVERAGE(
    IF(
        ('Individual data from NASA'!$B:$B=$B184) *
        ('Individual data from NASA'!$C:$C=$G184) *
        ('Individual data from NASA'!$K:$K=$O184) *
        ('Individual data from NASA'!$D:$D=3),
        'Individual data from NASA'!P:P
    )
)</f>
        <v>171.7</v>
      </c>
      <c r="U184" cm="1">
        <f t="array" ref="U184">AVERAGE(
    IF(
        ('Individual data from NASA'!$B:$B=$B184) *
        ('Individual data from NASA'!$C:$C=$G184) *
        ('Individual data from NASA'!$K:$K=$O184) *
        ('Individual data from NASA'!$D:$D=3),
        'Individual data from NASA'!Q:Q
    )
)</f>
        <v>0.62749999999999995</v>
      </c>
      <c r="V184" cm="1">
        <f t="array" ref="V184">AVERAGE(
    IF(
        ('Individual data from NASA'!$B:$B=$B184) *
        ('Individual data from NASA'!$C:$C=$G184) *
        ('Individual data from NASA'!$K:$K=$O184) *
        ('Individual data from NASA'!$D:$D=3),
        'Individual data from NASA'!R:R
    )
)</f>
        <v>0.3725</v>
      </c>
      <c r="W184" cm="1">
        <f t="array" ref="W184">AVERAGE(
    IF(
        ('Individual data from NASA'!$B:$B=$B184) *
        ('Individual data from NASA'!$C:$C=$G184) *
        ('Individual data from NASA'!$K:$K=$O184) *
        ('Individual data from NASA'!$D:$D=3),
        'Individual data from NASA'!S:S
    )
)</f>
        <v>55.841536899999994</v>
      </c>
      <c r="X184" cm="1">
        <f t="array" ref="X184">AVERAGE(
    IF(
        ('Individual data from NASA'!$B:$B=$B184) *
        ('Individual data from NASA'!$C:$C=$G184) *
        ('Individual data from NASA'!$K:$K=$O184) *
        ('Individual data from NASA'!$D:$D=3),
        'Individual data from NASA'!T:T
    )
)</f>
        <v>40.326463099999998</v>
      </c>
      <c r="Y184" cm="1">
        <f t="array" ref="Y184">AVERAGE(
    IF(
        ('Individual data from NASA'!$B:$B=$B184) *
        ('Individual data from NASA'!$C:$C=$G184) *
        ('Individual data from NASA'!$K:$K=$O184) *
        ('Individual data from NASA'!$D:$D=3),
        'Individual data from NASA'!U:U
    )
)</f>
        <v>13.839674999999998</v>
      </c>
      <c r="Z184" cm="1">
        <f t="array" ref="Z184">AVERAGE(
    IF(
        ('Individual data from NASA'!$B:$B=$B184) *
        ('Individual data from NASA'!$C:$C=$G184) *
        ('Individual data from NASA'!$K:$K=$O184) *
        ('Individual data from NASA'!$D:$D=3),
        'Individual data from NASA'!V:V
    )
)</f>
        <v>70.202875000000006</v>
      </c>
      <c r="AD184" t="str">
        <f t="shared" si="12"/>
        <v>Moore (2015)|AAFEX-I|Ground|CFM56-2C1|30|Eg no 3 Take-off</v>
      </c>
      <c r="AW184" s="13"/>
      <c r="AZ184" t="s">
        <v>232</v>
      </c>
    </row>
    <row r="185" spans="1:52" x14ac:dyDescent="0.2">
      <c r="A185" t="s">
        <v>32</v>
      </c>
      <c r="B185" t="s">
        <v>2</v>
      </c>
      <c r="C185" t="s">
        <v>110</v>
      </c>
      <c r="D185" t="s">
        <v>112</v>
      </c>
      <c r="E185">
        <v>30</v>
      </c>
      <c r="F185" t="s">
        <v>213</v>
      </c>
      <c r="G185" t="s">
        <v>12</v>
      </c>
      <c r="H185" t="s">
        <v>8</v>
      </c>
      <c r="I185">
        <v>0</v>
      </c>
      <c r="J185">
        <v>0</v>
      </c>
      <c r="K185">
        <v>19</v>
      </c>
      <c r="L185">
        <v>15.5</v>
      </c>
      <c r="M185">
        <v>281.39285714285711</v>
      </c>
      <c r="N185">
        <v>281.39285714285711</v>
      </c>
      <c r="O185">
        <v>4</v>
      </c>
      <c r="P185">
        <v>457.2</v>
      </c>
      <c r="Q185" t="e" cm="1">
        <f t="array" ref="Q185">AVERAGE(
    IF(
        ('Individual data from NASA'!$B:$B=$B185) *
        ('Individual data from NASA'!$C:$C=$G185) *
        ('Individual data from NASA'!$K:$K=$O185) *
        ('Individual data from NASA'!$D:$D=3),
        'Individual data from NASA'!M:M
    )
)</f>
        <v>#DIV/0!</v>
      </c>
      <c r="R185" t="e" cm="1">
        <f t="array" ref="R185">AVERAGE(
    IF(
        ('Individual data from NASA'!$B:$B=$B185) *
        ('Individual data from NASA'!$C:$C=$G185) *
        ('Individual data from NASA'!$K:$K=$O185) *
        ('Individual data from NASA'!$D:$D=3),
        'Individual data from NASA'!N:N
    )
)</f>
        <v>#DIV/0!</v>
      </c>
      <c r="S185" t="e" cm="1">
        <f t="array" ref="S185">AVERAGE(
    IF(
        ('Individual data from NASA'!$B:$B=$B185) *
        ('Individual data from NASA'!$C:$C=$G185) *
        ('Individual data from NASA'!$K:$K=$O185) *
        ('Individual data from NASA'!$D:$D=3),
        'Individual data from NASA'!O:O
    )
)</f>
        <v>#DIV/0!</v>
      </c>
      <c r="T185" t="e" cm="1">
        <f t="array" ref="T185">AVERAGE(
    IF(
        ('Individual data from NASA'!$B:$B=$B185) *
        ('Individual data from NASA'!$C:$C=$G185) *
        ('Individual data from NASA'!$K:$K=$O185) *
        ('Individual data from NASA'!$D:$D=3),
        'Individual data from NASA'!P:P
    )
)</f>
        <v>#DIV/0!</v>
      </c>
      <c r="U185" t="e" cm="1">
        <f t="array" ref="U185">AVERAGE(
    IF(
        ('Individual data from NASA'!$B:$B=$B185) *
        ('Individual data from NASA'!$C:$C=$G185) *
        ('Individual data from NASA'!$K:$K=$O185) *
        ('Individual data from NASA'!$D:$D=3),
        'Individual data from NASA'!Q:Q
    )
)</f>
        <v>#DIV/0!</v>
      </c>
      <c r="V185" t="e" cm="1">
        <f t="array" ref="V185">AVERAGE(
    IF(
        ('Individual data from NASA'!$B:$B=$B185) *
        ('Individual data from NASA'!$C:$C=$G185) *
        ('Individual data from NASA'!$K:$K=$O185) *
        ('Individual data from NASA'!$D:$D=3),
        'Individual data from NASA'!R:R
    )
)</f>
        <v>#DIV/0!</v>
      </c>
      <c r="W185" t="e" cm="1">
        <f t="array" ref="W185">AVERAGE(
    IF(
        ('Individual data from NASA'!$B:$B=$B185) *
        ('Individual data from NASA'!$C:$C=$G185) *
        ('Individual data from NASA'!$K:$K=$O185) *
        ('Individual data from NASA'!$D:$D=3),
        'Individual data from NASA'!S:S
    )
)</f>
        <v>#DIV/0!</v>
      </c>
      <c r="X185" t="e" cm="1">
        <f t="array" ref="X185">AVERAGE(
    IF(
        ('Individual data from NASA'!$B:$B=$B185) *
        ('Individual data from NASA'!$C:$C=$G185) *
        ('Individual data from NASA'!$K:$K=$O185) *
        ('Individual data from NASA'!$D:$D=3),
        'Individual data from NASA'!T:T
    )
)</f>
        <v>#DIV/0!</v>
      </c>
      <c r="Y185" t="e" cm="1">
        <f t="array" ref="Y185">AVERAGE(
    IF(
        ('Individual data from NASA'!$B:$B=$B185) *
        ('Individual data from NASA'!$C:$C=$G185) *
        ('Individual data from NASA'!$K:$K=$O185) *
        ('Individual data from NASA'!$D:$D=3),
        'Individual data from NASA'!U:U
    )
)</f>
        <v>#DIV/0!</v>
      </c>
      <c r="Z185" t="e" cm="1">
        <f t="array" ref="Z185">AVERAGE(
    IF(
        ('Individual data from NASA'!$B:$B=$B185) *
        ('Individual data from NASA'!$C:$C=$G185) *
        ('Individual data from NASA'!$K:$K=$O185) *
        ('Individual data from NASA'!$D:$D=3),
        'Individual data from NASA'!V:V
    )
)</f>
        <v>#DIV/0!</v>
      </c>
      <c r="AD185" t="str">
        <f t="shared" si="12"/>
        <v>Moore (2015)|AAFEX-I|Ground|CFM56-2C1|30|Eg no 3 Idle (min)</v>
      </c>
      <c r="AE185" s="13" cm="1">
        <f t="array" ref="AE185">I185 / _xlfn.XLOOKUP($AD185 &amp; "|" &amp; $H185, $AD:$AD &amp; "|" &amp; $G:$G, I:I)</f>
        <v>0</v>
      </c>
      <c r="AF185" s="13" cm="1">
        <f t="array" ref="AF185">J185 / _xlfn.XLOOKUP($AD185 &amp; "|" &amp; $H185, $AD:$AD &amp; "|" &amp; $G:$G, J:J)</f>
        <v>0</v>
      </c>
      <c r="AG185" s="13" cm="1">
        <f t="array" ref="AG185">K185 / _xlfn.XLOOKUP($AD185 &amp; "|" &amp; $H185, $AD:$AD &amp; "|" &amp; $G:$G, K:K)</f>
        <v>1.6550522648083623E-2</v>
      </c>
      <c r="AH185" s="13" cm="1">
        <f t="array" ref="AH185">L185 / _xlfn.XLOOKUP($AD185 &amp; "|" &amp; $H185, $AD:$AD &amp; "|" &amp; $G:$G, L:L)</f>
        <v>1.1397058823529411</v>
      </c>
      <c r="AI185" s="13" cm="1">
        <f t="array" ref="AI185">M185 / _xlfn.XLOOKUP($AD185 &amp; "|" &amp; $H185, $AD:$AD &amp; "|" &amp; $G:$G, M:M)</f>
        <v>1.0006049648681661</v>
      </c>
      <c r="AJ185" s="13" cm="1">
        <f t="array" ref="AJ185">N185 / _xlfn.XLOOKUP($AD185 &amp; "|" &amp; $H185, $AD:$AD &amp; "|" &amp; $G:$G, N:N)</f>
        <v>1.0006049648681661</v>
      </c>
      <c r="AK185" s="13" cm="1">
        <f t="array" ref="AK185">O185 / _xlfn.XLOOKUP($AD185 &amp; "|" &amp; $H185, $AD:$AD &amp; "|" &amp; $G:$G, O:O)</f>
        <v>1</v>
      </c>
      <c r="AL185" s="13" cm="1">
        <f t="array" ref="AL185">P185 / _xlfn.XLOOKUP($AD185 &amp; "|" &amp; $H185, $AD:$AD &amp; "|" &amp; $G:$G, P:P)</f>
        <v>1</v>
      </c>
      <c r="AM185" s="13" t="e" cm="1">
        <f t="array" ref="AM185">Q185 / _xlfn.XLOOKUP($AD185 &amp; "|" &amp; $H185, $AD:$AD &amp; "|" &amp; $G:$G, Q:Q)</f>
        <v>#DIV/0!</v>
      </c>
      <c r="AN185" s="13" t="e" cm="1">
        <f t="array" ref="AN185">R185 / _xlfn.XLOOKUP($AD185 &amp; "|" &amp; $H185, $AD:$AD &amp; "|" &amp; $G:$G, R:R)</f>
        <v>#DIV/0!</v>
      </c>
      <c r="AO185" s="13" t="e" cm="1">
        <f t="array" ref="AO185">S185 / _xlfn.XLOOKUP($AD185 &amp; "|" &amp; $H185, $AD:$AD &amp; "|" &amp; $G:$G, S:S)</f>
        <v>#DIV/0!</v>
      </c>
      <c r="AP185" s="13" t="e" cm="1">
        <f t="array" ref="AP185">T185 / _xlfn.XLOOKUP($AD185 &amp; "|" &amp; $H185, $AD:$AD &amp; "|" &amp; $G:$G, T:T)</f>
        <v>#DIV/0!</v>
      </c>
      <c r="AQ185" s="13" t="e" cm="1">
        <f t="array" ref="AQ185">U185 / _xlfn.XLOOKUP($AD185 &amp; "|" &amp; $H185, $AD:$AD &amp; "|" &amp; $G:$G, U:U)</f>
        <v>#DIV/0!</v>
      </c>
      <c r="AR185" s="13" t="e" cm="1">
        <f t="array" ref="AR185">V185 / _xlfn.XLOOKUP($AD185 &amp; "|" &amp; $H185, $AD:$AD &amp; "|" &amp; $G:$G, V:V)</f>
        <v>#DIV/0!</v>
      </c>
      <c r="AS185" s="13" t="e" cm="1">
        <f t="array" ref="AS185">W185 / _xlfn.XLOOKUP($AD185 &amp; "|" &amp; $H185, $AD:$AD &amp; "|" &amp; $G:$G, W:W)</f>
        <v>#DIV/0!</v>
      </c>
      <c r="AT185" s="13" t="e" cm="1">
        <f t="array" ref="AT185">X185 / _xlfn.XLOOKUP($AD185 &amp; "|" &amp; $H185, $AD:$AD &amp; "|" &amp; $G:$G, X:X)</f>
        <v>#DIV/0!</v>
      </c>
      <c r="AU185" s="13" t="e" cm="1">
        <f t="array" ref="AU185">Y185 / _xlfn.XLOOKUP($AD185 &amp; "|" &amp; $H185, $AD:$AD &amp; "|" &amp; $G:$G, Y:Y)</f>
        <v>#DIV/0!</v>
      </c>
      <c r="AV185" s="13" t="e" cm="1">
        <f t="array" ref="AV185">Z185 / _xlfn.XLOOKUP($AD185 &amp; "|" &amp; $H185, $AD:$AD &amp; "|" &amp; $G:$G, Z:Z)</f>
        <v>#DIV/0!</v>
      </c>
      <c r="AW185" s="13" cm="1">
        <f t="array" ref="AW185">_xlfn.XLOOKUP($AD185 &amp; "|" &amp; $H185, $AD:$AD &amp; "|" &amp; $G:$G, L:L)</f>
        <v>13.6</v>
      </c>
      <c r="AY185" s="13"/>
      <c r="AZ185" t="s">
        <v>232</v>
      </c>
    </row>
    <row r="186" spans="1:52" x14ac:dyDescent="0.2">
      <c r="A186" t="s">
        <v>32</v>
      </c>
      <c r="B186" t="s">
        <v>2</v>
      </c>
      <c r="C186" t="s">
        <v>110</v>
      </c>
      <c r="D186" t="s">
        <v>112</v>
      </c>
      <c r="E186">
        <v>30</v>
      </c>
      <c r="F186" t="s">
        <v>214</v>
      </c>
      <c r="G186" t="s">
        <v>12</v>
      </c>
      <c r="H186" t="s">
        <v>8</v>
      </c>
      <c r="I186">
        <v>0</v>
      </c>
      <c r="J186">
        <v>0</v>
      </c>
      <c r="K186">
        <v>19</v>
      </c>
      <c r="L186">
        <v>15.5</v>
      </c>
      <c r="M186">
        <v>281.08333333333331</v>
      </c>
      <c r="N186">
        <v>281.08333333333331</v>
      </c>
      <c r="O186">
        <v>7</v>
      </c>
      <c r="P186">
        <v>561.096</v>
      </c>
      <c r="Q186" cm="1">
        <f t="array" ref="Q186">AVERAGE(
    IF(
        ('Individual data from NASA'!$B:$B=$B186) *
        ('Individual data from NASA'!$C:$C=$G186) *
        ('Individual data from NASA'!$K:$K=$O186) *
        ('Individual data from NASA'!$D:$D=3),
        'Individual data from NASA'!M:M
    )
)</f>
        <v>53266666666666.664</v>
      </c>
      <c r="R186" cm="1">
        <f t="array" ref="R186">AVERAGE(
    IF(
        ('Individual data from NASA'!$B:$B=$B186) *
        ('Individual data from NASA'!$C:$C=$G186) *
        ('Individual data from NASA'!$K:$K=$O186) *
        ('Individual data from NASA'!$D:$D=3),
        'Individual data from NASA'!N:N
    )
)</f>
        <v>5455000000000000</v>
      </c>
      <c r="S186" cm="1">
        <f t="array" ref="S186">AVERAGE(
    IF(
        ('Individual data from NASA'!$B:$B=$B186) *
        ('Individual data from NASA'!$C:$C=$G186) *
        ('Individual data from NASA'!$K:$K=$O186) *
        ('Individual data from NASA'!$D:$D=3),
        'Individual data from NASA'!O:O
    )
)</f>
        <v>5508333333333333</v>
      </c>
      <c r="T186" cm="1">
        <f t="array" ref="T186">AVERAGE(
    IF(
        ('Individual data from NASA'!$B:$B=$B186) *
        ('Individual data from NASA'!$C:$C=$G186) *
        ('Individual data from NASA'!$K:$K=$O186) *
        ('Individual data from NASA'!$D:$D=3),
        'Individual data from NASA'!P:P
    )
)</f>
        <v>4.12</v>
      </c>
      <c r="U186" cm="1">
        <f t="array" ref="U186">AVERAGE(
    IF(
        ('Individual data from NASA'!$B:$B=$B186) *
        ('Individual data from NASA'!$C:$C=$G186) *
        ('Individual data from NASA'!$K:$K=$O186) *
        ('Individual data from NASA'!$D:$D=3),
        'Individual data from NASA'!Q:Q
    )
)</f>
        <v>0.79300000000000004</v>
      </c>
      <c r="V186" cm="1">
        <f t="array" ref="V186">AVERAGE(
    IF(
        ('Individual data from NASA'!$B:$B=$B186) *
        ('Individual data from NASA'!$C:$C=$G186) *
        ('Individual data from NASA'!$K:$K=$O186) *
        ('Individual data from NASA'!$D:$D=3),
        'Individual data from NASA'!R:R
    )
)</f>
        <v>0.20700000000000002</v>
      </c>
      <c r="W186" cm="1">
        <f t="array" ref="W186">AVERAGE(
    IF(
        ('Individual data from NASA'!$B:$B=$B186) *
        ('Individual data from NASA'!$C:$C=$G186) *
        ('Individual data from NASA'!$K:$K=$O186) *
        ('Individual data from NASA'!$D:$D=3),
        'Individual data from NASA'!S:S
    )
)</f>
        <v>18.218274276000002</v>
      </c>
      <c r="X186" cm="1">
        <f t="array" ref="X186">AVERAGE(
    IF(
        ('Individual data from NASA'!$B:$B=$B186) *
        ('Individual data from NASA'!$C:$C=$G186) *
        ('Individual data from NASA'!$K:$K=$O186) *
        ('Individual data from NASA'!$D:$D=3),
        'Individual data from NASA'!T:T
    )
)</f>
        <v>3.8829924239999998</v>
      </c>
      <c r="Y186" cm="1">
        <f t="array" ref="Y186">AVERAGE(
    IF(
        ('Individual data from NASA'!$B:$B=$B186) *
        ('Individual data from NASA'!$C:$C=$G186) *
        ('Individual data from NASA'!$K:$K=$O186) *
        ('Individual data from NASA'!$D:$D=3),
        'Individual data from NASA'!U:U
    )
)</f>
        <v>11.825699999999999</v>
      </c>
      <c r="Z186" cm="1">
        <f t="array" ref="Z186">AVERAGE(
    IF(
        ('Individual data from NASA'!$B:$B=$B186) *
        ('Individual data from NASA'!$C:$C=$G186) *
        ('Individual data from NASA'!$K:$K=$O186) *
        ('Individual data from NASA'!$D:$D=3),
        'Individual data from NASA'!V:V
    )
)</f>
        <v>26.241683333333331</v>
      </c>
      <c r="AD186" t="str">
        <f t="shared" si="12"/>
        <v>Moore (2015)|AAFEX-I|Ground|CFM56-2C1|30|Eg no 3 Idle (approach)</v>
      </c>
      <c r="AE186" s="13" cm="1">
        <f t="array" ref="AE186">I186 / _xlfn.XLOOKUP($AD186 &amp; "|" &amp; $H186, $AD:$AD &amp; "|" &amp; $G:$G, I:I)</f>
        <v>0</v>
      </c>
      <c r="AF186" s="13" cm="1">
        <f t="array" ref="AF186">J186 / _xlfn.XLOOKUP($AD186 &amp; "|" &amp; $H186, $AD:$AD &amp; "|" &amp; $G:$G, J:J)</f>
        <v>0</v>
      </c>
      <c r="AG186" s="13" cm="1">
        <f t="array" ref="AG186">K186 / _xlfn.XLOOKUP($AD186 &amp; "|" &amp; $H186, $AD:$AD &amp; "|" &amp; $G:$G, K:K)</f>
        <v>1.6550522648083623E-2</v>
      </c>
      <c r="AH186" s="13" cm="1">
        <f t="array" ref="AH186">L186 / _xlfn.XLOOKUP($AD186 &amp; "|" &amp; $H186, $AD:$AD &amp; "|" &amp; $G:$G, L:L)</f>
        <v>1.1397058823529411</v>
      </c>
      <c r="AI186" s="13" cm="1">
        <f t="array" ref="AI186">M186 / _xlfn.XLOOKUP($AD186 &amp; "|" &amp; $H186, $AD:$AD &amp; "|" &amp; $G:$G, M:M)</f>
        <v>0.99806806445639484</v>
      </c>
      <c r="AJ186" s="13" cm="1">
        <f t="array" ref="AJ186">N186 / _xlfn.XLOOKUP($AD186 &amp; "|" &amp; $H186, $AD:$AD &amp; "|" &amp; $G:$G, N:N)</f>
        <v>0.99806806445639484</v>
      </c>
      <c r="AK186" s="13" cm="1">
        <f t="array" ref="AK186">O186 / _xlfn.XLOOKUP($AD186 &amp; "|" &amp; $H186, $AD:$AD &amp; "|" &amp; $G:$G, O:O)</f>
        <v>1</v>
      </c>
      <c r="AL186" s="13" cm="1">
        <f t="array" ref="AL186">P186 / _xlfn.XLOOKUP($AD186 &amp; "|" &amp; $H186, $AD:$AD &amp; "|" &amp; $G:$G, P:P)</f>
        <v>1</v>
      </c>
      <c r="AM186" s="13" cm="1">
        <f t="array" ref="AM186">Q186 / _xlfn.XLOOKUP($AD186 &amp; "|" &amp; $H186, $AD:$AD &amp; "|" &amp; $G:$G, Q:Q)</f>
        <v>2.8676536563481382E-2</v>
      </c>
      <c r="AN186" s="13" cm="1">
        <f t="array" ref="AN186">R186 / _xlfn.XLOOKUP($AD186 &amp; "|" &amp; $H186, $AD:$AD &amp; "|" &amp; $G:$G, R:R)</f>
        <v>0.11832971800433839</v>
      </c>
      <c r="AO186" s="13" cm="1">
        <f t="array" ref="AO186">S186 / _xlfn.XLOOKUP($AD186 &amp; "|" &amp; $H186, $AD:$AD &amp; "|" &amp; $G:$G, S:S)</f>
        <v>0.11318493150684932</v>
      </c>
      <c r="AP186" s="13" cm="1">
        <f t="array" ref="AP186">T186 / _xlfn.XLOOKUP($AD186 &amp; "|" &amp; $H186, $AD:$AD &amp; "|" &amp; $G:$G, T:T)</f>
        <v>0.34143646408839778</v>
      </c>
      <c r="AQ186" s="13" t="e" cm="1">
        <f t="array" ref="AQ186">U186 / _xlfn.XLOOKUP($AD186 &amp; "|" &amp; $H186, $AD:$AD &amp; "|" &amp; $G:$G, U:U)</f>
        <v>#DIV/0!</v>
      </c>
      <c r="AR186" s="13" t="e" cm="1">
        <f t="array" ref="AR186">V186 / _xlfn.XLOOKUP($AD186 &amp; "|" &amp; $H186, $AD:$AD &amp; "|" &amp; $G:$G, V:V)</f>
        <v>#DIV/0!</v>
      </c>
      <c r="AS186" s="13" t="e" cm="1">
        <f t="array" ref="AS186">W186 / _xlfn.XLOOKUP($AD186 &amp; "|" &amp; $H186, $AD:$AD &amp; "|" &amp; $G:$G, W:W)</f>
        <v>#DIV/0!</v>
      </c>
      <c r="AT186" s="13" t="e" cm="1">
        <f t="array" ref="AT186">X186 / _xlfn.XLOOKUP($AD186 &amp; "|" &amp; $H186, $AD:$AD &amp; "|" &amp; $G:$G, X:X)</f>
        <v>#DIV/0!</v>
      </c>
      <c r="AU186" s="13" cm="1">
        <f t="array" ref="AU186">Y186 / _xlfn.XLOOKUP($AD186 &amp; "|" &amp; $H186, $AD:$AD &amp; "|" &amp; $G:$G, Y:Y)</f>
        <v>0.76408761708586148</v>
      </c>
      <c r="AV186" s="13" cm="1">
        <f t="array" ref="AV186">Z186 / _xlfn.XLOOKUP($AD186 &amp; "|" &amp; $H186, $AD:$AD &amp; "|" &amp; $G:$G, Z:Z)</f>
        <v>1.1320443925048858</v>
      </c>
      <c r="AW186" s="13" cm="1">
        <f t="array" ref="AW186">_xlfn.XLOOKUP($AD186 &amp; "|" &amp; $H186, $AD:$AD &amp; "|" &amp; $G:$G, L:L)</f>
        <v>13.6</v>
      </c>
      <c r="AY186" s="13"/>
      <c r="AZ186" t="s">
        <v>232</v>
      </c>
    </row>
    <row r="187" spans="1:52" x14ac:dyDescent="0.2">
      <c r="A187" t="s">
        <v>32</v>
      </c>
      <c r="B187" t="s">
        <v>2</v>
      </c>
      <c r="C187" t="s">
        <v>110</v>
      </c>
      <c r="D187" t="s">
        <v>112</v>
      </c>
      <c r="E187">
        <v>30</v>
      </c>
      <c r="F187" t="s">
        <v>215</v>
      </c>
      <c r="G187" t="s">
        <v>12</v>
      </c>
      <c r="H187" t="s">
        <v>8</v>
      </c>
      <c r="I187">
        <v>0</v>
      </c>
      <c r="J187">
        <v>0</v>
      </c>
      <c r="K187">
        <v>19</v>
      </c>
      <c r="L187">
        <v>15.5</v>
      </c>
      <c r="M187">
        <v>281.375</v>
      </c>
      <c r="N187">
        <v>281.375</v>
      </c>
      <c r="O187">
        <v>30</v>
      </c>
      <c r="P187">
        <v>1231.2000000000003</v>
      </c>
      <c r="Q187" cm="1">
        <f t="array" ref="Q187">AVERAGE(
    IF(
        ('Individual data from NASA'!$B:$B=$B187) *
        ('Individual data from NASA'!$C:$C=$G187) *
        ('Individual data from NASA'!$K:$K=$O187) *
        ('Individual data from NASA'!$D:$D=3),
        'Individual data from NASA'!M:M
    )
)</f>
        <v>19850000000000</v>
      </c>
      <c r="R187" cm="1">
        <f t="array" ref="R187">AVERAGE(
    IF(
        ('Individual data from NASA'!$B:$B=$B187) *
        ('Individual data from NASA'!$C:$C=$G187) *
        ('Individual data from NASA'!$K:$K=$O187) *
        ('Individual data from NASA'!$D:$D=3),
        'Individual data from NASA'!N:N
    )
)</f>
        <v>1371250000000000</v>
      </c>
      <c r="S187" cm="1">
        <f t="array" ref="S187">AVERAGE(
    IF(
        ('Individual data from NASA'!$B:$B=$B187) *
        ('Individual data from NASA'!$C:$C=$G187) *
        ('Individual data from NASA'!$K:$K=$O187) *
        ('Individual data from NASA'!$D:$D=3),
        'Individual data from NASA'!O:O
    )
)</f>
        <v>1402500000000000</v>
      </c>
      <c r="T187" cm="1">
        <f t="array" ref="T187">AVERAGE(
    IF(
        ('Individual data from NASA'!$B:$B=$B187) *
        ('Individual data from NASA'!$C:$C=$G187) *
        ('Individual data from NASA'!$K:$K=$O187) *
        ('Individual data from NASA'!$D:$D=3),
        'Individual data from NASA'!P:P
    )
)</f>
        <v>2.7767499999999998</v>
      </c>
      <c r="U187" cm="1">
        <f t="array" ref="U187">AVERAGE(
    IF(
        ('Individual data from NASA'!$B:$B=$B187) *
        ('Individual data from NASA'!$C:$C=$G187) *
        ('Individual data from NASA'!$K:$K=$O187) *
        ('Individual data from NASA'!$D:$D=3),
        'Individual data from NASA'!Q:Q
    )
)</f>
        <v>0.7466666666666667</v>
      </c>
      <c r="V187" cm="1">
        <f t="array" ref="V187">AVERAGE(
    IF(
        ('Individual data from NASA'!$B:$B=$B187) *
        ('Individual data from NASA'!$C:$C=$G187) *
        ('Individual data from NASA'!$K:$K=$O187) *
        ('Individual data from NASA'!$D:$D=3),
        'Individual data from NASA'!R:R
    )
)</f>
        <v>0.25333333333333335</v>
      </c>
      <c r="W187" cm="1">
        <f t="array" ref="W187">AVERAGE(
    IF(
        ('Individual data from NASA'!$B:$B=$B187) *
        ('Individual data from NASA'!$C:$C=$G187) *
        ('Individual data from NASA'!$K:$K=$O187) *
        ('Individual data from NASA'!$D:$D=3),
        'Individual data from NASA'!S:S
    )
)</f>
        <v>0.67864680066666672</v>
      </c>
      <c r="X187" cm="1">
        <f t="array" ref="X187">AVERAGE(
    IF(
        ('Individual data from NASA'!$B:$B=$B187) *
        ('Individual data from NASA'!$C:$C=$G187) *
        ('Individual data from NASA'!$K:$K=$O187) *
        ('Individual data from NASA'!$D:$D=3),
        'Individual data from NASA'!T:T
    )
)</f>
        <v>0.21479799933333332</v>
      </c>
      <c r="Y187" cm="1">
        <f t="array" ref="Y187">AVERAGE(
    IF(
        ('Individual data from NASA'!$B:$B=$B187) *
        ('Individual data from NASA'!$C:$C=$G187) *
        ('Individual data from NASA'!$K:$K=$O187) *
        ('Individual data from NASA'!$D:$D=3),
        'Individual data from NASA'!U:U
    )
)</f>
        <v>14.297150000000002</v>
      </c>
      <c r="Z187" cm="1">
        <f t="array" ref="Z187">AVERAGE(
    IF(
        ('Individual data from NASA'!$B:$B=$B187) *
        ('Individual data from NASA'!$C:$C=$G187) *
        ('Individual data from NASA'!$K:$K=$O187) *
        ('Individual data from NASA'!$D:$D=3),
        'Individual data from NASA'!V:V
    )
)</f>
        <v>43.910625000000003</v>
      </c>
      <c r="AD187" t="str">
        <f t="shared" si="12"/>
        <v>Moore (2015)|AAFEX-I|Ground|CFM56-2C1|30|Eg no 3 Intermediate</v>
      </c>
      <c r="AE187" s="13" cm="1">
        <f t="array" ref="AE187">I187 / _xlfn.XLOOKUP($AD187 &amp; "|" &amp; $H187, $AD:$AD &amp; "|" &amp; $G:$G, I:I)</f>
        <v>0</v>
      </c>
      <c r="AF187" s="13" cm="1">
        <f t="array" ref="AF187">J187 / _xlfn.XLOOKUP($AD187 &amp; "|" &amp; $H187, $AD:$AD &amp; "|" &amp; $G:$G, J:J)</f>
        <v>0</v>
      </c>
      <c r="AG187" s="13" cm="1">
        <f t="array" ref="AG187">K187 / _xlfn.XLOOKUP($AD187 &amp; "|" &amp; $H187, $AD:$AD &amp; "|" &amp; $G:$G, K:K)</f>
        <v>1.6550522648083623E-2</v>
      </c>
      <c r="AH187" s="13" cm="1">
        <f t="array" ref="AH187">L187 / _xlfn.XLOOKUP($AD187 &amp; "|" &amp; $H187, $AD:$AD &amp; "|" &amp; $G:$G, L:L)</f>
        <v>1.1397058823529411</v>
      </c>
      <c r="AI187" s="13" cm="1">
        <f t="array" ref="AI187">M187 / _xlfn.XLOOKUP($AD187 &amp; "|" &amp; $H187, $AD:$AD &amp; "|" &amp; $G:$G, M:M)</f>
        <v>1.0073550316419042</v>
      </c>
      <c r="AJ187" s="13" cm="1">
        <f t="array" ref="AJ187">N187 / _xlfn.XLOOKUP($AD187 &amp; "|" &amp; $H187, $AD:$AD &amp; "|" &amp; $G:$G, N:N)</f>
        <v>1.0073550316419042</v>
      </c>
      <c r="AK187" s="13" cm="1">
        <f t="array" ref="AK187">O187 / _xlfn.XLOOKUP($AD187 &amp; "|" &amp; $H187, $AD:$AD &amp; "|" &amp; $G:$G, O:O)</f>
        <v>1</v>
      </c>
      <c r="AL187" s="13" cm="1">
        <f t="array" ref="AL187">P187 / _xlfn.XLOOKUP($AD187 &amp; "|" &amp; $H187, $AD:$AD &amp; "|" &amp; $G:$G, P:P)</f>
        <v>1</v>
      </c>
      <c r="AM187" s="13" cm="1">
        <f t="array" ref="AM187">Q187 / _xlfn.XLOOKUP($AD187 &amp; "|" &amp; $H187, $AD:$AD &amp; "|" &amp; $G:$G, Q:Q)</f>
        <v>1.1426809210526315E-2</v>
      </c>
      <c r="AN187" s="13" cm="1">
        <f t="array" ref="AN187">R187 / _xlfn.XLOOKUP($AD187 &amp; "|" &amp; $H187, $AD:$AD &amp; "|" &amp; $G:$G, R:R)</f>
        <v>4.2794248773963442E-2</v>
      </c>
      <c r="AO187" s="13" cm="1">
        <f t="array" ref="AO187">S187 / _xlfn.XLOOKUP($AD187 &amp; "|" &amp; $H187, $AD:$AD &amp; "|" &amp; $G:$G, S:S)</f>
        <v>4.1424050632911394E-2</v>
      </c>
      <c r="AP187" s="13" cm="1">
        <f t="array" ref="AP187">T187 / _xlfn.XLOOKUP($AD187 &amp; "|" &amp; $H187, $AD:$AD &amp; "|" &amp; $G:$G, T:T)</f>
        <v>0.22459125310532094</v>
      </c>
      <c r="AQ187" s="13" t="e" cm="1">
        <f t="array" ref="AQ187">U187 / _xlfn.XLOOKUP($AD187 &amp; "|" &amp; $H187, $AD:$AD &amp; "|" &amp; $G:$G, U:U)</f>
        <v>#DIV/0!</v>
      </c>
      <c r="AR187" s="13" t="e" cm="1">
        <f t="array" ref="AR187">V187 / _xlfn.XLOOKUP($AD187 &amp; "|" &amp; $H187, $AD:$AD &amp; "|" &amp; $G:$G, V:V)</f>
        <v>#DIV/0!</v>
      </c>
      <c r="AS187" s="13" t="e" cm="1">
        <f t="array" ref="AS187">W187 / _xlfn.XLOOKUP($AD187 &amp; "|" &amp; $H187, $AD:$AD &amp; "|" &amp; $G:$G, W:W)</f>
        <v>#DIV/0!</v>
      </c>
      <c r="AT187" s="13" t="e" cm="1">
        <f t="array" ref="AT187">X187 / _xlfn.XLOOKUP($AD187 &amp; "|" &amp; $H187, $AD:$AD &amp; "|" &amp; $G:$G, X:X)</f>
        <v>#DIV/0!</v>
      </c>
      <c r="AU187" s="13" cm="1">
        <f t="array" ref="AU187">Y187 / _xlfn.XLOOKUP($AD187 &amp; "|" &amp; $H187, $AD:$AD &amp; "|" &amp; $G:$G, Y:Y)</f>
        <v>1.0789336372055118</v>
      </c>
      <c r="AV187" s="13" cm="1">
        <f t="array" ref="AV187">Z187 / _xlfn.XLOOKUP($AD187 &amp; "|" &amp; $H187, $AD:$AD &amp; "|" &amp; $G:$G, Z:Z)</f>
        <v>2.0212171516611335</v>
      </c>
      <c r="AW187" s="13" cm="1">
        <f t="array" ref="AW187">_xlfn.XLOOKUP($AD187 &amp; "|" &amp; $H187, $AD:$AD &amp; "|" &amp; $G:$G, L:L)</f>
        <v>13.6</v>
      </c>
      <c r="AY187" s="13"/>
      <c r="AZ187" t="s">
        <v>232</v>
      </c>
    </row>
    <row r="188" spans="1:52" x14ac:dyDescent="0.2">
      <c r="A188" t="s">
        <v>32</v>
      </c>
      <c r="B188" t="s">
        <v>2</v>
      </c>
      <c r="C188" t="s">
        <v>110</v>
      </c>
      <c r="D188" t="s">
        <v>112</v>
      </c>
      <c r="E188">
        <v>30</v>
      </c>
      <c r="F188" t="s">
        <v>216</v>
      </c>
      <c r="G188" t="s">
        <v>12</v>
      </c>
      <c r="H188" t="s">
        <v>8</v>
      </c>
      <c r="I188">
        <v>0</v>
      </c>
      <c r="J188">
        <v>0</v>
      </c>
      <c r="K188">
        <v>19</v>
      </c>
      <c r="L188">
        <v>15.5</v>
      </c>
      <c r="M188">
        <v>281.375</v>
      </c>
      <c r="N188">
        <v>281.375</v>
      </c>
      <c r="O188">
        <v>65</v>
      </c>
      <c r="P188">
        <v>2167.1999999999998</v>
      </c>
      <c r="Q188" cm="1">
        <f t="array" ref="Q188">AVERAGE(
    IF(
        ('Individual data from NASA'!$B:$B=$B188) *
        ('Individual data from NASA'!$C:$C=$G188) *
        ('Individual data from NASA'!$K:$K=$O188) *
        ('Individual data from NASA'!$D:$D=3),
        'Individual data from NASA'!M:M
    )
)</f>
        <v>60250000000000</v>
      </c>
      <c r="R188" cm="1">
        <f t="array" ref="R188">AVERAGE(
    IF(
        ('Individual data from NASA'!$B:$B=$B188) *
        ('Individual data from NASA'!$C:$C=$G188) *
        ('Individual data from NASA'!$K:$K=$O188) *
        ('Individual data from NASA'!$D:$D=3),
        'Individual data from NASA'!N:N
    )
)</f>
        <v>355250000000000</v>
      </c>
      <c r="S188" cm="1">
        <f t="array" ref="S188">AVERAGE(
    IF(
        ('Individual data from NASA'!$B:$B=$B188) *
        ('Individual data from NASA'!$C:$C=$G188) *
        ('Individual data from NASA'!$K:$K=$O188) *
        ('Individual data from NASA'!$D:$D=3),
        'Individual data from NASA'!O:O
    )
)</f>
        <v>415000000000000</v>
      </c>
      <c r="T188" cm="1">
        <f t="array" ref="T188">AVERAGE(
    IF(
        ('Individual data from NASA'!$B:$B=$B188) *
        ('Individual data from NASA'!$C:$C=$G188) *
        ('Individual data from NASA'!$K:$K=$O188) *
        ('Individual data from NASA'!$D:$D=3),
        'Individual data from NASA'!P:P
    )
)</f>
        <v>3.6674999999999995</v>
      </c>
      <c r="U188" cm="1">
        <f t="array" ref="U188">AVERAGE(
    IF(
        ('Individual data from NASA'!$B:$B=$B188) *
        ('Individual data from NASA'!$C:$C=$G188) *
        ('Individual data from NASA'!$K:$K=$O188) *
        ('Individual data from NASA'!$D:$D=3),
        'Individual data from NASA'!Q:Q
    )
)</f>
        <v>0.7097500000000001</v>
      </c>
      <c r="V188" cm="1">
        <f t="array" ref="V188">AVERAGE(
    IF(
        ('Individual data from NASA'!$B:$B=$B188) *
        ('Individual data from NASA'!$C:$C=$G188) *
        ('Individual data from NASA'!$K:$K=$O188) *
        ('Individual data from NASA'!$D:$D=3),
        'Individual data from NASA'!R:R
    )
)</f>
        <v>0.29025000000000001</v>
      </c>
      <c r="W188" cm="1">
        <f t="array" ref="W188">AVERAGE(
    IF(
        ('Individual data from NASA'!$B:$B=$B188) *
        ('Individual data from NASA'!$C:$C=$G188) *
        ('Individual data from NASA'!$K:$K=$O188) *
        ('Individual data from NASA'!$D:$D=3),
        'Individual data from NASA'!S:S
    )
)</f>
        <v>3.0969121346666668</v>
      </c>
      <c r="X188" cm="1">
        <f t="array" ref="X188">AVERAGE(
    IF(
        ('Individual data from NASA'!$B:$B=$B188) *
        ('Individual data from NASA'!$C:$C=$G188) *
        ('Individual data from NASA'!$K:$K=$O188) *
        ('Individual data from NASA'!$D:$D=3),
        'Individual data from NASA'!T:T
    )
)</f>
        <v>1.1433562653333336</v>
      </c>
      <c r="Y188" cm="1">
        <f t="array" ref="Y188">AVERAGE(
    IF(
        ('Individual data from NASA'!$B:$B=$B188) *
        ('Individual data from NASA'!$C:$C=$G188) *
        ('Individual data from NASA'!$K:$K=$O188) *
        ('Individual data from NASA'!$D:$D=3),
        'Individual data from NASA'!U:U
    )
)</f>
        <v>18.249325000000002</v>
      </c>
      <c r="Z188" cm="1">
        <f t="array" ref="Z188">AVERAGE(
    IF(
        ('Individual data from NASA'!$B:$B=$B188) *
        ('Individual data from NASA'!$C:$C=$G188) *
        ('Individual data from NASA'!$K:$K=$O188) *
        ('Individual data from NASA'!$D:$D=3),
        'Individual data from NASA'!V:V
    )
)</f>
        <v>55.044775000000001</v>
      </c>
      <c r="AD188" t="str">
        <f t="shared" si="12"/>
        <v>Moore (2015)|AAFEX-I|Ground|CFM56-2C1|30|Eg no 3 Mid power</v>
      </c>
      <c r="AE188" s="13" cm="1">
        <f t="array" ref="AE188">I188 / _xlfn.XLOOKUP($AD188 &amp; "|" &amp; $H188, $AD:$AD &amp; "|" &amp; $G:$G, I:I)</f>
        <v>0</v>
      </c>
      <c r="AF188" s="13" cm="1">
        <f t="array" ref="AF188">J188 / _xlfn.XLOOKUP($AD188 &amp; "|" &amp; $H188, $AD:$AD &amp; "|" &amp; $G:$G, J:J)</f>
        <v>0</v>
      </c>
      <c r="AG188" s="13" cm="1">
        <f t="array" ref="AG188">K188 / _xlfn.XLOOKUP($AD188 &amp; "|" &amp; $H188, $AD:$AD &amp; "|" &amp; $G:$G, K:K)</f>
        <v>1.6550522648083623E-2</v>
      </c>
      <c r="AH188" s="13" cm="1">
        <f t="array" ref="AH188">L188 / _xlfn.XLOOKUP($AD188 &amp; "|" &amp; $H188, $AD:$AD &amp; "|" &amp; $G:$G, L:L)</f>
        <v>1.1397058823529411</v>
      </c>
      <c r="AI188" s="13" cm="1">
        <f t="array" ref="AI188">M188 / _xlfn.XLOOKUP($AD188 &amp; "|" &amp; $H188, $AD:$AD &amp; "|" &amp; $G:$G, M:M)</f>
        <v>1.0070086489710708</v>
      </c>
      <c r="AJ188" s="13" cm="1">
        <f t="array" ref="AJ188">N188 / _xlfn.XLOOKUP($AD188 &amp; "|" &amp; $H188, $AD:$AD &amp; "|" &amp; $G:$G, N:N)</f>
        <v>1.0070086489710708</v>
      </c>
      <c r="AK188" s="13" cm="1">
        <f t="array" ref="AK188">O188 / _xlfn.XLOOKUP($AD188 &amp; "|" &amp; $H188, $AD:$AD &amp; "|" &amp; $G:$G, O:O)</f>
        <v>1</v>
      </c>
      <c r="AL188" s="13" cm="1">
        <f t="array" ref="AL188">P188 / _xlfn.XLOOKUP($AD188 &amp; "|" &amp; $H188, $AD:$AD &amp; "|" &amp; $G:$G, P:P)</f>
        <v>1</v>
      </c>
      <c r="AM188" s="13" cm="1">
        <f t="array" ref="AM188">Q188 / _xlfn.XLOOKUP($AD188 &amp; "|" &amp; $H188, $AD:$AD &amp; "|" &amp; $G:$G, Q:Q)</f>
        <v>4.4342226310947565E-2</v>
      </c>
      <c r="AN188" s="13" cm="1">
        <f t="array" ref="AN188">R188 / _xlfn.XLOOKUP($AD188 &amp; "|" &amp; $H188, $AD:$AD &amp; "|" &amp; $G:$G, R:R)</f>
        <v>1.5820529948786462E-2</v>
      </c>
      <c r="AO188" s="13" cm="1">
        <f t="array" ref="AO188">S188 / _xlfn.XLOOKUP($AD188 &amp; "|" &amp; $H188, $AD:$AD &amp; "|" &amp; $G:$G, S:S)</f>
        <v>1.7482885729331227E-2</v>
      </c>
      <c r="AP188" s="13" cm="1">
        <f t="array" ref="AP188">T188 / _xlfn.XLOOKUP($AD188 &amp; "|" &amp; $H188, $AD:$AD &amp; "|" &amp; $G:$G, T:T)</f>
        <v>0.11624405705229794</v>
      </c>
      <c r="AQ188" s="13" cm="1">
        <f t="array" ref="AQ188">U188 / _xlfn.XLOOKUP($AD188 &amp; "|" &amp; $H188, $AD:$AD &amp; "|" &amp; $G:$G, U:U)</f>
        <v>0.78101788170563979</v>
      </c>
      <c r="AR188" s="13" cm="1">
        <f t="array" ref="AR188">V188 / _xlfn.XLOOKUP($AD188 &amp; "|" &amp; $H188, $AD:$AD &amp; "|" &amp; $G:$G, V:V)</f>
        <v>3.1808219178082195</v>
      </c>
      <c r="AS188" s="13" cm="1">
        <f t="array" ref="AS188">W188 / _xlfn.XLOOKUP($AD188 &amp; "|" &amp; $H188, $AD:$AD &amp; "|" &amp; $G:$G, W:W)</f>
        <v>4.6942161137190019E-2</v>
      </c>
      <c r="AT188" s="13" cm="1">
        <f t="array" ref="AT188">X188 / _xlfn.XLOOKUP($AD188 &amp; "|" &amp; $H188, $AD:$AD &amp; "|" &amp; $G:$G, X:X)</f>
        <v>0.15097807813617237</v>
      </c>
      <c r="AU188" s="13" cm="1">
        <f t="array" ref="AU188">Y188 / _xlfn.XLOOKUP($AD188 &amp; "|" &amp; $H188, $AD:$AD &amp; "|" &amp; $G:$G, Y:Y)</f>
        <v>1.3049131798424576</v>
      </c>
      <c r="AV188" s="13" cm="1">
        <f t="array" ref="AV188">Z188 / _xlfn.XLOOKUP($AD188 &amp; "|" &amp; $H188, $AD:$AD &amp; "|" &amp; $G:$G, Z:Z)</f>
        <v>1.6560952081879941</v>
      </c>
      <c r="AW188" s="13" cm="1">
        <f t="array" ref="AW188">_xlfn.XLOOKUP($AD188 &amp; "|" &amp; $H188, $AD:$AD &amp; "|" &amp; $G:$G, L:L)</f>
        <v>13.6</v>
      </c>
      <c r="AY188" s="13"/>
      <c r="AZ188" t="s">
        <v>232</v>
      </c>
    </row>
    <row r="189" spans="1:52" x14ac:dyDescent="0.2">
      <c r="A189" t="s">
        <v>32</v>
      </c>
      <c r="B189" t="s">
        <v>2</v>
      </c>
      <c r="C189" t="s">
        <v>110</v>
      </c>
      <c r="D189" t="s">
        <v>112</v>
      </c>
      <c r="E189">
        <v>30</v>
      </c>
      <c r="F189" t="s">
        <v>217</v>
      </c>
      <c r="G189" t="s">
        <v>12</v>
      </c>
      <c r="H189" t="s">
        <v>8</v>
      </c>
      <c r="I189">
        <v>0</v>
      </c>
      <c r="J189">
        <v>0</v>
      </c>
      <c r="K189">
        <v>19</v>
      </c>
      <c r="L189">
        <v>15.5</v>
      </c>
      <c r="M189">
        <v>281.22499999999997</v>
      </c>
      <c r="N189">
        <v>281.22499999999997</v>
      </c>
      <c r="O189">
        <v>85</v>
      </c>
      <c r="P189">
        <v>3041.9999999999995</v>
      </c>
      <c r="Q189" cm="1">
        <f t="array" ref="Q189">AVERAGE(
    IF(
        ('Individual data from NASA'!$B:$B=$B189) *
        ('Individual data from NASA'!$C:$C=$G189) *
        ('Individual data from NASA'!$K:$K=$O189) *
        ('Individual data from NASA'!$D:$D=3),
        'Individual data from NASA'!M:M
    )
)</f>
        <v>267500000000000</v>
      </c>
      <c r="R189" cm="1">
        <f t="array" ref="R189">AVERAGE(
    IF(
        ('Individual data from NASA'!$B:$B=$B189) *
        ('Individual data from NASA'!$C:$C=$G189) *
        ('Individual data from NASA'!$K:$K=$O189) *
        ('Individual data from NASA'!$D:$D=3),
        'Individual data from NASA'!N:N
    )
)</f>
        <v>339500000000000</v>
      </c>
      <c r="S189" cm="1">
        <f t="array" ref="S189">AVERAGE(
    IF(
        ('Individual data from NASA'!$B:$B=$B189) *
        ('Individual data from NASA'!$C:$C=$G189) *
        ('Individual data from NASA'!$K:$K=$O189) *
        ('Individual data from NASA'!$D:$D=3),
        'Individual data from NASA'!O:O
    )
)</f>
        <v>607500000000000</v>
      </c>
      <c r="T189" cm="1">
        <f t="array" ref="T189">AVERAGE(
    IF(
        ('Individual data from NASA'!$B:$B=$B189) *
        ('Individual data from NASA'!$C:$C=$G189) *
        ('Individual data from NASA'!$K:$K=$O189) *
        ('Individual data from NASA'!$D:$D=3),
        'Individual data from NASA'!P:P
    )
)</f>
        <v>17.024999999999999</v>
      </c>
      <c r="U189" cm="1">
        <f t="array" ref="U189">AVERAGE(
    IF(
        ('Individual data from NASA'!$B:$B=$B189) *
        ('Individual data from NASA'!$C:$C=$G189) *
        ('Individual data from NASA'!$K:$K=$O189) *
        ('Individual data from NASA'!$D:$D=3),
        'Individual data from NASA'!Q:Q
    )
)</f>
        <v>0.87490404249999998</v>
      </c>
      <c r="V189" cm="1">
        <f t="array" ref="V189">AVERAGE(
    IF(
        ('Individual data from NASA'!$B:$B=$B189) *
        ('Individual data from NASA'!$C:$C=$G189) *
        ('Individual data from NASA'!$K:$K=$O189) *
        ('Individual data from NASA'!$D:$D=3),
        'Individual data from NASA'!R:R
    )
)</f>
        <v>0.12509595749999999</v>
      </c>
      <c r="W189" cm="1">
        <f t="array" ref="W189">AVERAGE(
    IF(
        ('Individual data from NASA'!$B:$B=$B189) *
        ('Individual data from NASA'!$C:$C=$G189) *
        ('Individual data from NASA'!$K:$K=$O189) *
        ('Individual data from NASA'!$D:$D=3),
        'Individual data from NASA'!S:S
    )
)</f>
        <v>15.800407421000001</v>
      </c>
      <c r="X189" cm="1">
        <f t="array" ref="X189">AVERAGE(
    IF(
        ('Individual data from NASA'!$B:$B=$B189) *
        ('Individual data from NASA'!$C:$C=$G189) *
        ('Individual data from NASA'!$K:$K=$O189) *
        ('Individual data from NASA'!$D:$D=3),
        'Individual data from NASA'!T:T
    )
)</f>
        <v>2.0336325789999998</v>
      </c>
      <c r="Y189" cm="1">
        <f t="array" ref="Y189">AVERAGE(
    IF(
        ('Individual data from NASA'!$B:$B=$B189) *
        ('Individual data from NASA'!$C:$C=$G189) *
        ('Individual data from NASA'!$K:$K=$O189) *
        ('Individual data from NASA'!$D:$D=3),
        'Individual data from NASA'!U:U
    )
)</f>
        <v>20.575675</v>
      </c>
      <c r="Z189" cm="1">
        <f t="array" ref="Z189">AVERAGE(
    IF(
        ('Individual data from NASA'!$B:$B=$B189) *
        ('Individual data from NASA'!$C:$C=$G189) *
        ('Individual data from NASA'!$K:$K=$O189) *
        ('Individual data from NASA'!$D:$D=3),
        'Individual data from NASA'!V:V
    )
)</f>
        <v>59.579749999999997</v>
      </c>
      <c r="AD189" t="str">
        <f t="shared" si="12"/>
        <v>Moore (2015)|AAFEX-I|Ground|CFM56-2C1|30|Eg no 3 Climb</v>
      </c>
      <c r="AE189" s="13" cm="1">
        <f t="array" ref="AE189">I189 / _xlfn.XLOOKUP($AD189 &amp; "|" &amp; $H189, $AD:$AD &amp; "|" &amp; $G:$G, I:I)</f>
        <v>0</v>
      </c>
      <c r="AF189" s="13" cm="1">
        <f t="array" ref="AF189">J189 / _xlfn.XLOOKUP($AD189 &amp; "|" &amp; $H189, $AD:$AD &amp; "|" &amp; $G:$G, J:J)</f>
        <v>0</v>
      </c>
      <c r="AG189" s="13" cm="1">
        <f t="array" ref="AG189">K189 / _xlfn.XLOOKUP($AD189 &amp; "|" &amp; $H189, $AD:$AD &amp; "|" &amp; $G:$G, K:K)</f>
        <v>1.6550522648083623E-2</v>
      </c>
      <c r="AH189" s="13" cm="1">
        <f t="array" ref="AH189">L189 / _xlfn.XLOOKUP($AD189 &amp; "|" &amp; $H189, $AD:$AD &amp; "|" &amp; $G:$G, L:L)</f>
        <v>1.1397058823529411</v>
      </c>
      <c r="AI189" s="13" cm="1">
        <f t="array" ref="AI189">M189 / _xlfn.XLOOKUP($AD189 &amp; "|" &amp; $H189, $AD:$AD &amp; "|" &amp; $G:$G, M:M)</f>
        <v>1.0048894076729755</v>
      </c>
      <c r="AJ189" s="13" cm="1">
        <f t="array" ref="AJ189">N189 / _xlfn.XLOOKUP($AD189 &amp; "|" &amp; $H189, $AD:$AD &amp; "|" &amp; $G:$G, N:N)</f>
        <v>1.0048894076729755</v>
      </c>
      <c r="AK189" s="13" cm="1">
        <f t="array" ref="AK189">O189 / _xlfn.XLOOKUP($AD189 &amp; "|" &amp; $H189, $AD:$AD &amp; "|" &amp; $G:$G, O:O)</f>
        <v>1</v>
      </c>
      <c r="AL189" s="13" cm="1">
        <f t="array" ref="AL189">P189 / _xlfn.XLOOKUP($AD189 &amp; "|" &amp; $H189, $AD:$AD &amp; "|" &amp; $G:$G, P:P)</f>
        <v>1</v>
      </c>
      <c r="AM189" s="13" cm="1">
        <f t="array" ref="AM189">Q189 / _xlfn.XLOOKUP($AD189 &amp; "|" &amp; $H189, $AD:$AD &amp; "|" &amp; $G:$G, Q:Q)</f>
        <v>0.16114457831325302</v>
      </c>
      <c r="AN189" s="13" cm="1">
        <f t="array" ref="AN189">R189 / _xlfn.XLOOKUP($AD189 &amp; "|" &amp; $H189, $AD:$AD &amp; "|" &amp; $G:$G, R:R)</f>
        <v>2.013044767269493E-2</v>
      </c>
      <c r="AO189" s="13" cm="1">
        <f t="array" ref="AO189">S189 / _xlfn.XLOOKUP($AD189 &amp; "|" &amp; $H189, $AD:$AD &amp; "|" &amp; $G:$G, S:S)</f>
        <v>3.2661290322580645E-2</v>
      </c>
      <c r="AP189" s="13" cm="1">
        <f t="array" ref="AP189">T189 / _xlfn.XLOOKUP($AD189 &amp; "|" &amp; $H189, $AD:$AD &amp; "|" &amp; $G:$G, T:T)</f>
        <v>0.13517268757443429</v>
      </c>
      <c r="AQ189" s="13" cm="1">
        <f t="array" ref="AQ189">U189 / _xlfn.XLOOKUP($AD189 &amp; "|" &amp; $H189, $AD:$AD &amp; "|" &amp; $G:$G, U:U)</f>
        <v>1.3787448166347618</v>
      </c>
      <c r="AR189" s="13" cm="1">
        <f t="array" ref="AR189">V189 / _xlfn.XLOOKUP($AD189 &amp; "|" &amp; $H189, $AD:$AD &amp; "|" &amp; $G:$G, V:V)</f>
        <v>0.34232124877403347</v>
      </c>
      <c r="AS189" s="13" cm="1">
        <f t="array" ref="AS189">W189 / _xlfn.XLOOKUP($AD189 &amp; "|" &amp; $H189, $AD:$AD &amp; "|" &amp; $G:$G, W:W)</f>
        <v>0.27496093703286806</v>
      </c>
      <c r="AT189" s="13" cm="1">
        <f t="array" ref="AT189">X189 / _xlfn.XLOOKUP($AD189 &amp; "|" &amp; $H189, $AD:$AD &amp; "|" &amp; $G:$G, X:X)</f>
        <v>5.5466573643323205E-2</v>
      </c>
      <c r="AU189" s="13" cm="1">
        <f t="array" ref="AU189">Y189 / _xlfn.XLOOKUP($AD189 &amp; "|" &amp; $H189, $AD:$AD &amp; "|" &amp; $G:$G, Y:Y)</f>
        <v>1.5226164957659205</v>
      </c>
      <c r="AV189" s="13" cm="1">
        <f t="array" ref="AV189">Z189 / _xlfn.XLOOKUP($AD189 &amp; "|" &amp; $H189, $AD:$AD &amp; "|" &amp; $G:$G, Z:Z)</f>
        <v>0.96310791929774842</v>
      </c>
      <c r="AW189" s="13" cm="1">
        <f t="array" ref="AW189">_xlfn.XLOOKUP($AD189 &amp; "|" &amp; $H189, $AD:$AD &amp; "|" &amp; $G:$G, L:L)</f>
        <v>13.6</v>
      </c>
      <c r="AY189" s="13"/>
      <c r="AZ189" t="s">
        <v>232</v>
      </c>
    </row>
    <row r="190" spans="1:52" x14ac:dyDescent="0.2">
      <c r="A190" t="s">
        <v>32</v>
      </c>
      <c r="B190" t="s">
        <v>2</v>
      </c>
      <c r="C190" t="s">
        <v>110</v>
      </c>
      <c r="D190" t="s">
        <v>112</v>
      </c>
      <c r="E190">
        <v>30</v>
      </c>
      <c r="F190" t="s">
        <v>212</v>
      </c>
      <c r="G190" t="s">
        <v>12</v>
      </c>
      <c r="H190" t="s">
        <v>8</v>
      </c>
      <c r="I190">
        <v>0</v>
      </c>
      <c r="J190">
        <v>0</v>
      </c>
      <c r="K190">
        <v>19</v>
      </c>
      <c r="L190">
        <v>15.5</v>
      </c>
      <c r="M190">
        <v>281.54999999999995</v>
      </c>
      <c r="N190">
        <v>281.54999999999995</v>
      </c>
      <c r="O190">
        <v>100</v>
      </c>
      <c r="P190">
        <v>3218.4</v>
      </c>
      <c r="Q190" cm="1">
        <f t="array" ref="Q190">AVERAGE(
    IF(
        ('Individual data from NASA'!$B:$B=$B190) *
        ('Individual data from NASA'!$C:$C=$G190) *
        ('Individual data from NASA'!$K:$K=$O190) *
        ('Individual data from NASA'!$D:$D=3),
        'Individual data from NASA'!M:M
    )
)</f>
        <v>472000000000000</v>
      </c>
      <c r="R190" cm="1">
        <f t="array" ref="R190">AVERAGE(
    IF(
        ('Individual data from NASA'!$B:$B=$B190) *
        ('Individual data from NASA'!$C:$C=$G190) *
        ('Individual data from NASA'!$K:$K=$O190) *
        ('Individual data from NASA'!$D:$D=3),
        'Individual data from NASA'!N:N
    )
)</f>
        <v>715000000000000</v>
      </c>
      <c r="S190" cm="1">
        <f t="array" ref="S190">AVERAGE(
    IF(
        ('Individual data from NASA'!$B:$B=$B190) *
        ('Individual data from NASA'!$C:$C=$G190) *
        ('Individual data from NASA'!$K:$K=$O190) *
        ('Individual data from NASA'!$D:$D=3),
        'Individual data from NASA'!O:O
    )
)</f>
        <v>1190000000000000</v>
      </c>
      <c r="T190" cm="1">
        <f t="array" ref="T190">AVERAGE(
    IF(
        ('Individual data from NASA'!$B:$B=$B190) *
        ('Individual data from NASA'!$C:$C=$G190) *
        ('Individual data from NASA'!$K:$K=$O190) *
        ('Individual data from NASA'!$D:$D=3),
        'Individual data from NASA'!P:P
    )
)</f>
        <v>51</v>
      </c>
      <c r="U190" cm="1">
        <f t="array" ref="U190">AVERAGE(
    IF(
        ('Individual data from NASA'!$B:$B=$B190) *
        ('Individual data from NASA'!$C:$C=$G190) *
        ('Individual data from NASA'!$K:$K=$O190) *
        ('Individual data from NASA'!$D:$D=3),
        'Individual data from NASA'!Q:Q
    )
)</f>
        <v>0.89800000000000002</v>
      </c>
      <c r="V190" cm="1">
        <f t="array" ref="V190">AVERAGE(
    IF(
        ('Individual data from NASA'!$B:$B=$B190) *
        ('Individual data from NASA'!$C:$C=$G190) *
        ('Individual data from NASA'!$K:$K=$O190) *
        ('Individual data from NASA'!$D:$D=3),
        'Individual data from NASA'!R:R
    )
)</f>
        <v>0.10200000000000001</v>
      </c>
      <c r="W190" cm="1">
        <f t="array" ref="W190">AVERAGE(
    IF(
        ('Individual data from NASA'!$B:$B=$B190) *
        ('Individual data from NASA'!$C:$C=$G190) *
        ('Individual data from NASA'!$K:$K=$O190) *
        ('Individual data from NASA'!$D:$D=3),
        'Individual data from NASA'!S:S
    )
)</f>
        <v>16.18516451</v>
      </c>
      <c r="X190" cm="1">
        <f t="array" ref="X190">AVERAGE(
    IF(
        ('Individual data from NASA'!$B:$B=$B190) *
        ('Individual data from NASA'!$C:$C=$G190) *
        ('Individual data from NASA'!$K:$K=$O190) *
        ('Individual data from NASA'!$D:$D=3),
        'Individual data from NASA'!T:T
    )
)</f>
        <v>1.8655954925000002</v>
      </c>
      <c r="Y190" cm="1">
        <f t="array" ref="Y190">AVERAGE(
    IF(
        ('Individual data from NASA'!$B:$B=$B190) *
        ('Individual data from NASA'!$C:$C=$G190) *
        ('Individual data from NASA'!$K:$K=$O190) *
        ('Individual data from NASA'!$D:$D=3),
        'Individual data from NASA'!U:U
    )
)</f>
        <v>27.162500000000001</v>
      </c>
      <c r="Z190" cm="1">
        <f t="array" ref="Z190">AVERAGE(
    IF(
        ('Individual data from NASA'!$B:$B=$B190) *
        ('Individual data from NASA'!$C:$C=$G190) *
        ('Individual data from NASA'!$K:$K=$O190) *
        ('Individual data from NASA'!$D:$D=3),
        'Individual data from NASA'!V:V
    )
)</f>
        <v>68.949600000000004</v>
      </c>
      <c r="AD190" t="str">
        <f t="shared" si="12"/>
        <v>Moore (2015)|AAFEX-I|Ground|CFM56-2C1|30|Eg no 3 Take-off</v>
      </c>
      <c r="AE190" s="13" cm="1">
        <f t="array" ref="AE190">I190 / _xlfn.XLOOKUP($AD190 &amp; "|" &amp; $H190, $AD:$AD &amp; "|" &amp; $G:$G, I:I)</f>
        <v>0</v>
      </c>
      <c r="AF190" s="13" cm="1">
        <f t="array" ref="AF190">J190 / _xlfn.XLOOKUP($AD190 &amp; "|" &amp; $H190, $AD:$AD &amp; "|" &amp; $G:$G, J:J)</f>
        <v>0</v>
      </c>
      <c r="AG190" s="13" cm="1">
        <f t="array" ref="AG190">K190 / _xlfn.XLOOKUP($AD190 &amp; "|" &amp; $H190, $AD:$AD &amp; "|" &amp; $G:$G, K:K)</f>
        <v>1.6550522648083623E-2</v>
      </c>
      <c r="AH190" s="13" cm="1">
        <f t="array" ref="AH190">L190 / _xlfn.XLOOKUP($AD190 &amp; "|" &amp; $H190, $AD:$AD &amp; "|" &amp; $G:$G, L:L)</f>
        <v>1.1397058823529411</v>
      </c>
      <c r="AI190" s="13" cm="1">
        <f t="array" ref="AI190">M190 / _xlfn.XLOOKUP($AD190 &amp; "|" &amp; $H190, $AD:$AD &amp; "|" &amp; $G:$G, M:M)</f>
        <v>0.99760829125697581</v>
      </c>
      <c r="AJ190" s="13" cm="1">
        <f t="array" ref="AJ190">N190 / _xlfn.XLOOKUP($AD190 &amp; "|" &amp; $H190, $AD:$AD &amp; "|" &amp; $G:$G, N:N)</f>
        <v>0.99760829125697581</v>
      </c>
      <c r="AK190" s="13" cm="1">
        <f t="array" ref="AK190">O190 / _xlfn.XLOOKUP($AD190 &amp; "|" &amp; $H190, $AD:$AD &amp; "|" &amp; $G:$G, O:O)</f>
        <v>1</v>
      </c>
      <c r="AL190" s="13" cm="1">
        <f t="array" ref="AL190">P190 / _xlfn.XLOOKUP($AD190 &amp; "|" &amp; $H190, $AD:$AD &amp; "|" &amp; $G:$G, P:P)</f>
        <v>1</v>
      </c>
      <c r="AM190" s="13" cm="1">
        <f t="array" ref="AM190">Q190 / _xlfn.XLOOKUP($AD190 &amp; "|" &amp; $H190, $AD:$AD &amp; "|" &amp; $G:$G, Q:Q)</f>
        <v>0.24462295931588496</v>
      </c>
      <c r="AN190" s="13" cm="1">
        <f t="array" ref="AN190">R190 / _xlfn.XLOOKUP($AD190 &amp; "|" &amp; $H190, $AD:$AD &amp; "|" &amp; $G:$G, R:R)</f>
        <v>5.2777265178077133E-2</v>
      </c>
      <c r="AO190" s="13" cm="1">
        <f t="array" ref="AO190">S190 / _xlfn.XLOOKUP($AD190 &amp; "|" &amp; $H190, $AD:$AD &amp; "|" &amp; $G:$G, S:S)</f>
        <v>7.7060061518536505E-2</v>
      </c>
      <c r="AP190" s="13" cm="1">
        <f t="array" ref="AP190">T190 / _xlfn.XLOOKUP($AD190 &amp; "|" &amp; $H190, $AD:$AD &amp; "|" &amp; $G:$G, T:T)</f>
        <v>0.29702970297029707</v>
      </c>
      <c r="AQ190" s="13" cm="1">
        <f t="array" ref="AQ190">U190 / _xlfn.XLOOKUP($AD190 &amp; "|" &amp; $H190, $AD:$AD &amp; "|" &amp; $G:$G, U:U)</f>
        <v>1.4310756972111556</v>
      </c>
      <c r="AR190" s="13" cm="1">
        <f t="array" ref="AR190">V190 / _xlfn.XLOOKUP($AD190 &amp; "|" &amp; $H190, $AD:$AD &amp; "|" &amp; $G:$G, V:V)</f>
        <v>0.27382550335570471</v>
      </c>
      <c r="AS190" s="13" cm="1">
        <f t="array" ref="AS190">W190 / _xlfn.XLOOKUP($AD190 &amp; "|" &amp; $H190, $AD:$AD &amp; "|" &amp; $G:$G, W:W)</f>
        <v>0.28984095726061582</v>
      </c>
      <c r="AT190" s="13" cm="1">
        <f t="array" ref="AT190">X190 / _xlfn.XLOOKUP($AD190 &amp; "|" &amp; $H190, $AD:$AD &amp; "|" &amp; $G:$G, X:X)</f>
        <v>4.6262313852662183E-2</v>
      </c>
      <c r="AU190" s="13" cm="1">
        <f t="array" ref="AU190">Y190 / _xlfn.XLOOKUP($AD190 &amp; "|" &amp; $H190, $AD:$AD &amp; "|" &amp; $G:$G, Y:Y)</f>
        <v>1.9626544698484614</v>
      </c>
      <c r="AV190" s="13" cm="1">
        <f t="array" ref="AV190">Z190 / _xlfn.XLOOKUP($AD190 &amp; "|" &amp; $H190, $AD:$AD &amp; "|" &amp; $G:$G, Z:Z)</f>
        <v>0.98214781089805792</v>
      </c>
      <c r="AW190" s="13" cm="1">
        <f t="array" ref="AW190">_xlfn.XLOOKUP($AD190 &amp; "|" &amp; $H190, $AD:$AD &amp; "|" &amp; $G:$G, L:L)</f>
        <v>13.6</v>
      </c>
      <c r="AY190" s="13"/>
      <c r="AZ190" t="s">
        <v>232</v>
      </c>
    </row>
    <row r="191" spans="1:52" x14ac:dyDescent="0.2">
      <c r="A191" t="s">
        <v>32</v>
      </c>
      <c r="B191" t="s">
        <v>2</v>
      </c>
      <c r="C191" t="s">
        <v>110</v>
      </c>
      <c r="D191" t="s">
        <v>112</v>
      </c>
      <c r="E191">
        <v>30</v>
      </c>
      <c r="F191" t="s">
        <v>213</v>
      </c>
      <c r="G191" t="s">
        <v>14</v>
      </c>
      <c r="H191" t="s">
        <v>8</v>
      </c>
      <c r="I191">
        <v>8</v>
      </c>
      <c r="J191">
        <v>0.8</v>
      </c>
      <c r="K191">
        <v>699</v>
      </c>
      <c r="L191">
        <v>14.5</v>
      </c>
      <c r="M191">
        <v>277.79999999999995</v>
      </c>
      <c r="N191">
        <v>277.79999999999995</v>
      </c>
      <c r="O191">
        <v>4</v>
      </c>
      <c r="P191">
        <v>457.2</v>
      </c>
      <c r="Q191" t="e" cm="1">
        <f t="array" ref="Q191">AVERAGE(
    IF(
        ('Individual data from NASA'!$B:$B=$B191) *
        ('Individual data from NASA'!$C:$C=$G191) *
        ('Individual data from NASA'!$K:$K=$O191) *
        ('Individual data from NASA'!$D:$D=3),
        'Individual data from NASA'!M:M
    )
)</f>
        <v>#DIV/0!</v>
      </c>
      <c r="R191" t="e" cm="1">
        <f t="array" ref="R191">AVERAGE(
    IF(
        ('Individual data from NASA'!$B:$B=$B191) *
        ('Individual data from NASA'!$C:$C=$G191) *
        ('Individual data from NASA'!$K:$K=$O191) *
        ('Individual data from NASA'!$D:$D=3),
        'Individual data from NASA'!N:N
    )
)</f>
        <v>#DIV/0!</v>
      </c>
      <c r="S191" t="e" cm="1">
        <f t="array" ref="S191">AVERAGE(
    IF(
        ('Individual data from NASA'!$B:$B=$B191) *
        ('Individual data from NASA'!$C:$C=$G191) *
        ('Individual data from NASA'!$K:$K=$O191) *
        ('Individual data from NASA'!$D:$D=3),
        'Individual data from NASA'!O:O
    )
)</f>
        <v>#DIV/0!</v>
      </c>
      <c r="T191" t="e" cm="1">
        <f t="array" ref="T191">AVERAGE(
    IF(
        ('Individual data from NASA'!$B:$B=$B191) *
        ('Individual data from NASA'!$C:$C=$G191) *
        ('Individual data from NASA'!$K:$K=$O191) *
        ('Individual data from NASA'!$D:$D=3),
        'Individual data from NASA'!P:P
    )
)</f>
        <v>#DIV/0!</v>
      </c>
      <c r="U191" t="e" cm="1">
        <f t="array" ref="U191">AVERAGE(
    IF(
        ('Individual data from NASA'!$B:$B=$B191) *
        ('Individual data from NASA'!$C:$C=$G191) *
        ('Individual data from NASA'!$K:$K=$O191) *
        ('Individual data from NASA'!$D:$D=3),
        'Individual data from NASA'!Q:Q
    )
)</f>
        <v>#DIV/0!</v>
      </c>
      <c r="V191" t="e" cm="1">
        <f t="array" ref="V191">AVERAGE(
    IF(
        ('Individual data from NASA'!$B:$B=$B191) *
        ('Individual data from NASA'!$C:$C=$G191) *
        ('Individual data from NASA'!$K:$K=$O191) *
        ('Individual data from NASA'!$D:$D=3),
        'Individual data from NASA'!R:R
    )
)</f>
        <v>#DIV/0!</v>
      </c>
      <c r="W191" t="e" cm="1">
        <f t="array" ref="W191">AVERAGE(
    IF(
        ('Individual data from NASA'!$B:$B=$B191) *
        ('Individual data from NASA'!$C:$C=$G191) *
        ('Individual data from NASA'!$K:$K=$O191) *
        ('Individual data from NASA'!$D:$D=3),
        'Individual data from NASA'!S:S
    )
)</f>
        <v>#DIV/0!</v>
      </c>
      <c r="X191" t="e" cm="1">
        <f t="array" ref="X191">AVERAGE(
    IF(
        ('Individual data from NASA'!$B:$B=$B191) *
        ('Individual data from NASA'!$C:$C=$G191) *
        ('Individual data from NASA'!$K:$K=$O191) *
        ('Individual data from NASA'!$D:$D=3),
        'Individual data from NASA'!T:T
    )
)</f>
        <v>#DIV/0!</v>
      </c>
      <c r="Y191" t="e" cm="1">
        <f t="array" ref="Y191">AVERAGE(
    IF(
        ('Individual data from NASA'!$B:$B=$B191) *
        ('Individual data from NASA'!$C:$C=$G191) *
        ('Individual data from NASA'!$K:$K=$O191) *
        ('Individual data from NASA'!$D:$D=3),
        'Individual data from NASA'!U:U
    )
)</f>
        <v>#DIV/0!</v>
      </c>
      <c r="Z191" t="e" cm="1">
        <f t="array" ref="Z191">AVERAGE(
    IF(
        ('Individual data from NASA'!$B:$B=$B191) *
        ('Individual data from NASA'!$C:$C=$G191) *
        ('Individual data from NASA'!$K:$K=$O191) *
        ('Individual data from NASA'!$D:$D=3),
        'Individual data from NASA'!V:V
    )
)</f>
        <v>#DIV/0!</v>
      </c>
      <c r="AD191" t="str">
        <f t="shared" si="12"/>
        <v>Moore (2015)|AAFEX-I|Ground|CFM56-2C1|30|Eg no 3 Idle (min)</v>
      </c>
      <c r="AE191" s="13" cm="1">
        <f t="array" ref="AE191">I191 / _xlfn.XLOOKUP($AD191 &amp; "|" &amp; $H191, $AD:$AD &amp; "|" &amp; $G:$G, I:I)</f>
        <v>0.43010752688172038</v>
      </c>
      <c r="AF191" s="13" cm="1">
        <f t="array" ref="AF191">J191 / _xlfn.XLOOKUP($AD191 &amp; "|" &amp; $H191, $AD:$AD &amp; "|" &amp; $G:$G, J:J)</f>
        <v>0.5</v>
      </c>
      <c r="AG191" s="13" cm="1">
        <f t="array" ref="AG191">K191 / _xlfn.XLOOKUP($AD191 &amp; "|" &amp; $H191, $AD:$AD &amp; "|" &amp; $G:$G, K:K)</f>
        <v>0.60888501742160284</v>
      </c>
      <c r="AH191" s="13" cm="1">
        <f t="array" ref="AH191">L191 / _xlfn.XLOOKUP($AD191 &amp; "|" &amp; $H191, $AD:$AD &amp; "|" &amp; $G:$G, L:L)</f>
        <v>1.0661764705882353</v>
      </c>
      <c r="AI191" s="13" cm="1">
        <f t="array" ref="AI191">M191 / _xlfn.XLOOKUP($AD191 &amp; "|" &amp; $H191, $AD:$AD &amp; "|" &amp; $G:$G, M:M)</f>
        <v>0.98782912282403135</v>
      </c>
      <c r="AJ191" s="13" cm="1">
        <f t="array" ref="AJ191">N191 / _xlfn.XLOOKUP($AD191 &amp; "|" &amp; $H191, $AD:$AD &amp; "|" &amp; $G:$G, N:N)</f>
        <v>0.98782912282403135</v>
      </c>
      <c r="AK191" s="13" cm="1">
        <f t="array" ref="AK191">O191 / _xlfn.XLOOKUP($AD191 &amp; "|" &amp; $H191, $AD:$AD &amp; "|" &amp; $G:$G, O:O)</f>
        <v>1</v>
      </c>
      <c r="AL191" s="13" cm="1">
        <f t="array" ref="AL191">P191 / _xlfn.XLOOKUP($AD191 &amp; "|" &amp; $H191, $AD:$AD &amp; "|" &amp; $G:$G, P:P)</f>
        <v>1</v>
      </c>
      <c r="AM191" s="13" t="e" cm="1">
        <f t="array" ref="AM191">Q191 / _xlfn.XLOOKUP($AD191 &amp; "|" &amp; $H191, $AD:$AD &amp; "|" &amp; $G:$G, Q:Q)</f>
        <v>#DIV/0!</v>
      </c>
      <c r="AN191" s="13" t="e" cm="1">
        <f t="array" ref="AN191">R191 / _xlfn.XLOOKUP($AD191 &amp; "|" &amp; $H191, $AD:$AD &amp; "|" &amp; $G:$G, R:R)</f>
        <v>#DIV/0!</v>
      </c>
      <c r="AO191" s="13" t="e" cm="1">
        <f t="array" ref="AO191">S191 / _xlfn.XLOOKUP($AD191 &amp; "|" &amp; $H191, $AD:$AD &amp; "|" &amp; $G:$G, S:S)</f>
        <v>#DIV/0!</v>
      </c>
      <c r="AP191" s="13" t="e" cm="1">
        <f t="array" ref="AP191">T191 / _xlfn.XLOOKUP($AD191 &amp; "|" &amp; $H191, $AD:$AD &amp; "|" &amp; $G:$G, T:T)</f>
        <v>#DIV/0!</v>
      </c>
      <c r="AQ191" s="13" t="e" cm="1">
        <f t="array" ref="AQ191">U191 / _xlfn.XLOOKUP($AD191 &amp; "|" &amp; $H191, $AD:$AD &amp; "|" &amp; $G:$G, U:U)</f>
        <v>#DIV/0!</v>
      </c>
      <c r="AR191" s="13" t="e" cm="1">
        <f t="array" ref="AR191">V191 / _xlfn.XLOOKUP($AD191 &amp; "|" &amp; $H191, $AD:$AD &amp; "|" &amp; $G:$G, V:V)</f>
        <v>#DIV/0!</v>
      </c>
      <c r="AS191" s="13" t="e" cm="1">
        <f t="array" ref="AS191">W191 / _xlfn.XLOOKUP($AD191 &amp; "|" &amp; $H191, $AD:$AD &amp; "|" &amp; $G:$G, W:W)</f>
        <v>#DIV/0!</v>
      </c>
      <c r="AT191" s="13" t="e" cm="1">
        <f t="array" ref="AT191">X191 / _xlfn.XLOOKUP($AD191 &amp; "|" &amp; $H191, $AD:$AD &amp; "|" &amp; $G:$G, X:X)</f>
        <v>#DIV/0!</v>
      </c>
      <c r="AU191" s="13" t="e" cm="1">
        <f t="array" ref="AU191">Y191 / _xlfn.XLOOKUP($AD191 &amp; "|" &amp; $H191, $AD:$AD &amp; "|" &amp; $G:$G, Y:Y)</f>
        <v>#DIV/0!</v>
      </c>
      <c r="AV191" s="13" t="e" cm="1">
        <f t="array" ref="AV191">Z191 / _xlfn.XLOOKUP($AD191 &amp; "|" &amp; $H191, $AD:$AD &amp; "|" &amp; $G:$G, Z:Z)</f>
        <v>#DIV/0!</v>
      </c>
      <c r="AW191" s="13" cm="1">
        <f t="array" ref="AW191">_xlfn.XLOOKUP($AD191 &amp; "|" &amp; $H191, $AD:$AD &amp; "|" &amp; $G:$G, L:L)</f>
        <v>13.6</v>
      </c>
      <c r="AY191" s="13"/>
      <c r="AZ191" t="s">
        <v>232</v>
      </c>
    </row>
    <row r="192" spans="1:52" x14ac:dyDescent="0.2">
      <c r="A192" t="s">
        <v>32</v>
      </c>
      <c r="B192" t="s">
        <v>2</v>
      </c>
      <c r="C192" t="s">
        <v>110</v>
      </c>
      <c r="D192" t="s">
        <v>112</v>
      </c>
      <c r="E192">
        <v>30</v>
      </c>
      <c r="F192" t="s">
        <v>214</v>
      </c>
      <c r="G192" t="s">
        <v>14</v>
      </c>
      <c r="H192" t="s">
        <v>8</v>
      </c>
      <c r="I192">
        <v>8</v>
      </c>
      <c r="J192">
        <v>0.8</v>
      </c>
      <c r="K192">
        <v>699</v>
      </c>
      <c r="L192">
        <v>14.5</v>
      </c>
      <c r="M192">
        <v>278.58333333333331</v>
      </c>
      <c r="N192">
        <v>278.58333333333331</v>
      </c>
      <c r="O192">
        <v>7</v>
      </c>
      <c r="P192">
        <v>561.096</v>
      </c>
      <c r="Q192" cm="1">
        <f t="array" ref="Q192">AVERAGE(
    IF(
        ('Individual data from NASA'!$B:$B=$B192) *
        ('Individual data from NASA'!$C:$C=$G192) *
        ('Individual data from NASA'!$K:$K=$O192) *
        ('Individual data from NASA'!$D:$D=3),
        'Individual data from NASA'!M:M
    )
)</f>
        <v>763333333333333.38</v>
      </c>
      <c r="R192" cm="1">
        <f t="array" ref="R192">AVERAGE(
    IF(
        ('Individual data from NASA'!$B:$B=$B192) *
        ('Individual data from NASA'!$C:$C=$G192) *
        ('Individual data from NASA'!$K:$K=$O192) *
        ('Individual data from NASA'!$D:$D=3),
        'Individual data from NASA'!N:N
    )
)</f>
        <v>3.4366666666666668E+16</v>
      </c>
      <c r="S192" cm="1">
        <f t="array" ref="S192">AVERAGE(
    IF(
        ('Individual data from NASA'!$B:$B=$B192) *
        ('Individual data from NASA'!$C:$C=$G192) *
        ('Individual data from NASA'!$K:$K=$O192) *
        ('Individual data from NASA'!$D:$D=3),
        'Individual data from NASA'!O:O
    )
)</f>
        <v>3.5133333333333332E+16</v>
      </c>
      <c r="T192" cm="1">
        <f t="array" ref="T192">AVERAGE(
    IF(
        ('Individual data from NASA'!$B:$B=$B192) *
        ('Individual data from NASA'!$C:$C=$G192) *
        ('Individual data from NASA'!$K:$K=$O192) *
        ('Individual data from NASA'!$D:$D=3),
        'Individual data from NASA'!P:P
    )
)</f>
        <v>7.3299999999999992</v>
      </c>
      <c r="U192" t="e" cm="1">
        <f t="array" ref="U192">AVERAGE(
    IF(
        ('Individual data from NASA'!$B:$B=$B192) *
        ('Individual data from NASA'!$C:$C=$G192) *
        ('Individual data from NASA'!$K:$K=$O192) *
        ('Individual data from NASA'!$D:$D=3),
        'Individual data from NASA'!Q:Q
    )
)</f>
        <v>#DIV/0!</v>
      </c>
      <c r="V192" t="e" cm="1">
        <f t="array" ref="V192">AVERAGE(
    IF(
        ('Individual data from NASA'!$B:$B=$B192) *
        ('Individual data from NASA'!$C:$C=$G192) *
        ('Individual data from NASA'!$K:$K=$O192) *
        ('Individual data from NASA'!$D:$D=3),
        'Individual data from NASA'!R:R
    )
)</f>
        <v>#DIV/0!</v>
      </c>
      <c r="W192" t="e" cm="1">
        <f t="array" ref="W192">AVERAGE(
    IF(
        ('Individual data from NASA'!$B:$B=$B192) *
        ('Individual data from NASA'!$C:$C=$G192) *
        ('Individual data from NASA'!$K:$K=$O192) *
        ('Individual data from NASA'!$D:$D=3),
        'Individual data from NASA'!S:S
    )
)</f>
        <v>#DIV/0!</v>
      </c>
      <c r="X192" t="e" cm="1">
        <f t="array" ref="X192">AVERAGE(
    IF(
        ('Individual data from NASA'!$B:$B=$B192) *
        ('Individual data from NASA'!$C:$C=$G192) *
        ('Individual data from NASA'!$K:$K=$O192) *
        ('Individual data from NASA'!$D:$D=3),
        'Individual data from NASA'!T:T
    )
)</f>
        <v>#DIV/0!</v>
      </c>
      <c r="Y192" cm="1">
        <f t="array" ref="Y192">AVERAGE(
    IF(
        ('Individual data from NASA'!$B:$B=$B192) *
        ('Individual data from NASA'!$C:$C=$G192) *
        ('Individual data from NASA'!$K:$K=$O192) *
        ('Individual data from NASA'!$D:$D=3),
        'Individual data from NASA'!U:U
    )
)</f>
        <v>13.235433333333333</v>
      </c>
      <c r="Z192" cm="1">
        <f t="array" ref="Z192">AVERAGE(
    IF(
        ('Individual data from NASA'!$B:$B=$B192) *
        ('Individual data from NASA'!$C:$C=$G192) *
        ('Individual data from NASA'!$K:$K=$O192) *
        ('Individual data from NASA'!$D:$D=3),
        'Individual data from NASA'!V:V
    )
)</f>
        <v>16.318166666666666</v>
      </c>
      <c r="AD192" t="str">
        <f t="shared" si="12"/>
        <v>Moore (2015)|AAFEX-I|Ground|CFM56-2C1|30|Eg no 3 Idle (approach)</v>
      </c>
      <c r="AE192" s="13" cm="1">
        <f t="array" ref="AE192">I192 / _xlfn.XLOOKUP($AD192 &amp; "|" &amp; $H192, $AD:$AD &amp; "|" &amp; $G:$G, I:I)</f>
        <v>0.43010752688172038</v>
      </c>
      <c r="AF192" s="13" cm="1">
        <f t="array" ref="AF192">J192 / _xlfn.XLOOKUP($AD192 &amp; "|" &amp; $H192, $AD:$AD &amp; "|" &amp; $G:$G, J:J)</f>
        <v>0.5</v>
      </c>
      <c r="AG192" s="13" cm="1">
        <f t="array" ref="AG192">K192 / _xlfn.XLOOKUP($AD192 &amp; "|" &amp; $H192, $AD:$AD &amp; "|" &amp; $G:$G, K:K)</f>
        <v>0.60888501742160284</v>
      </c>
      <c r="AH192" s="13" cm="1">
        <f t="array" ref="AH192">L192 / _xlfn.XLOOKUP($AD192 &amp; "|" &amp; $H192, $AD:$AD &amp; "|" &amp; $G:$G, L:L)</f>
        <v>1.0661764705882353</v>
      </c>
      <c r="AI192" s="13" cm="1">
        <f t="array" ref="AI192">M192 / _xlfn.XLOOKUP($AD192 &amp; "|" &amp; $H192, $AD:$AD &amp; "|" &amp; $G:$G, M:M)</f>
        <v>0.98919108789734012</v>
      </c>
      <c r="AJ192" s="13" cm="1">
        <f t="array" ref="AJ192">N192 / _xlfn.XLOOKUP($AD192 &amp; "|" &amp; $H192, $AD:$AD &amp; "|" &amp; $G:$G, N:N)</f>
        <v>0.98919108789734012</v>
      </c>
      <c r="AK192" s="13" cm="1">
        <f t="array" ref="AK192">O192 / _xlfn.XLOOKUP($AD192 &amp; "|" &amp; $H192, $AD:$AD &amp; "|" &amp; $G:$G, O:O)</f>
        <v>1</v>
      </c>
      <c r="AL192" s="13" cm="1">
        <f t="array" ref="AL192">P192 / _xlfn.XLOOKUP($AD192 &amp; "|" &amp; $H192, $AD:$AD &amp; "|" &amp; $G:$G, P:P)</f>
        <v>1</v>
      </c>
      <c r="AM192" s="13" cm="1">
        <f t="array" ref="AM192">Q192 / _xlfn.XLOOKUP($AD192 &amp; "|" &amp; $H192, $AD:$AD &amp; "|" &amp; $G:$G, Q:Q)</f>
        <v>0.41094661283086587</v>
      </c>
      <c r="AN192" s="13" cm="1">
        <f t="array" ref="AN192">R192 / _xlfn.XLOOKUP($AD192 &amp; "|" &amp; $H192, $AD:$AD &amp; "|" &amp; $G:$G, R:R)</f>
        <v>0.74548083875632687</v>
      </c>
      <c r="AO192" s="13" cm="1">
        <f t="array" ref="AO192">S192 / _xlfn.XLOOKUP($AD192 &amp; "|" &amp; $H192, $AD:$AD &amp; "|" &amp; $G:$G, S:S)</f>
        <v>0.72191780821917806</v>
      </c>
      <c r="AP192" s="13" cm="1">
        <f t="array" ref="AP192">T192 / _xlfn.XLOOKUP($AD192 &amp; "|" &amp; $H192, $AD:$AD &amp; "|" &amp; $G:$G, T:T)</f>
        <v>0.60745856353591154</v>
      </c>
      <c r="AQ192" s="13" t="e" cm="1">
        <f t="array" ref="AQ192">U192 / _xlfn.XLOOKUP($AD192 &amp; "|" &amp; $H192, $AD:$AD &amp; "|" &amp; $G:$G, U:U)</f>
        <v>#DIV/0!</v>
      </c>
      <c r="AR192" s="13" t="e" cm="1">
        <f t="array" ref="AR192">V192 / _xlfn.XLOOKUP($AD192 &amp; "|" &amp; $H192, $AD:$AD &amp; "|" &amp; $G:$G, V:V)</f>
        <v>#DIV/0!</v>
      </c>
      <c r="AS192" s="13" t="e" cm="1">
        <f t="array" ref="AS192">W192 / _xlfn.XLOOKUP($AD192 &amp; "|" &amp; $H192, $AD:$AD &amp; "|" &amp; $G:$G, W:W)</f>
        <v>#DIV/0!</v>
      </c>
      <c r="AT192" s="13" t="e" cm="1">
        <f t="array" ref="AT192">X192 / _xlfn.XLOOKUP($AD192 &amp; "|" &amp; $H192, $AD:$AD &amp; "|" &amp; $G:$G, X:X)</f>
        <v>#DIV/0!</v>
      </c>
      <c r="AU192" s="13" cm="1">
        <f t="array" ref="AU192">Y192 / _xlfn.XLOOKUP($AD192 &amp; "|" &amp; $H192, $AD:$AD &amp; "|" &amp; $G:$G, Y:Y)</f>
        <v>0.85517396152155456</v>
      </c>
      <c r="AV192" s="13" cm="1">
        <f t="array" ref="AV192">Z192 / _xlfn.XLOOKUP($AD192 &amp; "|" &amp; $H192, $AD:$AD &amp; "|" &amp; $G:$G, Z:Z)</f>
        <v>0.70395213738041995</v>
      </c>
      <c r="AW192" s="13" cm="1">
        <f t="array" ref="AW192">_xlfn.XLOOKUP($AD192 &amp; "|" &amp; $H192, $AD:$AD &amp; "|" &amp; $G:$G, L:L)</f>
        <v>13.6</v>
      </c>
      <c r="AY192" s="13"/>
      <c r="AZ192" t="s">
        <v>232</v>
      </c>
    </row>
    <row r="193" spans="1:52" x14ac:dyDescent="0.2">
      <c r="A193" t="s">
        <v>32</v>
      </c>
      <c r="B193" t="s">
        <v>2</v>
      </c>
      <c r="C193" t="s">
        <v>110</v>
      </c>
      <c r="D193" t="s">
        <v>112</v>
      </c>
      <c r="E193">
        <v>30</v>
      </c>
      <c r="F193" t="s">
        <v>215</v>
      </c>
      <c r="G193" t="s">
        <v>14</v>
      </c>
      <c r="H193" t="s">
        <v>8</v>
      </c>
      <c r="I193">
        <v>8</v>
      </c>
      <c r="J193">
        <v>0.8</v>
      </c>
      <c r="K193">
        <v>699</v>
      </c>
      <c r="L193">
        <v>14.5</v>
      </c>
      <c r="M193">
        <v>278.2</v>
      </c>
      <c r="N193">
        <v>278.2</v>
      </c>
      <c r="O193">
        <v>30</v>
      </c>
      <c r="P193">
        <v>1231.2000000000003</v>
      </c>
      <c r="Q193" cm="1">
        <f t="array" ref="Q193">AVERAGE(
    IF(
        ('Individual data from NASA'!$B:$B=$B193) *
        ('Individual data from NASA'!$C:$C=$G193) *
        ('Individual data from NASA'!$K:$K=$O193) *
        ('Individual data from NASA'!$D:$D=3),
        'Individual data from NASA'!M:M
    )
)</f>
        <v>140000000000000</v>
      </c>
      <c r="R193" cm="1">
        <f t="array" ref="R193">AVERAGE(
    IF(
        ('Individual data from NASA'!$B:$B=$B193) *
        ('Individual data from NASA'!$C:$C=$G193) *
        ('Individual data from NASA'!$K:$K=$O193) *
        ('Individual data from NASA'!$D:$D=3),
        'Individual data from NASA'!N:N
    )
)</f>
        <v>1.685E+16</v>
      </c>
      <c r="S193" cm="1">
        <f t="array" ref="S193">AVERAGE(
    IF(
        ('Individual data from NASA'!$B:$B=$B193) *
        ('Individual data from NASA'!$C:$C=$G193) *
        ('Individual data from NASA'!$K:$K=$O193) *
        ('Individual data from NASA'!$D:$D=3),
        'Individual data from NASA'!O:O
    )
)</f>
        <v>1.7E+16</v>
      </c>
      <c r="T193" cm="1">
        <f t="array" ref="T193">AVERAGE(
    IF(
        ('Individual data from NASA'!$B:$B=$B193) *
        ('Individual data from NASA'!$C:$C=$G193) *
        ('Individual data from NASA'!$K:$K=$O193) *
        ('Individual data from NASA'!$D:$D=3),
        'Individual data from NASA'!P:P
    )
)</f>
        <v>3.7229999999999999</v>
      </c>
      <c r="U193" cm="1">
        <f t="array" ref="U193">AVERAGE(
    IF(
        ('Individual data from NASA'!$B:$B=$B193) *
        ('Individual data from NASA'!$C:$C=$G193) *
        ('Individual data from NASA'!$K:$K=$O193) *
        ('Individual data from NASA'!$D:$D=3),
        'Individual data from NASA'!Q:Q
    )
)</f>
        <v>0.34549999999999997</v>
      </c>
      <c r="V193" cm="1">
        <f t="array" ref="V193">AVERAGE(
    IF(
        ('Individual data from NASA'!$B:$B=$B193) *
        ('Individual data from NASA'!$C:$C=$G193) *
        ('Individual data from NASA'!$K:$K=$O193) *
        ('Individual data from NASA'!$D:$D=3),
        'Individual data from NASA'!R:R
    )
)</f>
        <v>0.65450000000000008</v>
      </c>
      <c r="W193" cm="1">
        <f t="array" ref="W193">AVERAGE(
    IF(
        ('Individual data from NASA'!$B:$B=$B193) *
        ('Individual data from NASA'!$C:$C=$G193) *
        ('Individual data from NASA'!$K:$K=$O193) *
        ('Individual data from NASA'!$D:$D=3),
        'Individual data from NASA'!S:S
    )
)</f>
        <v>14.4536666015</v>
      </c>
      <c r="X193" cm="1">
        <f t="array" ref="X193">AVERAGE(
    IF(
        ('Individual data from NASA'!$B:$B=$B193) *
        ('Individual data from NASA'!$C:$C=$G193) *
        ('Individual data from NASA'!$K:$K=$O193) *
        ('Individual data from NASA'!$D:$D=3),
        'Individual data from NASA'!T:T
    )
)</f>
        <v>25.349325400000001</v>
      </c>
      <c r="Y193" cm="1">
        <f t="array" ref="Y193">AVERAGE(
    IF(
        ('Individual data from NASA'!$B:$B=$B193) *
        ('Individual data from NASA'!$C:$C=$G193) *
        ('Individual data from NASA'!$K:$K=$O193) *
        ('Individual data from NASA'!$D:$D=3),
        'Individual data from NASA'!U:U
    )
)</f>
        <v>12.13185</v>
      </c>
      <c r="Z193" cm="1">
        <f t="array" ref="Z193">AVERAGE(
    IF(
        ('Individual data from NASA'!$B:$B=$B193) *
        ('Individual data from NASA'!$C:$C=$G193) *
        ('Individual data from NASA'!$K:$K=$O193) *
        ('Individual data from NASA'!$D:$D=3),
        'Individual data from NASA'!V:V
    )
)</f>
        <v>17.222200000000001</v>
      </c>
      <c r="AD193" t="str">
        <f t="shared" si="12"/>
        <v>Moore (2015)|AAFEX-I|Ground|CFM56-2C1|30|Eg no 3 Intermediate</v>
      </c>
      <c r="AE193" s="13" cm="1">
        <f t="array" ref="AE193">I193 / _xlfn.XLOOKUP($AD193 &amp; "|" &amp; $H193, $AD:$AD &amp; "|" &amp; $G:$G, I:I)</f>
        <v>0.43010752688172038</v>
      </c>
      <c r="AF193" s="13" cm="1">
        <f t="array" ref="AF193">J193 / _xlfn.XLOOKUP($AD193 &amp; "|" &amp; $H193, $AD:$AD &amp; "|" &amp; $G:$G, J:J)</f>
        <v>0.5</v>
      </c>
      <c r="AG193" s="13" cm="1">
        <f t="array" ref="AG193">K193 / _xlfn.XLOOKUP($AD193 &amp; "|" &amp; $H193, $AD:$AD &amp; "|" &amp; $G:$G, K:K)</f>
        <v>0.60888501742160284</v>
      </c>
      <c r="AH193" s="13" cm="1">
        <f t="array" ref="AH193">L193 / _xlfn.XLOOKUP($AD193 &amp; "|" &amp; $H193, $AD:$AD &amp; "|" &amp; $G:$G, L:L)</f>
        <v>1.0661764705882353</v>
      </c>
      <c r="AI193" s="13" cm="1">
        <f t="array" ref="AI193">M193 / _xlfn.XLOOKUP($AD193 &amp; "|" &amp; $H193, $AD:$AD &amp; "|" &amp; $G:$G, M:M)</f>
        <v>0.99598816455896133</v>
      </c>
      <c r="AJ193" s="13" cm="1">
        <f t="array" ref="AJ193">N193 / _xlfn.XLOOKUP($AD193 &amp; "|" &amp; $H193, $AD:$AD &amp; "|" &amp; $G:$G, N:N)</f>
        <v>0.99598816455896133</v>
      </c>
      <c r="AK193" s="13" cm="1">
        <f t="array" ref="AK193">O193 / _xlfn.XLOOKUP($AD193 &amp; "|" &amp; $H193, $AD:$AD &amp; "|" &amp; $G:$G, O:O)</f>
        <v>1</v>
      </c>
      <c r="AL193" s="13" cm="1">
        <f t="array" ref="AL193">P193 / _xlfn.XLOOKUP($AD193 &amp; "|" &amp; $H193, $AD:$AD &amp; "|" &amp; $G:$G, P:P)</f>
        <v>1</v>
      </c>
      <c r="AM193" s="13" cm="1">
        <f t="array" ref="AM193">Q193 / _xlfn.XLOOKUP($AD193 &amp; "|" &amp; $H193, $AD:$AD &amp; "|" &amp; $G:$G, Q:Q)</f>
        <v>8.0592105263157895E-2</v>
      </c>
      <c r="AN193" s="13" cm="1">
        <f t="array" ref="AN193">R193 / _xlfn.XLOOKUP($AD193 &amp; "|" &amp; $H193, $AD:$AD &amp; "|" &amp; $G:$G, R:R)</f>
        <v>0.5258582255907267</v>
      </c>
      <c r="AO193" s="13" cm="1">
        <f t="array" ref="AO193">S193 / _xlfn.XLOOKUP($AD193 &amp; "|" &amp; $H193, $AD:$AD &amp; "|" &amp; $G:$G, S:S)</f>
        <v>0.50210970464135019</v>
      </c>
      <c r="AP193" s="13" cm="1">
        <f t="array" ref="AP193">T193 / _xlfn.XLOOKUP($AD193 &amp; "|" &amp; $H193, $AD:$AD &amp; "|" &amp; $G:$G, T:T)</f>
        <v>0.30112658154717198</v>
      </c>
      <c r="AQ193" s="13" t="e" cm="1">
        <f t="array" ref="AQ193">U193 / _xlfn.XLOOKUP($AD193 &amp; "|" &amp; $H193, $AD:$AD &amp; "|" &amp; $G:$G, U:U)</f>
        <v>#DIV/0!</v>
      </c>
      <c r="AR193" s="13" t="e" cm="1">
        <f t="array" ref="AR193">V193 / _xlfn.XLOOKUP($AD193 &amp; "|" &amp; $H193, $AD:$AD &amp; "|" &amp; $G:$G, V:V)</f>
        <v>#DIV/0!</v>
      </c>
      <c r="AS193" s="13" t="e" cm="1">
        <f t="array" ref="AS193">W193 / _xlfn.XLOOKUP($AD193 &amp; "|" &amp; $H193, $AD:$AD &amp; "|" &amp; $G:$G, W:W)</f>
        <v>#DIV/0!</v>
      </c>
      <c r="AT193" s="13" t="e" cm="1">
        <f t="array" ref="AT193">X193 / _xlfn.XLOOKUP($AD193 &amp; "|" &amp; $H193, $AD:$AD &amp; "|" &amp; $G:$G, X:X)</f>
        <v>#DIV/0!</v>
      </c>
      <c r="AU193" s="13" cm="1">
        <f t="array" ref="AU193">Y193 / _xlfn.XLOOKUP($AD193 &amp; "|" &amp; $H193, $AD:$AD &amp; "|" &amp; $G:$G, Y:Y)</f>
        <v>0.9155293919789389</v>
      </c>
      <c r="AV193" s="13" cm="1">
        <f t="array" ref="AV193">Z193 / _xlfn.XLOOKUP($AD193 &amp; "|" &amp; $H193, $AD:$AD &amp; "|" &amp; $G:$G, Z:Z)</f>
        <v>0.79274221283205093</v>
      </c>
      <c r="AW193" s="13" cm="1">
        <f t="array" ref="AW193">_xlfn.XLOOKUP($AD193 &amp; "|" &amp; $H193, $AD:$AD &amp; "|" &amp; $G:$G, L:L)</f>
        <v>13.6</v>
      </c>
      <c r="AY193" s="13"/>
      <c r="AZ193" t="s">
        <v>232</v>
      </c>
    </row>
    <row r="194" spans="1:52" x14ac:dyDescent="0.2">
      <c r="A194" t="s">
        <v>32</v>
      </c>
      <c r="B194" t="s">
        <v>2</v>
      </c>
      <c r="C194" t="s">
        <v>110</v>
      </c>
      <c r="D194" t="s">
        <v>112</v>
      </c>
      <c r="E194">
        <v>30</v>
      </c>
      <c r="F194" t="s">
        <v>216</v>
      </c>
      <c r="G194" t="s">
        <v>14</v>
      </c>
      <c r="H194" t="s">
        <v>8</v>
      </c>
      <c r="I194">
        <v>8</v>
      </c>
      <c r="J194">
        <v>0.8</v>
      </c>
      <c r="K194">
        <v>699</v>
      </c>
      <c r="L194">
        <v>14.5</v>
      </c>
      <c r="M194">
        <v>278.89999999999998</v>
      </c>
      <c r="N194">
        <v>278.89999999999998</v>
      </c>
      <c r="O194">
        <v>65</v>
      </c>
      <c r="P194">
        <v>2167.1999999999998</v>
      </c>
      <c r="Q194" cm="1">
        <f t="array" ref="Q194">AVERAGE(
    IF(
        ('Individual data from NASA'!$B:$B=$B194) *
        ('Individual data from NASA'!$C:$C=$G194) *
        ('Individual data from NASA'!$K:$K=$O194) *
        ('Individual data from NASA'!$D:$D=3),
        'Individual data from NASA'!M:M
    )
)</f>
        <v>280000000000000</v>
      </c>
      <c r="R194" cm="1">
        <f t="array" ref="R194">AVERAGE(
    IF(
        ('Individual data from NASA'!$B:$B=$B194) *
        ('Individual data from NASA'!$C:$C=$G194) *
        ('Individual data from NASA'!$K:$K=$O194) *
        ('Individual data from NASA'!$D:$D=3),
        'Individual data from NASA'!N:N
    )
)</f>
        <v>1.435E+16</v>
      </c>
      <c r="S194" cm="1">
        <f t="array" ref="S194">AVERAGE(
    IF(
        ('Individual data from NASA'!$B:$B=$B194) *
        ('Individual data from NASA'!$C:$C=$G194) *
        ('Individual data from NASA'!$K:$K=$O194) *
        ('Individual data from NASA'!$D:$D=3),
        'Individual data from NASA'!O:O
    )
)</f>
        <v>1.45E+16</v>
      </c>
      <c r="T194" cm="1">
        <f t="array" ref="T194">AVERAGE(
    IF(
        ('Individual data from NASA'!$B:$B=$B194) *
        ('Individual data from NASA'!$C:$C=$G194) *
        ('Individual data from NASA'!$K:$K=$O194) *
        ('Individual data from NASA'!$D:$D=3),
        'Individual data from NASA'!P:P
    )
)</f>
        <v>12.2</v>
      </c>
      <c r="U194" t="e" cm="1">
        <f t="array" ref="U194">AVERAGE(
    IF(
        ('Individual data from NASA'!$B:$B=$B194) *
        ('Individual data from NASA'!$C:$C=$G194) *
        ('Individual data from NASA'!$K:$K=$O194) *
        ('Individual data from NASA'!$D:$D=3),
        'Individual data from NASA'!Q:Q
    )
)</f>
        <v>#DIV/0!</v>
      </c>
      <c r="V194" t="e" cm="1">
        <f t="array" ref="V194">AVERAGE(
    IF(
        ('Individual data from NASA'!$B:$B=$B194) *
        ('Individual data from NASA'!$C:$C=$G194) *
        ('Individual data from NASA'!$K:$K=$O194) *
        ('Individual data from NASA'!$D:$D=3),
        'Individual data from NASA'!R:R
    )
)</f>
        <v>#DIV/0!</v>
      </c>
      <c r="W194" t="e" cm="1">
        <f t="array" ref="W194">AVERAGE(
    IF(
        ('Individual data from NASA'!$B:$B=$B194) *
        ('Individual data from NASA'!$C:$C=$G194) *
        ('Individual data from NASA'!$K:$K=$O194) *
        ('Individual data from NASA'!$D:$D=3),
        'Individual data from NASA'!S:S
    )
)</f>
        <v>#DIV/0!</v>
      </c>
      <c r="X194" t="e" cm="1">
        <f t="array" ref="X194">AVERAGE(
    IF(
        ('Individual data from NASA'!$B:$B=$B194) *
        ('Individual data from NASA'!$C:$C=$G194) *
        ('Individual data from NASA'!$K:$K=$O194) *
        ('Individual data from NASA'!$D:$D=3),
        'Individual data from NASA'!T:T
    )
)</f>
        <v>#DIV/0!</v>
      </c>
      <c r="Y194" cm="1">
        <f t="array" ref="Y194">AVERAGE(
    IF(
        ('Individual data from NASA'!$B:$B=$B194) *
        ('Individual data from NASA'!$C:$C=$G194) *
        ('Individual data from NASA'!$K:$K=$O194) *
        ('Individual data from NASA'!$D:$D=3),
        'Individual data from NASA'!U:U
    )
)</f>
        <v>12.32335</v>
      </c>
      <c r="Z194" cm="1">
        <f t="array" ref="Z194">AVERAGE(
    IF(
        ('Individual data from NASA'!$B:$B=$B194) *
        ('Individual data from NASA'!$C:$C=$G194) *
        ('Individual data from NASA'!$K:$K=$O194) *
        ('Individual data from NASA'!$D:$D=3),
        'Individual data from NASA'!V:V
    )
)</f>
        <v>25.907299999999999</v>
      </c>
      <c r="AD194" t="str">
        <f t="shared" si="12"/>
        <v>Moore (2015)|AAFEX-I|Ground|CFM56-2C1|30|Eg no 3 Mid power</v>
      </c>
      <c r="AE194" s="13" cm="1">
        <f t="array" ref="AE194">I194 / _xlfn.XLOOKUP($AD194 &amp; "|" &amp; $H194, $AD:$AD &amp; "|" &amp; $G:$G, I:I)</f>
        <v>0.43010752688172038</v>
      </c>
      <c r="AF194" s="13" cm="1">
        <f t="array" ref="AF194">J194 / _xlfn.XLOOKUP($AD194 &amp; "|" &amp; $H194, $AD:$AD &amp; "|" &amp; $G:$G, J:J)</f>
        <v>0.5</v>
      </c>
      <c r="AG194" s="13" cm="1">
        <f t="array" ref="AG194">K194 / _xlfn.XLOOKUP($AD194 &amp; "|" &amp; $H194, $AD:$AD &amp; "|" &amp; $G:$G, K:K)</f>
        <v>0.60888501742160284</v>
      </c>
      <c r="AH194" s="13" cm="1">
        <f t="array" ref="AH194">L194 / _xlfn.XLOOKUP($AD194 &amp; "|" &amp; $H194, $AD:$AD &amp; "|" &amp; $G:$G, L:L)</f>
        <v>1.0661764705882353</v>
      </c>
      <c r="AI194" s="13" cm="1">
        <f t="array" ref="AI194">M194 / _xlfn.XLOOKUP($AD194 &amp; "|" &amp; $H194, $AD:$AD &amp; "|" &amp; $G:$G, M:M)</f>
        <v>0.99815090963316433</v>
      </c>
      <c r="AJ194" s="13" cm="1">
        <f t="array" ref="AJ194">N194 / _xlfn.XLOOKUP($AD194 &amp; "|" &amp; $H194, $AD:$AD &amp; "|" &amp; $G:$G, N:N)</f>
        <v>0.99815090963316433</v>
      </c>
      <c r="AK194" s="13" cm="1">
        <f t="array" ref="AK194">O194 / _xlfn.XLOOKUP($AD194 &amp; "|" &amp; $H194, $AD:$AD &amp; "|" &amp; $G:$G, O:O)</f>
        <v>1</v>
      </c>
      <c r="AL194" s="13" cm="1">
        <f t="array" ref="AL194">P194 / _xlfn.XLOOKUP($AD194 &amp; "|" &amp; $H194, $AD:$AD &amp; "|" &amp; $G:$G, P:P)</f>
        <v>1</v>
      </c>
      <c r="AM194" s="13" cm="1">
        <f t="array" ref="AM194">Q194 / _xlfn.XLOOKUP($AD194 &amp; "|" &amp; $H194, $AD:$AD &amp; "|" &amp; $G:$G, Q:Q)</f>
        <v>0.20607175712971482</v>
      </c>
      <c r="AN194" s="13" cm="1">
        <f t="array" ref="AN194">R194 / _xlfn.XLOOKUP($AD194 &amp; "|" &amp; $H194, $AD:$AD &amp; "|" &amp; $G:$G, R:R)</f>
        <v>0.63905588955689152</v>
      </c>
      <c r="AO194" s="13" cm="1">
        <f t="array" ref="AO194">S194 / _xlfn.XLOOKUP($AD194 &amp; "|" &amp; $H194, $AD:$AD &amp; "|" &amp; $G:$G, S:S)</f>
        <v>0.61084781463928384</v>
      </c>
      <c r="AP194" s="13" cm="1">
        <f t="array" ref="AP194">T194 / _xlfn.XLOOKUP($AD194 &amp; "|" &amp; $H194, $AD:$AD &amp; "|" &amp; $G:$G, T:T)</f>
        <v>0.3866877971473851</v>
      </c>
      <c r="AQ194" s="13" t="e" cm="1">
        <f t="array" ref="AQ194">U194 / _xlfn.XLOOKUP($AD194 &amp; "|" &amp; $H194, $AD:$AD &amp; "|" &amp; $G:$G, U:U)</f>
        <v>#DIV/0!</v>
      </c>
      <c r="AR194" s="13" t="e" cm="1">
        <f t="array" ref="AR194">V194 / _xlfn.XLOOKUP($AD194 &amp; "|" &amp; $H194, $AD:$AD &amp; "|" &amp; $G:$G, V:V)</f>
        <v>#DIV/0!</v>
      </c>
      <c r="AS194" s="13" t="e" cm="1">
        <f t="array" ref="AS194">W194 / _xlfn.XLOOKUP($AD194 &amp; "|" &amp; $H194, $AD:$AD &amp; "|" &amp; $G:$G, W:W)</f>
        <v>#DIV/0!</v>
      </c>
      <c r="AT194" s="13" t="e" cm="1">
        <f t="array" ref="AT194">X194 / _xlfn.XLOOKUP($AD194 &amp; "|" &amp; $H194, $AD:$AD &amp; "|" &amp; $G:$G, X:X)</f>
        <v>#DIV/0!</v>
      </c>
      <c r="AU194" s="13" cm="1">
        <f t="array" ref="AU194">Y194 / _xlfn.XLOOKUP($AD194 &amp; "|" &amp; $H194, $AD:$AD &amp; "|" &amp; $G:$G, Y:Y)</f>
        <v>0.88117789752834941</v>
      </c>
      <c r="AV194" s="13" cm="1">
        <f t="array" ref="AV194">Z194 / _xlfn.XLOOKUP($AD194 &amp; "|" &amp; $H194, $AD:$AD &amp; "|" &amp; $G:$G, Z:Z)</f>
        <v>0.77945555026955449</v>
      </c>
      <c r="AW194" s="13" cm="1">
        <f t="array" ref="AW194">_xlfn.XLOOKUP($AD194 &amp; "|" &amp; $H194, $AD:$AD &amp; "|" &amp; $G:$G, L:L)</f>
        <v>13.6</v>
      </c>
      <c r="AY194" s="13"/>
      <c r="AZ194" t="s">
        <v>232</v>
      </c>
    </row>
    <row r="195" spans="1:52" x14ac:dyDescent="0.2">
      <c r="A195" t="s">
        <v>32</v>
      </c>
      <c r="B195" t="s">
        <v>2</v>
      </c>
      <c r="C195" t="s">
        <v>110</v>
      </c>
      <c r="D195" t="s">
        <v>112</v>
      </c>
      <c r="E195">
        <v>30</v>
      </c>
      <c r="F195" t="s">
        <v>217</v>
      </c>
      <c r="G195" t="s">
        <v>14</v>
      </c>
      <c r="H195" t="s">
        <v>8</v>
      </c>
      <c r="I195">
        <v>8</v>
      </c>
      <c r="J195">
        <v>0.8</v>
      </c>
      <c r="K195">
        <v>699</v>
      </c>
      <c r="L195">
        <v>14.5</v>
      </c>
      <c r="M195">
        <v>278.5</v>
      </c>
      <c r="N195">
        <v>278.5</v>
      </c>
      <c r="O195">
        <v>85</v>
      </c>
      <c r="P195">
        <v>3041.9999999999995</v>
      </c>
      <c r="Q195" cm="1">
        <f t="array" ref="Q195">AVERAGE(
    IF(
        ('Individual data from NASA'!$B:$B=$B195) *
        ('Individual data from NASA'!$C:$C=$G195) *
        ('Individual data from NASA'!$K:$K=$O195) *
        ('Individual data from NASA'!$D:$D=3),
        'Individual data from NASA'!M:M
    )
)</f>
        <v>570000000000000</v>
      </c>
      <c r="R195" cm="1">
        <f t="array" ref="R195">AVERAGE(
    IF(
        ('Individual data from NASA'!$B:$B=$B195) *
        ('Individual data from NASA'!$C:$C=$G195) *
        ('Individual data from NASA'!$K:$K=$O195) *
        ('Individual data from NASA'!$D:$D=3),
        'Individual data from NASA'!N:N
    )
)</f>
        <v>1.09E+16</v>
      </c>
      <c r="S195" cm="1">
        <f t="array" ref="S195">AVERAGE(
    IF(
        ('Individual data from NASA'!$B:$B=$B195) *
        ('Individual data from NASA'!$C:$C=$G195) *
        ('Individual data from NASA'!$K:$K=$O195) *
        ('Individual data from NASA'!$D:$D=3),
        'Individual data from NASA'!O:O
    )
)</f>
        <v>1.1E+16</v>
      </c>
      <c r="T195" cm="1">
        <f t="array" ref="T195">AVERAGE(
    IF(
        ('Individual data from NASA'!$B:$B=$B195) *
        ('Individual data from NASA'!$C:$C=$G195) *
        ('Individual data from NASA'!$K:$K=$O195) *
        ('Individual data from NASA'!$D:$D=3),
        'Individual data from NASA'!P:P
    )
)</f>
        <v>52.3</v>
      </c>
      <c r="U195" t="e" cm="1">
        <f t="array" ref="U195">AVERAGE(
    IF(
        ('Individual data from NASA'!$B:$B=$B195) *
        ('Individual data from NASA'!$C:$C=$G195) *
        ('Individual data from NASA'!$K:$K=$O195) *
        ('Individual data from NASA'!$D:$D=3),
        'Individual data from NASA'!Q:Q
    )
)</f>
        <v>#DIV/0!</v>
      </c>
      <c r="V195" t="e" cm="1">
        <f t="array" ref="V195">AVERAGE(
    IF(
        ('Individual data from NASA'!$B:$B=$B195) *
        ('Individual data from NASA'!$C:$C=$G195) *
        ('Individual data from NASA'!$K:$K=$O195) *
        ('Individual data from NASA'!$D:$D=3),
        'Individual data from NASA'!R:R
    )
)</f>
        <v>#DIV/0!</v>
      </c>
      <c r="W195" t="e" cm="1">
        <f t="array" ref="W195">AVERAGE(
    IF(
        ('Individual data from NASA'!$B:$B=$B195) *
        ('Individual data from NASA'!$C:$C=$G195) *
        ('Individual data from NASA'!$K:$K=$O195) *
        ('Individual data from NASA'!$D:$D=3),
        'Individual data from NASA'!S:S
    )
)</f>
        <v>#DIV/0!</v>
      </c>
      <c r="X195" t="e" cm="1">
        <f t="array" ref="X195">AVERAGE(
    IF(
        ('Individual data from NASA'!$B:$B=$B195) *
        ('Individual data from NASA'!$C:$C=$G195) *
        ('Individual data from NASA'!$K:$K=$O195) *
        ('Individual data from NASA'!$D:$D=3),
        'Individual data from NASA'!T:T
    )
)</f>
        <v>#DIV/0!</v>
      </c>
      <c r="Y195" cm="1">
        <f t="array" ref="Y195">AVERAGE(
    IF(
        ('Individual data from NASA'!$B:$B=$B195) *
        ('Individual data from NASA'!$C:$C=$G195) *
        ('Individual data from NASA'!$K:$K=$O195) *
        ('Individual data from NASA'!$D:$D=3),
        'Individual data from NASA'!U:U
    )
)</f>
        <v>12.512599999999999</v>
      </c>
      <c r="Z195" cm="1">
        <f t="array" ref="Z195">AVERAGE(
    IF(
        ('Individual data from NASA'!$B:$B=$B195) *
        ('Individual data from NASA'!$C:$C=$G195) *
        ('Individual data from NASA'!$K:$K=$O195) *
        ('Individual data from NASA'!$D:$D=3),
        'Individual data from NASA'!V:V
    )
)</f>
        <v>50.47025</v>
      </c>
      <c r="AD195" t="str">
        <f t="shared" ref="AD195:AD258" si="21">A195 &amp; "|" &amp; B195 &amp; "|" &amp; C195 &amp; "|" &amp; D195 &amp; "|" &amp; E195 &amp;"|" &amp; F195</f>
        <v>Moore (2015)|AAFEX-I|Ground|CFM56-2C1|30|Eg no 3 Climb</v>
      </c>
      <c r="AE195" s="13" cm="1">
        <f t="array" ref="AE195">I195 / _xlfn.XLOOKUP($AD195 &amp; "|" &amp; $H195, $AD:$AD &amp; "|" &amp; $G:$G, I:I)</f>
        <v>0.43010752688172038</v>
      </c>
      <c r="AF195" s="13" cm="1">
        <f t="array" ref="AF195">J195 / _xlfn.XLOOKUP($AD195 &amp; "|" &amp; $H195, $AD:$AD &amp; "|" &amp; $G:$G, J:J)</f>
        <v>0.5</v>
      </c>
      <c r="AG195" s="13" cm="1">
        <f t="array" ref="AG195">K195 / _xlfn.XLOOKUP($AD195 &amp; "|" &amp; $H195, $AD:$AD &amp; "|" &amp; $G:$G, K:K)</f>
        <v>0.60888501742160284</v>
      </c>
      <c r="AH195" s="13" cm="1">
        <f t="array" ref="AH195">L195 / _xlfn.XLOOKUP($AD195 &amp; "|" &amp; $H195, $AD:$AD &amp; "|" &amp; $G:$G, L:L)</f>
        <v>1.0661764705882353</v>
      </c>
      <c r="AI195" s="13" cm="1">
        <f t="array" ref="AI195">M195 / _xlfn.XLOOKUP($AD195 &amp; "|" &amp; $H195, $AD:$AD &amp; "|" &amp; $G:$G, M:M)</f>
        <v>0.99515228033398062</v>
      </c>
      <c r="AJ195" s="13" cm="1">
        <f t="array" ref="AJ195">N195 / _xlfn.XLOOKUP($AD195 &amp; "|" &amp; $H195, $AD:$AD &amp; "|" &amp; $G:$G, N:N)</f>
        <v>0.99515228033398062</v>
      </c>
      <c r="AK195" s="13" cm="1">
        <f t="array" ref="AK195">O195 / _xlfn.XLOOKUP($AD195 &amp; "|" &amp; $H195, $AD:$AD &amp; "|" &amp; $G:$G, O:O)</f>
        <v>1</v>
      </c>
      <c r="AL195" s="13" cm="1">
        <f t="array" ref="AL195">P195 / _xlfn.XLOOKUP($AD195 &amp; "|" &amp; $H195, $AD:$AD &amp; "|" &amp; $G:$G, P:P)</f>
        <v>1</v>
      </c>
      <c r="AM195" s="13" cm="1">
        <f t="array" ref="AM195">Q195 / _xlfn.XLOOKUP($AD195 &amp; "|" &amp; $H195, $AD:$AD &amp; "|" &amp; $G:$G, Q:Q)</f>
        <v>0.34337349397590361</v>
      </c>
      <c r="AN195" s="13" cm="1">
        <f t="array" ref="AN195">R195 / _xlfn.XLOOKUP($AD195 &amp; "|" &amp; $H195, $AD:$AD &amp; "|" &amp; $G:$G, R:R)</f>
        <v>0.64630892380670024</v>
      </c>
      <c r="AO195" s="13" cm="1">
        <f t="array" ref="AO195">S195 / _xlfn.XLOOKUP($AD195 &amp; "|" &amp; $H195, $AD:$AD &amp; "|" &amp; $G:$G, S:S)</f>
        <v>0.59139784946236562</v>
      </c>
      <c r="AP195" s="13" cm="1">
        <f t="array" ref="AP195">T195 / _xlfn.XLOOKUP($AD195 &amp; "|" &amp; $H195, $AD:$AD &amp; "|" &amp; $G:$G, T:T)</f>
        <v>0.41524414450178637</v>
      </c>
      <c r="AQ195" s="13" t="e" cm="1">
        <f t="array" ref="AQ195">U195 / _xlfn.XLOOKUP($AD195 &amp; "|" &amp; $H195, $AD:$AD &amp; "|" &amp; $G:$G, U:U)</f>
        <v>#DIV/0!</v>
      </c>
      <c r="AR195" s="13" t="e" cm="1">
        <f t="array" ref="AR195">V195 / _xlfn.XLOOKUP($AD195 &amp; "|" &amp; $H195, $AD:$AD &amp; "|" &amp; $G:$G, V:V)</f>
        <v>#DIV/0!</v>
      </c>
      <c r="AS195" s="13" t="e" cm="1">
        <f t="array" ref="AS195">W195 / _xlfn.XLOOKUP($AD195 &amp; "|" &amp; $H195, $AD:$AD &amp; "|" &amp; $G:$G, W:W)</f>
        <v>#DIV/0!</v>
      </c>
      <c r="AT195" s="13" t="e" cm="1">
        <f t="array" ref="AT195">X195 / _xlfn.XLOOKUP($AD195 &amp; "|" &amp; $H195, $AD:$AD &amp; "|" &amp; $G:$G, X:X)</f>
        <v>#DIV/0!</v>
      </c>
      <c r="AU195" s="13" cm="1">
        <f t="array" ref="AU195">Y195 / _xlfn.XLOOKUP($AD195 &amp; "|" &amp; $H195, $AD:$AD &amp; "|" &amp; $G:$G, Y:Y)</f>
        <v>0.92594246190808593</v>
      </c>
      <c r="AV195" s="13" cm="1">
        <f t="array" ref="AV195">Z195 / _xlfn.XLOOKUP($AD195 &amp; "|" &amp; $H195, $AD:$AD &amp; "|" &amp; $G:$G, Z:Z)</f>
        <v>0.81585265906515536</v>
      </c>
      <c r="AW195" s="13" cm="1">
        <f t="array" ref="AW195">_xlfn.XLOOKUP($AD195 &amp; "|" &amp; $H195, $AD:$AD &amp; "|" &amp; $G:$G, L:L)</f>
        <v>13.6</v>
      </c>
      <c r="AY195" s="13"/>
      <c r="AZ195" t="s">
        <v>232</v>
      </c>
    </row>
    <row r="196" spans="1:52" x14ac:dyDescent="0.2">
      <c r="A196" t="s">
        <v>32</v>
      </c>
      <c r="B196" t="s">
        <v>2</v>
      </c>
      <c r="C196" t="s">
        <v>110</v>
      </c>
      <c r="D196" t="s">
        <v>112</v>
      </c>
      <c r="E196">
        <v>30</v>
      </c>
      <c r="F196" t="s">
        <v>212</v>
      </c>
      <c r="G196" t="s">
        <v>14</v>
      </c>
      <c r="H196" t="s">
        <v>8</v>
      </c>
      <c r="I196">
        <v>8</v>
      </c>
      <c r="J196">
        <v>0.8</v>
      </c>
      <c r="K196">
        <v>699</v>
      </c>
      <c r="L196">
        <v>14.5</v>
      </c>
      <c r="M196">
        <v>280.54999999999995</v>
      </c>
      <c r="N196">
        <v>280.54999999999995</v>
      </c>
      <c r="O196">
        <v>100</v>
      </c>
      <c r="P196">
        <v>3218.4</v>
      </c>
      <c r="Q196" cm="1">
        <f t="array" ref="Q196">AVERAGE(
    IF(
        ('Individual data from NASA'!$B:$B=$B196) *
        ('Individual data from NASA'!$C:$C=$G196) *
        ('Individual data from NASA'!$K:$K=$O196) *
        ('Individual data from NASA'!$D:$D=3),
        'Individual data from NASA'!M:M
    )
)</f>
        <v>871000000000000</v>
      </c>
      <c r="R196" cm="1">
        <f t="array" ref="R196">AVERAGE(
    IF(
        ('Individual data from NASA'!$B:$B=$B196) *
        ('Individual data from NASA'!$C:$C=$G196) *
        ('Individual data from NASA'!$K:$K=$O196) *
        ('Individual data from NASA'!$D:$D=3),
        'Individual data from NASA'!N:N
    )
)</f>
        <v>9440000000000000</v>
      </c>
      <c r="S196" cm="1">
        <f t="array" ref="S196">AVERAGE(
    IF(
        ('Individual data from NASA'!$B:$B=$B196) *
        ('Individual data from NASA'!$C:$C=$G196) *
        ('Individual data from NASA'!$K:$K=$O196) *
        ('Individual data from NASA'!$D:$D=3),
        'Individual data from NASA'!O:O
    )
)</f>
        <v>1.03E+16</v>
      </c>
      <c r="T196" cm="1">
        <f t="array" ref="T196">AVERAGE(
    IF(
        ('Individual data from NASA'!$B:$B=$B196) *
        ('Individual data from NASA'!$C:$C=$G196) *
        ('Individual data from NASA'!$K:$K=$O196) *
        ('Individual data from NASA'!$D:$D=3),
        'Individual data from NASA'!P:P
    )
)</f>
        <v>115.4</v>
      </c>
      <c r="U196" t="e" cm="1">
        <f t="array" ref="U196">AVERAGE(
    IF(
        ('Individual data from NASA'!$B:$B=$B196) *
        ('Individual data from NASA'!$C:$C=$G196) *
        ('Individual data from NASA'!$K:$K=$O196) *
        ('Individual data from NASA'!$D:$D=3),
        'Individual data from NASA'!Q:Q
    )
)</f>
        <v>#DIV/0!</v>
      </c>
      <c r="V196" t="e" cm="1">
        <f t="array" ref="V196">AVERAGE(
    IF(
        ('Individual data from NASA'!$B:$B=$B196) *
        ('Individual data from NASA'!$C:$C=$G196) *
        ('Individual data from NASA'!$K:$K=$O196) *
        ('Individual data from NASA'!$D:$D=3),
        'Individual data from NASA'!R:R
    )
)</f>
        <v>#DIV/0!</v>
      </c>
      <c r="W196" t="e" cm="1">
        <f t="array" ref="W196">AVERAGE(
    IF(
        ('Individual data from NASA'!$B:$B=$B196) *
        ('Individual data from NASA'!$C:$C=$G196) *
        ('Individual data from NASA'!$K:$K=$O196) *
        ('Individual data from NASA'!$D:$D=3),
        'Individual data from NASA'!S:S
    )
)</f>
        <v>#DIV/0!</v>
      </c>
      <c r="X196" t="e" cm="1">
        <f t="array" ref="X196">AVERAGE(
    IF(
        ('Individual data from NASA'!$B:$B=$B196) *
        ('Individual data from NASA'!$C:$C=$G196) *
        ('Individual data from NASA'!$K:$K=$O196) *
        ('Individual data from NASA'!$D:$D=3),
        'Individual data from NASA'!T:T
    )
)</f>
        <v>#DIV/0!</v>
      </c>
      <c r="Y196" cm="1">
        <f t="array" ref="Y196">AVERAGE(
    IF(
        ('Individual data from NASA'!$B:$B=$B196) *
        ('Individual data from NASA'!$C:$C=$G196) *
        ('Individual data from NASA'!$K:$K=$O196) *
        ('Individual data from NASA'!$D:$D=3),
        'Individual data from NASA'!U:U
    )
)</f>
        <v>13.6272</v>
      </c>
      <c r="Z196" cm="1">
        <f t="array" ref="Z196">AVERAGE(
    IF(
        ('Individual data from NASA'!$B:$B=$B196) *
        ('Individual data from NASA'!$C:$C=$G196) *
        ('Individual data from NASA'!$K:$K=$O196) *
        ('Individual data from NASA'!$D:$D=3),
        'Individual data from NASA'!V:V
    )
)</f>
        <v>64.419700000000006</v>
      </c>
      <c r="AD196" t="str">
        <f t="shared" si="21"/>
        <v>Moore (2015)|AAFEX-I|Ground|CFM56-2C1|30|Eg no 3 Take-off</v>
      </c>
      <c r="AE196" s="13" cm="1">
        <f t="array" ref="AE196">I196 / _xlfn.XLOOKUP($AD196 &amp; "|" &amp; $H196, $AD:$AD &amp; "|" &amp; $G:$G, I:I)</f>
        <v>0.43010752688172038</v>
      </c>
      <c r="AF196" s="13" cm="1">
        <f t="array" ref="AF196">J196 / _xlfn.XLOOKUP($AD196 &amp; "|" &amp; $H196, $AD:$AD &amp; "|" &amp; $G:$G, J:J)</f>
        <v>0.5</v>
      </c>
      <c r="AG196" s="13" cm="1">
        <f t="array" ref="AG196">K196 / _xlfn.XLOOKUP($AD196 &amp; "|" &amp; $H196, $AD:$AD &amp; "|" &amp; $G:$G, K:K)</f>
        <v>0.60888501742160284</v>
      </c>
      <c r="AH196" s="13" cm="1">
        <f t="array" ref="AH196">L196 / _xlfn.XLOOKUP($AD196 &amp; "|" &amp; $H196, $AD:$AD &amp; "|" &amp; $G:$G, L:L)</f>
        <v>1.0661764705882353</v>
      </c>
      <c r="AI196" s="13" cm="1">
        <f t="array" ref="AI196">M196 / _xlfn.XLOOKUP($AD196 &amp; "|" &amp; $H196, $AD:$AD &amp; "|" &amp; $G:$G, M:M)</f>
        <v>0.99406501904508815</v>
      </c>
      <c r="AJ196" s="13" cm="1">
        <f t="array" ref="AJ196">N196 / _xlfn.XLOOKUP($AD196 &amp; "|" &amp; $H196, $AD:$AD &amp; "|" &amp; $G:$G, N:N)</f>
        <v>0.99406501904508815</v>
      </c>
      <c r="AK196" s="13" cm="1">
        <f t="array" ref="AK196">O196 / _xlfn.XLOOKUP($AD196 &amp; "|" &amp; $H196, $AD:$AD &amp; "|" &amp; $G:$G, O:O)</f>
        <v>1</v>
      </c>
      <c r="AL196" s="13" cm="1">
        <f t="array" ref="AL196">P196 / _xlfn.XLOOKUP($AD196 &amp; "|" &amp; $H196, $AD:$AD &amp; "|" &amp; $G:$G, P:P)</f>
        <v>1</v>
      </c>
      <c r="AM196" s="13" cm="1">
        <f t="array" ref="AM196">Q196 / _xlfn.XLOOKUP($AD196 &amp; "|" &amp; $H196, $AD:$AD &amp; "|" &amp; $G:$G, Q:Q)</f>
        <v>0.45141228297486397</v>
      </c>
      <c r="AN196" s="13" cm="1">
        <f t="array" ref="AN196">R196 / _xlfn.XLOOKUP($AD196 &amp; "|" &amp; $H196, $AD:$AD &amp; "|" &amp; $G:$G, R:R)</f>
        <v>0.69680752906440302</v>
      </c>
      <c r="AO196" s="13" cm="1">
        <f t="array" ref="AO196">S196 / _xlfn.XLOOKUP($AD196 &amp; "|" &amp; $H196, $AD:$AD &amp; "|" &amp; $G:$G, S:S)</f>
        <v>0.6669904484377529</v>
      </c>
      <c r="AP196" s="13" cm="1">
        <f t="array" ref="AP196">T196 / _xlfn.XLOOKUP($AD196 &amp; "|" &amp; $H196, $AD:$AD &amp; "|" &amp; $G:$G, T:T)</f>
        <v>0.67210250436808394</v>
      </c>
      <c r="AQ196" s="13" t="e" cm="1">
        <f t="array" ref="AQ196">U196 / _xlfn.XLOOKUP($AD196 &amp; "|" &amp; $H196, $AD:$AD &amp; "|" &amp; $G:$G, U:U)</f>
        <v>#DIV/0!</v>
      </c>
      <c r="AR196" s="13" t="e" cm="1">
        <f t="array" ref="AR196">V196 / _xlfn.XLOOKUP($AD196 &amp; "|" &amp; $H196, $AD:$AD &amp; "|" &amp; $G:$G, V:V)</f>
        <v>#DIV/0!</v>
      </c>
      <c r="AS196" s="13" t="e" cm="1">
        <f t="array" ref="AS196">W196 / _xlfn.XLOOKUP($AD196 &amp; "|" &amp; $H196, $AD:$AD &amp; "|" &amp; $G:$G, W:W)</f>
        <v>#DIV/0!</v>
      </c>
      <c r="AT196" s="13" t="e" cm="1">
        <f t="array" ref="AT196">X196 / _xlfn.XLOOKUP($AD196 &amp; "|" &amp; $H196, $AD:$AD &amp; "|" &amp; $G:$G, X:X)</f>
        <v>#DIV/0!</v>
      </c>
      <c r="AU196" s="13" cm="1">
        <f t="array" ref="AU196">Y196 / _xlfn.XLOOKUP($AD196 &amp; "|" &amp; $H196, $AD:$AD &amp; "|" &amp; $G:$G, Y:Y)</f>
        <v>0.98464739959572767</v>
      </c>
      <c r="AV196" s="13" cm="1">
        <f t="array" ref="AV196">Z196 / _xlfn.XLOOKUP($AD196 &amp; "|" &amp; $H196, $AD:$AD &amp; "|" &amp; $G:$G, Z:Z)</f>
        <v>0.91762196348796254</v>
      </c>
      <c r="AW196" s="13" cm="1">
        <f t="array" ref="AW196">_xlfn.XLOOKUP($AD196 &amp; "|" &amp; $H196, $AD:$AD &amp; "|" &amp; $G:$G, L:L)</f>
        <v>13.6</v>
      </c>
      <c r="AY196" s="13"/>
      <c r="AZ196" t="s">
        <v>232</v>
      </c>
    </row>
    <row r="197" spans="1:52" x14ac:dyDescent="0.2">
      <c r="A197" t="s">
        <v>32</v>
      </c>
      <c r="B197" t="s">
        <v>2</v>
      </c>
      <c r="C197" t="s">
        <v>110</v>
      </c>
      <c r="D197" t="s">
        <v>112</v>
      </c>
      <c r="E197">
        <v>30</v>
      </c>
      <c r="F197" t="s">
        <v>213</v>
      </c>
      <c r="G197" t="s">
        <v>11</v>
      </c>
      <c r="H197" t="s">
        <v>8</v>
      </c>
      <c r="I197">
        <v>0.6</v>
      </c>
      <c r="J197">
        <v>0</v>
      </c>
      <c r="K197">
        <v>22</v>
      </c>
      <c r="L197">
        <v>15.1</v>
      </c>
      <c r="M197">
        <v>279.09999999999997</v>
      </c>
      <c r="N197">
        <v>279.09999999999997</v>
      </c>
      <c r="O197">
        <v>4</v>
      </c>
      <c r="P197">
        <v>457.2</v>
      </c>
      <c r="Q197" t="e" cm="1">
        <f t="array" ref="Q197">AVERAGE(
    IF(
        ('Individual data from NASA'!$B:$B=$B197) *
        ('Individual data from NASA'!$C:$C=$G197) *
        ('Individual data from NASA'!$K:$K=$O197) *
        ('Individual data from NASA'!$D:$D=3),
        'Individual data from NASA'!M:M
    )
)</f>
        <v>#DIV/0!</v>
      </c>
      <c r="R197" t="e" cm="1">
        <f t="array" ref="R197">AVERAGE(
    IF(
        ('Individual data from NASA'!$B:$B=$B197) *
        ('Individual data from NASA'!$C:$C=$G197) *
        ('Individual data from NASA'!$K:$K=$O197) *
        ('Individual data from NASA'!$D:$D=3),
        'Individual data from NASA'!N:N
    )
)</f>
        <v>#DIV/0!</v>
      </c>
      <c r="S197" t="e" cm="1">
        <f t="array" ref="S197">AVERAGE(
    IF(
        ('Individual data from NASA'!$B:$B=$B197) *
        ('Individual data from NASA'!$C:$C=$G197) *
        ('Individual data from NASA'!$K:$K=$O197) *
        ('Individual data from NASA'!$D:$D=3),
        'Individual data from NASA'!O:O
    )
)</f>
        <v>#DIV/0!</v>
      </c>
      <c r="T197" t="e" cm="1">
        <f t="array" ref="T197">AVERAGE(
    IF(
        ('Individual data from NASA'!$B:$B=$B197) *
        ('Individual data from NASA'!$C:$C=$G197) *
        ('Individual data from NASA'!$K:$K=$O197) *
        ('Individual data from NASA'!$D:$D=3),
        'Individual data from NASA'!P:P
    )
)</f>
        <v>#DIV/0!</v>
      </c>
      <c r="U197" t="e" cm="1">
        <f t="array" ref="U197">AVERAGE(
    IF(
        ('Individual data from NASA'!$B:$B=$B197) *
        ('Individual data from NASA'!$C:$C=$G197) *
        ('Individual data from NASA'!$K:$K=$O197) *
        ('Individual data from NASA'!$D:$D=3),
        'Individual data from NASA'!Q:Q
    )
)</f>
        <v>#DIV/0!</v>
      </c>
      <c r="V197" t="e" cm="1">
        <f t="array" ref="V197">AVERAGE(
    IF(
        ('Individual data from NASA'!$B:$B=$B197) *
        ('Individual data from NASA'!$C:$C=$G197) *
        ('Individual data from NASA'!$K:$K=$O197) *
        ('Individual data from NASA'!$D:$D=3),
        'Individual data from NASA'!R:R
    )
)</f>
        <v>#DIV/0!</v>
      </c>
      <c r="W197" t="e" cm="1">
        <f t="array" ref="W197">AVERAGE(
    IF(
        ('Individual data from NASA'!$B:$B=$B197) *
        ('Individual data from NASA'!$C:$C=$G197) *
        ('Individual data from NASA'!$K:$K=$O197) *
        ('Individual data from NASA'!$D:$D=3),
        'Individual data from NASA'!S:S
    )
)</f>
        <v>#DIV/0!</v>
      </c>
      <c r="X197" t="e" cm="1">
        <f t="array" ref="X197">AVERAGE(
    IF(
        ('Individual data from NASA'!$B:$B=$B197) *
        ('Individual data from NASA'!$C:$C=$G197) *
        ('Individual data from NASA'!$K:$K=$O197) *
        ('Individual data from NASA'!$D:$D=3),
        'Individual data from NASA'!T:T
    )
)</f>
        <v>#DIV/0!</v>
      </c>
      <c r="Y197" t="e" cm="1">
        <f t="array" ref="Y197">AVERAGE(
    IF(
        ('Individual data from NASA'!$B:$B=$B197) *
        ('Individual data from NASA'!$C:$C=$G197) *
        ('Individual data from NASA'!$K:$K=$O197) *
        ('Individual data from NASA'!$D:$D=3),
        'Individual data from NASA'!U:U
    )
)</f>
        <v>#DIV/0!</v>
      </c>
      <c r="Z197" t="e" cm="1">
        <f t="array" ref="Z197">AVERAGE(
    IF(
        ('Individual data from NASA'!$B:$B=$B197) *
        ('Individual data from NASA'!$C:$C=$G197) *
        ('Individual data from NASA'!$K:$K=$O197) *
        ('Individual data from NASA'!$D:$D=3),
        'Individual data from NASA'!V:V
    )
)</f>
        <v>#DIV/0!</v>
      </c>
      <c r="AD197" t="str">
        <f t="shared" si="21"/>
        <v>Moore (2015)|AAFEX-I|Ground|CFM56-2C1|30|Eg no 3 Idle (min)</v>
      </c>
      <c r="AE197" s="13" cm="1">
        <f t="array" ref="AE197">I197 / _xlfn.XLOOKUP($AD197 &amp; "|" &amp; $H197, $AD:$AD &amp; "|" &amp; $G:$G, I:I)</f>
        <v>3.2258064516129031E-2</v>
      </c>
      <c r="AF197" s="13" cm="1">
        <f t="array" ref="AF197">J197 / _xlfn.XLOOKUP($AD197 &amp; "|" &amp; $H197, $AD:$AD &amp; "|" &amp; $G:$G, J:J)</f>
        <v>0</v>
      </c>
      <c r="AG197" s="13" cm="1">
        <f t="array" ref="AG197">K197 / _xlfn.XLOOKUP($AD197 &amp; "|" &amp; $H197, $AD:$AD &amp; "|" &amp; $G:$G, K:K)</f>
        <v>1.9163763066202089E-2</v>
      </c>
      <c r="AH197" s="13" cm="1">
        <f t="array" ref="AH197">L197 / _xlfn.XLOOKUP($AD197 &amp; "|" &amp; $H197, $AD:$AD &amp; "|" &amp; $G:$G, L:L)</f>
        <v>1.1102941176470589</v>
      </c>
      <c r="AI197" s="13" cm="1">
        <f t="array" ref="AI197">M197 / _xlfn.XLOOKUP($AD197 &amp; "|" &amp; $H197, $AD:$AD &amp; "|" &amp; $G:$G, M:M)</f>
        <v>0.99245179330520938</v>
      </c>
      <c r="AJ197" s="13" cm="1">
        <f t="array" ref="AJ197">N197 / _xlfn.XLOOKUP($AD197 &amp; "|" &amp; $H197, $AD:$AD &amp; "|" &amp; $G:$G, N:N)</f>
        <v>0.99245179330520938</v>
      </c>
      <c r="AK197" s="13" cm="1">
        <f t="array" ref="AK197">O197 / _xlfn.XLOOKUP($AD197 &amp; "|" &amp; $H197, $AD:$AD &amp; "|" &amp; $G:$G, O:O)</f>
        <v>1</v>
      </c>
      <c r="AL197" s="13" cm="1">
        <f t="array" ref="AL197">P197 / _xlfn.XLOOKUP($AD197 &amp; "|" &amp; $H197, $AD:$AD &amp; "|" &amp; $G:$G, P:P)</f>
        <v>1</v>
      </c>
      <c r="AM197" s="13" t="e" cm="1">
        <f t="array" ref="AM197">Q197 / _xlfn.XLOOKUP($AD197 &amp; "|" &amp; $H197, $AD:$AD &amp; "|" &amp; $G:$G, Q:Q)</f>
        <v>#DIV/0!</v>
      </c>
      <c r="AN197" s="13" t="e" cm="1">
        <f t="array" ref="AN197">R197 / _xlfn.XLOOKUP($AD197 &amp; "|" &amp; $H197, $AD:$AD &amp; "|" &amp; $G:$G, R:R)</f>
        <v>#DIV/0!</v>
      </c>
      <c r="AO197" s="13" t="e" cm="1">
        <f t="array" ref="AO197">S197 / _xlfn.XLOOKUP($AD197 &amp; "|" &amp; $H197, $AD:$AD &amp; "|" &amp; $G:$G, S:S)</f>
        <v>#DIV/0!</v>
      </c>
      <c r="AP197" s="13" t="e" cm="1">
        <f t="array" ref="AP197">T197 / _xlfn.XLOOKUP($AD197 &amp; "|" &amp; $H197, $AD:$AD &amp; "|" &amp; $G:$G, T:T)</f>
        <v>#DIV/0!</v>
      </c>
      <c r="AQ197" s="13" t="e" cm="1">
        <f t="array" ref="AQ197">U197 / _xlfn.XLOOKUP($AD197 &amp; "|" &amp; $H197, $AD:$AD &amp; "|" &amp; $G:$G, U:U)</f>
        <v>#DIV/0!</v>
      </c>
      <c r="AR197" s="13" t="e" cm="1">
        <f t="array" ref="AR197">V197 / _xlfn.XLOOKUP($AD197 &amp; "|" &amp; $H197, $AD:$AD &amp; "|" &amp; $G:$G, V:V)</f>
        <v>#DIV/0!</v>
      </c>
      <c r="AS197" s="13" t="e" cm="1">
        <f t="array" ref="AS197">W197 / _xlfn.XLOOKUP($AD197 &amp; "|" &amp; $H197, $AD:$AD &amp; "|" &amp; $G:$G, W:W)</f>
        <v>#DIV/0!</v>
      </c>
      <c r="AT197" s="13" t="e" cm="1">
        <f t="array" ref="AT197">X197 / _xlfn.XLOOKUP($AD197 &amp; "|" &amp; $H197, $AD:$AD &amp; "|" &amp; $G:$G, X:X)</f>
        <v>#DIV/0!</v>
      </c>
      <c r="AU197" s="13" t="e" cm="1">
        <f t="array" ref="AU197">Y197 / _xlfn.XLOOKUP($AD197 &amp; "|" &amp; $H197, $AD:$AD &amp; "|" &amp; $G:$G, Y:Y)</f>
        <v>#DIV/0!</v>
      </c>
      <c r="AV197" s="13" t="e" cm="1">
        <f t="array" ref="AV197">Z197 / _xlfn.XLOOKUP($AD197 &amp; "|" &amp; $H197, $AD:$AD &amp; "|" &amp; $G:$G, Z:Z)</f>
        <v>#DIV/0!</v>
      </c>
      <c r="AW197" s="13" cm="1">
        <f t="array" ref="AW197">_xlfn.XLOOKUP($AD197 &amp; "|" &amp; $H197, $AD:$AD &amp; "|" &amp; $G:$G, L:L)</f>
        <v>13.6</v>
      </c>
      <c r="AY197" s="13"/>
      <c r="AZ197" t="s">
        <v>232</v>
      </c>
    </row>
    <row r="198" spans="1:52" x14ac:dyDescent="0.2">
      <c r="A198" t="s">
        <v>32</v>
      </c>
      <c r="B198" t="s">
        <v>2</v>
      </c>
      <c r="C198" t="s">
        <v>110</v>
      </c>
      <c r="D198" t="s">
        <v>112</v>
      </c>
      <c r="E198">
        <v>30</v>
      </c>
      <c r="F198" t="s">
        <v>214</v>
      </c>
      <c r="G198" t="s">
        <v>11</v>
      </c>
      <c r="H198" t="s">
        <v>8</v>
      </c>
      <c r="I198">
        <v>0.6</v>
      </c>
      <c r="J198">
        <v>0</v>
      </c>
      <c r="K198">
        <v>22</v>
      </c>
      <c r="L198">
        <v>15.1</v>
      </c>
      <c r="M198">
        <v>282.70999999999998</v>
      </c>
      <c r="N198">
        <v>282.70999999999998</v>
      </c>
      <c r="O198">
        <v>7</v>
      </c>
      <c r="P198">
        <v>561.096</v>
      </c>
      <c r="Q198" cm="1">
        <f t="array" ref="Q198">AVERAGE(
    IF(
        ('Individual data from NASA'!$B:$B=$B198) *
        ('Individual data from NASA'!$C:$C=$G198) *
        ('Individual data from NASA'!$K:$K=$O198) *
        ('Individual data from NASA'!$D:$D=3),
        'Individual data from NASA'!M:M
    )
)</f>
        <v>272720000000000</v>
      </c>
      <c r="R198" cm="1">
        <f t="array" ref="R198">AVERAGE(
    IF(
        ('Individual data from NASA'!$B:$B=$B198) *
        ('Individual data from NASA'!$C:$C=$G198) *
        ('Individual data from NASA'!$K:$K=$O198) *
        ('Individual data from NASA'!$D:$D=3),
        'Individual data from NASA'!N:N
    )
)</f>
        <v>5596000000000000</v>
      </c>
      <c r="S198" cm="1">
        <f t="array" ref="S198">AVERAGE(
    IF(
        ('Individual data from NASA'!$B:$B=$B198) *
        ('Individual data from NASA'!$C:$C=$G198) *
        ('Individual data from NASA'!$K:$K=$O198) *
        ('Individual data from NASA'!$D:$D=3),
        'Individual data from NASA'!O:O
    )
)</f>
        <v>5868000000000000</v>
      </c>
      <c r="T198" cm="1">
        <f t="array" ref="T198">AVERAGE(
    IF(
        ('Individual data from NASA'!$B:$B=$B198) *
        ('Individual data from NASA'!$C:$C=$G198) *
        ('Individual data from NASA'!$K:$K=$O198) *
        ('Individual data from NASA'!$D:$D=3),
        'Individual data from NASA'!P:P
    )
)</f>
        <v>5.52</v>
      </c>
      <c r="U198" cm="1">
        <f t="array" ref="U198">AVERAGE(
    IF(
        ('Individual data from NASA'!$B:$B=$B198) *
        ('Individual data from NASA'!$C:$C=$G198) *
        ('Individual data from NASA'!$K:$K=$O198) *
        ('Individual data from NASA'!$D:$D=3),
        'Individual data from NASA'!Q:Q
    )
)</f>
        <v>0.67399999999999993</v>
      </c>
      <c r="V198" cm="1">
        <f t="array" ref="V198">AVERAGE(
    IF(
        ('Individual data from NASA'!$B:$B=$B198) *
        ('Individual data from NASA'!$C:$C=$G198) *
        ('Individual data from NASA'!$K:$K=$O198) *
        ('Individual data from NASA'!$D:$D=3),
        'Individual data from NASA'!R:R
    )
)</f>
        <v>0.32600000000000001</v>
      </c>
      <c r="W198" cm="1">
        <f t="array" ref="W198">AVERAGE(
    IF(
        ('Individual data from NASA'!$B:$B=$B198) *
        ('Individual data from NASA'!$C:$C=$G198) *
        ('Individual data from NASA'!$K:$K=$O198) *
        ('Individual data from NASA'!$D:$D=3),
        'Individual data from NASA'!S:S
    )
)</f>
        <v>26.569775974000002</v>
      </c>
      <c r="X198" cm="1">
        <f t="array" ref="X198">AVERAGE(
    IF(
        ('Individual data from NASA'!$B:$B=$B198) *
        ('Individual data from NASA'!$C:$C=$G198) *
        ('Individual data from NASA'!$K:$K=$O198) *
        ('Individual data from NASA'!$D:$D=3),
        'Individual data from NASA'!T:T
    )
)</f>
        <v>2.8669740244999997</v>
      </c>
      <c r="Y198" cm="1">
        <f t="array" ref="Y198">AVERAGE(
    IF(
        ('Individual data from NASA'!$B:$B=$B198) *
        ('Individual data from NASA'!$C:$C=$G198) *
        ('Individual data from NASA'!$K:$K=$O198) *
        ('Individual data from NASA'!$D:$D=3),
        'Individual data from NASA'!U:U
    )
)</f>
        <v>13.098499999999998</v>
      </c>
      <c r="Z198" cm="1">
        <f t="array" ref="Z198">AVERAGE(
    IF(
        ('Individual data from NASA'!$B:$B=$B198) *
        ('Individual data from NASA'!$C:$C=$G198) *
        ('Individual data from NASA'!$K:$K=$O198) *
        ('Individual data from NASA'!$D:$D=3),
        'Individual data from NASA'!V:V
    )
)</f>
        <v>20.539920000000002</v>
      </c>
      <c r="AD198" t="str">
        <f t="shared" si="21"/>
        <v>Moore (2015)|AAFEX-I|Ground|CFM56-2C1|30|Eg no 3 Idle (approach)</v>
      </c>
      <c r="AE198" s="13" cm="1">
        <f t="array" ref="AE198">I198 / _xlfn.XLOOKUP($AD198 &amp; "|" &amp; $H198, $AD:$AD &amp; "|" &amp; $G:$G, I:I)</f>
        <v>3.2258064516129031E-2</v>
      </c>
      <c r="AF198" s="13" cm="1">
        <f t="array" ref="AF198">J198 / _xlfn.XLOOKUP($AD198 &amp; "|" &amp; $H198, $AD:$AD &amp; "|" &amp; $G:$G, J:J)</f>
        <v>0</v>
      </c>
      <c r="AG198" s="13" cm="1">
        <f t="array" ref="AG198">K198 / _xlfn.XLOOKUP($AD198 &amp; "|" &amp; $H198, $AD:$AD &amp; "|" &amp; $G:$G, K:K)</f>
        <v>1.9163763066202089E-2</v>
      </c>
      <c r="AH198" s="13" cm="1">
        <f t="array" ref="AH198">L198 / _xlfn.XLOOKUP($AD198 &amp; "|" &amp; $H198, $AD:$AD &amp; "|" &amp; $G:$G, L:L)</f>
        <v>1.1102941176470589</v>
      </c>
      <c r="AI198" s="13" cm="1">
        <f t="array" ref="AI198">M198 / _xlfn.XLOOKUP($AD198 &amp; "|" &amp; $H198, $AD:$AD &amp; "|" &amp; $G:$G, M:M)</f>
        <v>1.0038440172041532</v>
      </c>
      <c r="AJ198" s="13" cm="1">
        <f t="array" ref="AJ198">N198 / _xlfn.XLOOKUP($AD198 &amp; "|" &amp; $H198, $AD:$AD &amp; "|" &amp; $G:$G, N:N)</f>
        <v>1.0038440172041532</v>
      </c>
      <c r="AK198" s="13" cm="1">
        <f t="array" ref="AK198">O198 / _xlfn.XLOOKUP($AD198 &amp; "|" &amp; $H198, $AD:$AD &amp; "|" &amp; $G:$G, O:O)</f>
        <v>1</v>
      </c>
      <c r="AL198" s="13" cm="1">
        <f t="array" ref="AL198">P198 / _xlfn.XLOOKUP($AD198 &amp; "|" &amp; $H198, $AD:$AD &amp; "|" &amp; $G:$G, P:P)</f>
        <v>1</v>
      </c>
      <c r="AM198" s="13" cm="1">
        <f t="array" ref="AM198">Q198 / _xlfn.XLOOKUP($AD198 &amp; "|" &amp; $H198, $AD:$AD &amp; "|" &amp; $G:$G, Q:Q)</f>
        <v>0.14682099596231493</v>
      </c>
      <c r="AN198" s="13" cm="1">
        <f t="array" ref="AN198">R198 / _xlfn.XLOOKUP($AD198 &amp; "|" &amp; $H198, $AD:$AD &amp; "|" &amp; $G:$G, R:R)</f>
        <v>0.12138828633405641</v>
      </c>
      <c r="AO198" s="13" cm="1">
        <f t="array" ref="AO198">S198 / _xlfn.XLOOKUP($AD198 &amp; "|" &amp; $H198, $AD:$AD &amp; "|" &amp; $G:$G, S:S)</f>
        <v>0.12057534246575344</v>
      </c>
      <c r="AP198" s="13" cm="1">
        <f t="array" ref="AP198">T198 / _xlfn.XLOOKUP($AD198 &amp; "|" &amp; $H198, $AD:$AD &amp; "|" &amp; $G:$G, T:T)</f>
        <v>0.45745856353591158</v>
      </c>
      <c r="AQ198" s="13" t="e" cm="1">
        <f t="array" ref="AQ198">U198 / _xlfn.XLOOKUP($AD198 &amp; "|" &amp; $H198, $AD:$AD &amp; "|" &amp; $G:$G, U:U)</f>
        <v>#DIV/0!</v>
      </c>
      <c r="AR198" s="13" t="e" cm="1">
        <f t="array" ref="AR198">V198 / _xlfn.XLOOKUP($AD198 &amp; "|" &amp; $H198, $AD:$AD &amp; "|" &amp; $G:$G, V:V)</f>
        <v>#DIV/0!</v>
      </c>
      <c r="AS198" s="13" t="e" cm="1">
        <f t="array" ref="AS198">W198 / _xlfn.XLOOKUP($AD198 &amp; "|" &amp; $H198, $AD:$AD &amp; "|" &amp; $G:$G, W:W)</f>
        <v>#DIV/0!</v>
      </c>
      <c r="AT198" s="13" t="e" cm="1">
        <f t="array" ref="AT198">X198 / _xlfn.XLOOKUP($AD198 &amp; "|" &amp; $H198, $AD:$AD &amp; "|" &amp; $G:$G, X:X)</f>
        <v>#DIV/0!</v>
      </c>
      <c r="AU198" s="13" cm="1">
        <f t="array" ref="AU198">Y198 / _xlfn.XLOOKUP($AD198 &amp; "|" &amp; $H198, $AD:$AD &amp; "|" &amp; $G:$G, Y:Y)</f>
        <v>0.84632636143307838</v>
      </c>
      <c r="AV198" s="13" cm="1">
        <f t="array" ref="AV198">Z198 / _xlfn.XLOOKUP($AD198 &amp; "|" &amp; $H198, $AD:$AD &amp; "|" &amp; $G:$G, Z:Z)</f>
        <v>0.88607506474110675</v>
      </c>
      <c r="AW198" s="13" cm="1">
        <f t="array" ref="AW198">_xlfn.XLOOKUP($AD198 &amp; "|" &amp; $H198, $AD:$AD &amp; "|" &amp; $G:$G, L:L)</f>
        <v>13.6</v>
      </c>
      <c r="AY198" s="13"/>
      <c r="AZ198" t="s">
        <v>232</v>
      </c>
    </row>
    <row r="199" spans="1:52" x14ac:dyDescent="0.2">
      <c r="A199" t="s">
        <v>32</v>
      </c>
      <c r="B199" t="s">
        <v>2</v>
      </c>
      <c r="C199" t="s">
        <v>110</v>
      </c>
      <c r="D199" t="s">
        <v>112</v>
      </c>
      <c r="E199">
        <v>30</v>
      </c>
      <c r="F199" t="s">
        <v>215</v>
      </c>
      <c r="G199" t="s">
        <v>11</v>
      </c>
      <c r="H199" t="s">
        <v>8</v>
      </c>
      <c r="I199">
        <v>0.6</v>
      </c>
      <c r="J199">
        <v>0</v>
      </c>
      <c r="K199">
        <v>22</v>
      </c>
      <c r="L199">
        <v>15.1</v>
      </c>
      <c r="M199">
        <v>284.31666666666666</v>
      </c>
      <c r="N199">
        <v>284.31666666666666</v>
      </c>
      <c r="O199">
        <v>30</v>
      </c>
      <c r="P199">
        <v>1231.2000000000003</v>
      </c>
      <c r="Q199" cm="1">
        <f t="array" ref="Q199">AVERAGE(
    IF(
        ('Individual data from NASA'!$B:$B=$B199) *
        ('Individual data from NASA'!$C:$C=$G199) *
        ('Individual data from NASA'!$K:$K=$O199) *
        ('Individual data from NASA'!$D:$D=3),
        'Individual data from NASA'!M:M
    )
)</f>
        <v>38666666666666.664</v>
      </c>
      <c r="R199" cm="1">
        <f t="array" ref="R199">AVERAGE(
    IF(
        ('Individual data from NASA'!$B:$B=$B199) *
        ('Individual data from NASA'!$C:$C=$G199) *
        ('Individual data from NASA'!$K:$K=$O199) *
        ('Individual data from NASA'!$D:$D=3),
        'Individual data from NASA'!N:N
    )
)</f>
        <v>1202333333333333.2</v>
      </c>
      <c r="S199" cm="1">
        <f t="array" ref="S199">AVERAGE(
    IF(
        ('Individual data from NASA'!$B:$B=$B199) *
        ('Individual data from NASA'!$C:$C=$G199) *
        ('Individual data from NASA'!$K:$K=$O199) *
        ('Individual data from NASA'!$D:$D=3),
        'Individual data from NASA'!O:O
    )
)</f>
        <v>1250000000000000</v>
      </c>
      <c r="T199" cm="1">
        <f t="array" ref="T199">AVERAGE(
    IF(
        ('Individual data from NASA'!$B:$B=$B199) *
        ('Individual data from NASA'!$C:$C=$G199) *
        ('Individual data from NASA'!$K:$K=$O199) *
        ('Individual data from NASA'!$D:$D=3),
        'Individual data from NASA'!P:P
    )
)</f>
        <v>2.0463333333333331</v>
      </c>
      <c r="U199" cm="1">
        <f t="array" ref="U199">AVERAGE(
    IF(
        ('Individual data from NASA'!$B:$B=$B199) *
        ('Individual data from NASA'!$C:$C=$G199) *
        ('Individual data from NASA'!$K:$K=$O199) *
        ('Individual data from NASA'!$D:$D=3),
        'Individual data from NASA'!Q:Q
    )
)</f>
        <v>0.73099999999999998</v>
      </c>
      <c r="V199" cm="1">
        <f t="array" ref="V199">AVERAGE(
    IF(
        ('Individual data from NASA'!$B:$B=$B199) *
        ('Individual data from NASA'!$C:$C=$G199) *
        ('Individual data from NASA'!$K:$K=$O199) *
        ('Individual data from NASA'!$D:$D=3),
        'Individual data from NASA'!R:R
    )
)</f>
        <v>0.26900000000000002</v>
      </c>
      <c r="W199" cm="1">
        <f t="array" ref="W199">AVERAGE(
    IF(
        ('Individual data from NASA'!$B:$B=$B199) *
        ('Individual data from NASA'!$C:$C=$G199) *
        ('Individual data from NASA'!$K:$K=$O199) *
        ('Individual data from NASA'!$D:$D=3),
        'Individual data from NASA'!S:S
    )
)</f>
        <v>0.36165238100000002</v>
      </c>
      <c r="X199" cm="1">
        <f t="array" ref="X199">AVERAGE(
    IF(
        ('Individual data from NASA'!$B:$B=$B199) *
        ('Individual data from NASA'!$C:$C=$G199) *
        ('Individual data from NASA'!$K:$K=$O199) *
        ('Individual data from NASA'!$D:$D=3),
        'Individual data from NASA'!T:T
    )
)</f>
        <v>0.13309441899999999</v>
      </c>
      <c r="Y199" cm="1">
        <f t="array" ref="Y199">AVERAGE(
    IF(
        ('Individual data from NASA'!$B:$B=$B199) *
        ('Individual data from NASA'!$C:$C=$G199) *
        ('Individual data from NASA'!$K:$K=$O199) *
        ('Individual data from NASA'!$D:$D=3),
        'Individual data from NASA'!U:U
    )
)</f>
        <v>13.674300000000001</v>
      </c>
      <c r="Z199" cm="1">
        <f t="array" ref="Z199">AVERAGE(
    IF(
        ('Individual data from NASA'!$B:$B=$B199) *
        ('Individual data from NASA'!$C:$C=$G199) *
        ('Individual data from NASA'!$K:$K=$O199) *
        ('Individual data from NASA'!$D:$D=3),
        'Individual data from NASA'!V:V
    )
)</f>
        <v>39.406933333333335</v>
      </c>
      <c r="AD199" t="str">
        <f t="shared" si="21"/>
        <v>Moore (2015)|AAFEX-I|Ground|CFM56-2C1|30|Eg no 3 Intermediate</v>
      </c>
      <c r="AE199" s="13" cm="1">
        <f t="array" ref="AE199">I199 / _xlfn.XLOOKUP($AD199 &amp; "|" &amp; $H199, $AD:$AD &amp; "|" &amp; $G:$G, I:I)</f>
        <v>3.2258064516129031E-2</v>
      </c>
      <c r="AF199" s="13" cm="1">
        <f t="array" ref="AF199">J199 / _xlfn.XLOOKUP($AD199 &amp; "|" &amp; $H199, $AD:$AD &amp; "|" &amp; $G:$G, J:J)</f>
        <v>0</v>
      </c>
      <c r="AG199" s="13" cm="1">
        <f t="array" ref="AG199">K199 / _xlfn.XLOOKUP($AD199 &amp; "|" &amp; $H199, $AD:$AD &amp; "|" &amp; $G:$G, K:K)</f>
        <v>1.9163763066202089E-2</v>
      </c>
      <c r="AH199" s="13" cm="1">
        <f t="array" ref="AH199">L199 / _xlfn.XLOOKUP($AD199 &amp; "|" &amp; $H199, $AD:$AD &amp; "|" &amp; $G:$G, L:L)</f>
        <v>1.1102941176470589</v>
      </c>
      <c r="AI199" s="13" cm="1">
        <f t="array" ref="AI199">M199 / _xlfn.XLOOKUP($AD199 &amp; "|" &amp; $H199, $AD:$AD &amp; "|" &amp; $G:$G, M:M)</f>
        <v>1.0178865384142897</v>
      </c>
      <c r="AJ199" s="13" cm="1">
        <f t="array" ref="AJ199">N199 / _xlfn.XLOOKUP($AD199 &amp; "|" &amp; $H199, $AD:$AD &amp; "|" &amp; $G:$G, N:N)</f>
        <v>1.0178865384142897</v>
      </c>
      <c r="AK199" s="13" cm="1">
        <f t="array" ref="AK199">O199 / _xlfn.XLOOKUP($AD199 &amp; "|" &amp; $H199, $AD:$AD &amp; "|" &amp; $G:$G, O:O)</f>
        <v>1</v>
      </c>
      <c r="AL199" s="13" cm="1">
        <f t="array" ref="AL199">P199 / _xlfn.XLOOKUP($AD199 &amp; "|" &amp; $H199, $AD:$AD &amp; "|" &amp; $G:$G, P:P)</f>
        <v>1</v>
      </c>
      <c r="AM199" s="13" cm="1">
        <f t="array" ref="AM199">Q199 / _xlfn.XLOOKUP($AD199 &amp; "|" &amp; $H199, $AD:$AD &amp; "|" &amp; $G:$G, Q:Q)</f>
        <v>2.2258771929824558E-2</v>
      </c>
      <c r="AN199" s="13" cm="1">
        <f t="array" ref="AN199">R199 / _xlfn.XLOOKUP($AD199 &amp; "|" &amp; $H199, $AD:$AD &amp; "|" &amp; $G:$G, R:R)</f>
        <v>3.7522663100014855E-2</v>
      </c>
      <c r="AO199" s="13" cm="1">
        <f t="array" ref="AO199">S199 / _xlfn.XLOOKUP($AD199 &amp; "|" &amp; $H199, $AD:$AD &amp; "|" &amp; $G:$G, S:S)</f>
        <v>3.6919831223628692E-2</v>
      </c>
      <c r="AP199" s="13" cm="1">
        <f t="array" ref="AP199">T199 / _xlfn.XLOOKUP($AD199 &amp; "|" &amp; $H199, $AD:$AD &amp; "|" &amp; $G:$G, T:T)</f>
        <v>0.16551312419357944</v>
      </c>
      <c r="AQ199" s="13" t="e" cm="1">
        <f t="array" ref="AQ199">U199 / _xlfn.XLOOKUP($AD199 &amp; "|" &amp; $H199, $AD:$AD &amp; "|" &amp; $G:$G, U:U)</f>
        <v>#DIV/0!</v>
      </c>
      <c r="AR199" s="13" t="e" cm="1">
        <f t="array" ref="AR199">V199 / _xlfn.XLOOKUP($AD199 &amp; "|" &amp; $H199, $AD:$AD &amp; "|" &amp; $G:$G, V:V)</f>
        <v>#DIV/0!</v>
      </c>
      <c r="AS199" s="13" t="e" cm="1">
        <f t="array" ref="AS199">W199 / _xlfn.XLOOKUP($AD199 &amp; "|" &amp; $H199, $AD:$AD &amp; "|" &amp; $G:$G, W:W)</f>
        <v>#DIV/0!</v>
      </c>
      <c r="AT199" s="13" t="e" cm="1">
        <f t="array" ref="AT199">X199 / _xlfn.XLOOKUP($AD199 &amp; "|" &amp; $H199, $AD:$AD &amp; "|" &amp; $G:$G, X:X)</f>
        <v>#DIV/0!</v>
      </c>
      <c r="AU199" s="13" cm="1">
        <f t="array" ref="AU199">Y199 / _xlfn.XLOOKUP($AD199 &amp; "|" &amp; $H199, $AD:$AD &amp; "|" &amp; $G:$G, Y:Y)</f>
        <v>1.0319302962645931</v>
      </c>
      <c r="AV199" s="13" cm="1">
        <f t="array" ref="AV199">Z199 / _xlfn.XLOOKUP($AD199 &amp; "|" &amp; $H199, $AD:$AD &amp; "|" &amp; $G:$G, Z:Z)</f>
        <v>1.8139110875260869</v>
      </c>
      <c r="AW199" s="13" cm="1">
        <f t="array" ref="AW199">_xlfn.XLOOKUP($AD199 &amp; "|" &amp; $H199, $AD:$AD &amp; "|" &amp; $G:$G, L:L)</f>
        <v>13.6</v>
      </c>
      <c r="AY199" s="13"/>
      <c r="AZ199" t="s">
        <v>232</v>
      </c>
    </row>
    <row r="200" spans="1:52" x14ac:dyDescent="0.2">
      <c r="A200" t="s">
        <v>32</v>
      </c>
      <c r="B200" t="s">
        <v>2</v>
      </c>
      <c r="C200" t="s">
        <v>110</v>
      </c>
      <c r="D200" t="s">
        <v>112</v>
      </c>
      <c r="E200">
        <v>30</v>
      </c>
      <c r="F200" t="s">
        <v>216</v>
      </c>
      <c r="G200" t="s">
        <v>11</v>
      </c>
      <c r="H200" t="s">
        <v>8</v>
      </c>
      <c r="I200">
        <v>0.6</v>
      </c>
      <c r="J200">
        <v>0</v>
      </c>
      <c r="K200">
        <v>22</v>
      </c>
      <c r="L200">
        <v>15.1</v>
      </c>
      <c r="M200">
        <v>284.21666666666664</v>
      </c>
      <c r="N200">
        <v>284.21666666666664</v>
      </c>
      <c r="O200">
        <v>65</v>
      </c>
      <c r="P200">
        <v>2167.1999999999998</v>
      </c>
      <c r="Q200" cm="1">
        <f t="array" ref="Q200">AVERAGE(
    IF(
        ('Individual data from NASA'!$B:$B=$B200) *
        ('Individual data from NASA'!$C:$C=$G200) *
        ('Individual data from NASA'!$K:$K=$O200) *
        ('Individual data from NASA'!$D:$D=3),
        'Individual data from NASA'!M:M
    )
)</f>
        <v>113333333333333.33</v>
      </c>
      <c r="R200" cm="1">
        <f t="array" ref="R200">AVERAGE(
    IF(
        ('Individual data from NASA'!$B:$B=$B200) *
        ('Individual data from NASA'!$C:$C=$G200) *
        ('Individual data from NASA'!$K:$K=$O200) *
        ('Individual data from NASA'!$D:$D=3),
        'Individual data from NASA'!N:N
    )
)</f>
        <v>264000000000000</v>
      </c>
      <c r="S200" cm="1">
        <f t="array" ref="S200">AVERAGE(
    IF(
        ('Individual data from NASA'!$B:$B=$B200) *
        ('Individual data from NASA'!$C:$C=$G200) *
        ('Individual data from NASA'!$K:$K=$O200) *
        ('Individual data from NASA'!$D:$D=3),
        'Individual data from NASA'!O:O
    )
)</f>
        <v>376666666666666.69</v>
      </c>
      <c r="T200" cm="1">
        <f t="array" ref="T200">AVERAGE(
    IF(
        ('Individual data from NASA'!$B:$B=$B200) *
        ('Individual data from NASA'!$C:$C=$G200) *
        ('Individual data from NASA'!$K:$K=$O200) *
        ('Individual data from NASA'!$D:$D=3),
        'Individual data from NASA'!P:P
    )
)</f>
        <v>4.5666666666666664</v>
      </c>
      <c r="U200" cm="1">
        <f t="array" ref="U200">AVERAGE(
    IF(
        ('Individual data from NASA'!$B:$B=$B200) *
        ('Individual data from NASA'!$C:$C=$G200) *
        ('Individual data from NASA'!$K:$K=$O200) *
        ('Individual data from NASA'!$D:$D=3),
        'Individual data from NASA'!Q:Q
    )
)</f>
        <v>0.56199999999999994</v>
      </c>
      <c r="V200" cm="1">
        <f t="array" ref="V200">AVERAGE(
    IF(
        ('Individual data from NASA'!$B:$B=$B200) *
        ('Individual data from NASA'!$C:$C=$G200) *
        ('Individual data from NASA'!$K:$K=$O200) *
        ('Individual data from NASA'!$D:$D=3),
        'Individual data from NASA'!R:R
    )
)</f>
        <v>0.438</v>
      </c>
      <c r="W200" cm="1">
        <f t="array" ref="W200">AVERAGE(
    IF(
        ('Individual data from NASA'!$B:$B=$B200) *
        ('Individual data from NASA'!$C:$C=$G200) *
        ('Individual data from NASA'!$K:$K=$O200) *
        ('Individual data from NASA'!$D:$D=3),
        'Individual data from NASA'!S:S
    )
)</f>
        <v>2.4067147886666667</v>
      </c>
      <c r="X200" cm="1">
        <f t="array" ref="X200">AVERAGE(
    IF(
        ('Individual data from NASA'!$B:$B=$B200) *
        ('Individual data from NASA'!$C:$C=$G200) *
        ('Individual data from NASA'!$K:$K=$O200) *
        ('Individual data from NASA'!$D:$D=3),
        'Individual data from NASA'!T:T
    )
)</f>
        <v>2.4106172113333333</v>
      </c>
      <c r="Y200" cm="1">
        <f t="array" ref="Y200">AVERAGE(
    IF(
        ('Individual data from NASA'!$B:$B=$B200) *
        ('Individual data from NASA'!$C:$C=$G200) *
        ('Individual data from NASA'!$K:$K=$O200) *
        ('Individual data from NASA'!$D:$D=3),
        'Individual data from NASA'!U:U
    )
)</f>
        <v>17.949299999999997</v>
      </c>
      <c r="Z200" cm="1">
        <f t="array" ref="Z200">AVERAGE(
    IF(
        ('Individual data from NASA'!$B:$B=$B200) *
        ('Individual data from NASA'!$C:$C=$G200) *
        ('Individual data from NASA'!$K:$K=$O200) *
        ('Individual data from NASA'!$D:$D=3),
        'Individual data from NASA'!V:V
    )
)</f>
        <v>46.343933333333332</v>
      </c>
      <c r="AD200" t="str">
        <f t="shared" si="21"/>
        <v>Moore (2015)|AAFEX-I|Ground|CFM56-2C1|30|Eg no 3 Mid power</v>
      </c>
      <c r="AE200" s="13" cm="1">
        <f t="array" ref="AE200">I200 / _xlfn.XLOOKUP($AD200 &amp; "|" &amp; $H200, $AD:$AD &amp; "|" &amp; $G:$G, I:I)</f>
        <v>3.2258064516129031E-2</v>
      </c>
      <c r="AF200" s="13" cm="1">
        <f t="array" ref="AF200">J200 / _xlfn.XLOOKUP($AD200 &amp; "|" &amp; $H200, $AD:$AD &amp; "|" &amp; $G:$G, J:J)</f>
        <v>0</v>
      </c>
      <c r="AG200" s="13" cm="1">
        <f t="array" ref="AG200">K200 / _xlfn.XLOOKUP($AD200 &amp; "|" &amp; $H200, $AD:$AD &amp; "|" &amp; $G:$G, K:K)</f>
        <v>1.9163763066202089E-2</v>
      </c>
      <c r="AH200" s="13" cm="1">
        <f t="array" ref="AH200">L200 / _xlfn.XLOOKUP($AD200 &amp; "|" &amp; $H200, $AD:$AD &amp; "|" &amp; $G:$G, L:L)</f>
        <v>1.1102941176470589</v>
      </c>
      <c r="AI200" s="13" cm="1">
        <f t="array" ref="AI200">M200 / _xlfn.XLOOKUP($AD200 &amp; "|" &amp; $H200, $AD:$AD &amp; "|" &amp; $G:$G, M:M)</f>
        <v>1.0171786459886669</v>
      </c>
      <c r="AJ200" s="13" cm="1">
        <f t="array" ref="AJ200">N200 / _xlfn.XLOOKUP($AD200 &amp; "|" &amp; $H200, $AD:$AD &amp; "|" &amp; $G:$G, N:N)</f>
        <v>1.0171786459886669</v>
      </c>
      <c r="AK200" s="13" cm="1">
        <f t="array" ref="AK200">O200 / _xlfn.XLOOKUP($AD200 &amp; "|" &amp; $H200, $AD:$AD &amp; "|" &amp; $G:$G, O:O)</f>
        <v>1</v>
      </c>
      <c r="AL200" s="13" cm="1">
        <f t="array" ref="AL200">P200 / _xlfn.XLOOKUP($AD200 &amp; "|" &amp; $H200, $AD:$AD &amp; "|" &amp; $G:$G, P:P)</f>
        <v>1</v>
      </c>
      <c r="AM200" s="13" cm="1">
        <f t="array" ref="AM200">Q200 / _xlfn.XLOOKUP($AD200 &amp; "|" &amp; $H200, $AD:$AD &amp; "|" &amp; $G:$G, Q:Q)</f>
        <v>8.3409996933455993E-2</v>
      </c>
      <c r="AN200" s="13" cm="1">
        <f t="array" ref="AN200">R200 / _xlfn.XLOOKUP($AD200 &amp; "|" &amp; $H200, $AD:$AD &amp; "|" &amp; $G:$G, R:R)</f>
        <v>1.175684702738811E-2</v>
      </c>
      <c r="AO200" s="13" cm="1">
        <f t="array" ref="AO200">S200 / _xlfn.XLOOKUP($AD200 &amp; "|" &amp; $H200, $AD:$AD &amp; "|" &amp; $G:$G, S:S)</f>
        <v>1.5868000702123925E-2</v>
      </c>
      <c r="AP200" s="13" cm="1">
        <f t="array" ref="AP200">T200 / _xlfn.XLOOKUP($AD200 &amp; "|" &amp; $H200, $AD:$AD &amp; "|" &amp; $G:$G, T:T)</f>
        <v>0.14474379292128897</v>
      </c>
      <c r="AQ200" s="13" cm="1">
        <f t="array" ref="AQ200">U200 / _xlfn.XLOOKUP($AD200 &amp; "|" &amp; $H200, $AD:$AD &amp; "|" &amp; $G:$G, U:U)</f>
        <v>0.61843191196698755</v>
      </c>
      <c r="AR200" s="13" cm="1">
        <f t="array" ref="AR200">V200 / _xlfn.XLOOKUP($AD200 &amp; "|" &amp; $H200, $AD:$AD &amp; "|" &amp; $G:$G, V:V)</f>
        <v>4.8</v>
      </c>
      <c r="AS200" s="13" cm="1">
        <f t="array" ref="AS200">W200 / _xlfn.XLOOKUP($AD200 &amp; "|" &amp; $H200, $AD:$AD &amp; "|" &amp; $G:$G, W:W)</f>
        <v>3.6480335414168605E-2</v>
      </c>
      <c r="AT200" s="13" cm="1">
        <f t="array" ref="AT200">X200 / _xlfn.XLOOKUP($AD200 &amp; "|" &amp; $H200, $AD:$AD &amp; "|" &amp; $G:$G, X:X)</f>
        <v>0.31831753996903145</v>
      </c>
      <c r="AU200" s="13" cm="1">
        <f t="array" ref="AU200">Y200 / _xlfn.XLOOKUP($AD200 &amp; "|" &amp; $H200, $AD:$AD &amp; "|" &amp; $G:$G, Y:Y)</f>
        <v>1.2834599712014672</v>
      </c>
      <c r="AV200" s="13" cm="1">
        <f t="array" ref="AV200">Z200 / _xlfn.XLOOKUP($AD200 &amp; "|" &amp; $H200, $AD:$AD &amp; "|" &amp; $G:$G, Z:Z)</f>
        <v>1.3943188235743935</v>
      </c>
      <c r="AW200" s="13" cm="1">
        <f t="array" ref="AW200">_xlfn.XLOOKUP($AD200 &amp; "|" &amp; $H200, $AD:$AD &amp; "|" &amp; $G:$G, L:L)</f>
        <v>13.6</v>
      </c>
      <c r="AY200" s="13"/>
      <c r="AZ200" t="s">
        <v>232</v>
      </c>
    </row>
    <row r="201" spans="1:52" x14ac:dyDescent="0.2">
      <c r="A201" t="s">
        <v>32</v>
      </c>
      <c r="B201" t="s">
        <v>2</v>
      </c>
      <c r="C201" t="s">
        <v>110</v>
      </c>
      <c r="D201" t="s">
        <v>112</v>
      </c>
      <c r="E201">
        <v>30</v>
      </c>
      <c r="F201" t="s">
        <v>217</v>
      </c>
      <c r="G201" t="s">
        <v>11</v>
      </c>
      <c r="H201" t="s">
        <v>8</v>
      </c>
      <c r="I201">
        <v>0.6</v>
      </c>
      <c r="J201">
        <v>0</v>
      </c>
      <c r="K201">
        <v>22</v>
      </c>
      <c r="L201">
        <v>15.1</v>
      </c>
      <c r="M201">
        <v>284.34999999999997</v>
      </c>
      <c r="N201">
        <v>284.34999999999997</v>
      </c>
      <c r="O201">
        <v>85</v>
      </c>
      <c r="P201">
        <v>3041.9999999999995</v>
      </c>
      <c r="Q201" cm="1">
        <f t="array" ref="Q201">AVERAGE(
    IF(
        ('Individual data from NASA'!$B:$B=$B201) *
        ('Individual data from NASA'!$C:$C=$G201) *
        ('Individual data from NASA'!$K:$K=$O201) *
        ('Individual data from NASA'!$D:$D=3),
        'Individual data from NASA'!M:M
    )
)</f>
        <v>336666666666666.69</v>
      </c>
      <c r="R201" cm="1">
        <f t="array" ref="R201">AVERAGE(
    IF(
        ('Individual data from NASA'!$B:$B=$B201) *
        ('Individual data from NASA'!$C:$C=$G201) *
        ('Individual data from NASA'!$K:$K=$O201) *
        ('Individual data from NASA'!$D:$D=3),
        'Individual data from NASA'!N:N
    )
)</f>
        <v>409666666666666.69</v>
      </c>
      <c r="S201" cm="1">
        <f t="array" ref="S201">AVERAGE(
    IF(
        ('Individual data from NASA'!$B:$B=$B201) *
        ('Individual data from NASA'!$C:$C=$G201) *
        ('Individual data from NASA'!$K:$K=$O201) *
        ('Individual data from NASA'!$D:$D=3),
        'Individual data from NASA'!O:O
    )
)</f>
        <v>746666666666666.62</v>
      </c>
      <c r="T201" cm="1">
        <f t="array" ref="T201">AVERAGE(
    IF(
        ('Individual data from NASA'!$B:$B=$B201) *
        ('Individual data from NASA'!$C:$C=$G201) *
        ('Individual data from NASA'!$K:$K=$O201) *
        ('Individual data from NASA'!$D:$D=3),
        'Individual data from NASA'!P:P
    )
)</f>
        <v>25</v>
      </c>
      <c r="U201" cm="1">
        <f t="array" ref="U201">AVERAGE(
    IF(
        ('Individual data from NASA'!$B:$B=$B201) *
        ('Individual data from NASA'!$C:$C=$G201) *
        ('Individual data from NASA'!$K:$K=$O201) *
        ('Individual data from NASA'!$D:$D=3),
        'Individual data from NASA'!Q:Q
    )
)</f>
        <v>0.80338307400000009</v>
      </c>
      <c r="V201" cm="1">
        <f t="array" ref="V201">AVERAGE(
    IF(
        ('Individual data from NASA'!$B:$B=$B201) *
        ('Individual data from NASA'!$C:$C=$G201) *
        ('Individual data from NASA'!$K:$K=$O201) *
        ('Individual data from NASA'!$D:$D=3),
        'Individual data from NASA'!R:R
    )
)</f>
        <v>0.196616926</v>
      </c>
      <c r="W201" cm="1">
        <f t="array" ref="W201">AVERAGE(
    IF(
        ('Individual data from NASA'!$B:$B=$B201) *
        ('Individual data from NASA'!$C:$C=$G201) *
        ('Individual data from NASA'!$K:$K=$O201) *
        ('Individual data from NASA'!$D:$D=3),
        'Individual data from NASA'!S:S
    )
)</f>
        <v>15.199294649500001</v>
      </c>
      <c r="X201" cm="1">
        <f t="array" ref="X201">AVERAGE(
    IF(
        ('Individual data from NASA'!$B:$B=$B201) *
        ('Individual data from NASA'!$C:$C=$G201) *
        ('Individual data from NASA'!$K:$K=$O201) *
        ('Individual data from NASA'!$D:$D=3),
        'Individual data from NASA'!T:T
    )
)</f>
        <v>2.9804053490000002</v>
      </c>
      <c r="Y201" cm="1">
        <f t="array" ref="Y201">AVERAGE(
    IF(
        ('Individual data from NASA'!$B:$B=$B201) *
        ('Individual data from NASA'!$C:$C=$G201) *
        ('Individual data from NASA'!$K:$K=$O201) *
        ('Individual data from NASA'!$D:$D=3),
        'Individual data from NASA'!U:U
    )
)</f>
        <v>20.623466666666666</v>
      </c>
      <c r="Z201" cm="1">
        <f t="array" ref="Z201">AVERAGE(
    IF(
        ('Individual data from NASA'!$B:$B=$B201) *
        ('Individual data from NASA'!$C:$C=$G201) *
        ('Individual data from NASA'!$K:$K=$O201) *
        ('Individual data from NASA'!$D:$D=3),
        'Individual data from NASA'!V:V
    )
)</f>
        <v>60.433866666666667</v>
      </c>
      <c r="AD201" t="str">
        <f t="shared" si="21"/>
        <v>Moore (2015)|AAFEX-I|Ground|CFM56-2C1|30|Eg no 3 Climb</v>
      </c>
      <c r="AE201" s="13" cm="1">
        <f t="array" ref="AE201">I201 / _xlfn.XLOOKUP($AD201 &amp; "|" &amp; $H201, $AD:$AD &amp; "|" &amp; $G:$G, I:I)</f>
        <v>3.2258064516129031E-2</v>
      </c>
      <c r="AF201" s="13" cm="1">
        <f t="array" ref="AF201">J201 / _xlfn.XLOOKUP($AD201 &amp; "|" &amp; $H201, $AD:$AD &amp; "|" &amp; $G:$G, J:J)</f>
        <v>0</v>
      </c>
      <c r="AG201" s="13" cm="1">
        <f t="array" ref="AG201">K201 / _xlfn.XLOOKUP($AD201 &amp; "|" &amp; $H201, $AD:$AD &amp; "|" &amp; $G:$G, K:K)</f>
        <v>1.9163763066202089E-2</v>
      </c>
      <c r="AH201" s="13" cm="1">
        <f t="array" ref="AH201">L201 / _xlfn.XLOOKUP($AD201 &amp; "|" &amp; $H201, $AD:$AD &amp; "|" &amp; $G:$G, L:L)</f>
        <v>1.1102941176470589</v>
      </c>
      <c r="AI201" s="13" cm="1">
        <f t="array" ref="AI201">M201 / _xlfn.XLOOKUP($AD201 &amp; "|" &amp; $H201, $AD:$AD &amp; "|" &amp; $G:$G, M:M)</f>
        <v>1.0160558381076028</v>
      </c>
      <c r="AJ201" s="13" cm="1">
        <f t="array" ref="AJ201">N201 / _xlfn.XLOOKUP($AD201 &amp; "|" &amp; $H201, $AD:$AD &amp; "|" &amp; $G:$G, N:N)</f>
        <v>1.0160558381076028</v>
      </c>
      <c r="AK201" s="13" cm="1">
        <f t="array" ref="AK201">O201 / _xlfn.XLOOKUP($AD201 &amp; "|" &amp; $H201, $AD:$AD &amp; "|" &amp; $G:$G, O:O)</f>
        <v>1</v>
      </c>
      <c r="AL201" s="13" cm="1">
        <f t="array" ref="AL201">P201 / _xlfn.XLOOKUP($AD201 &amp; "|" &amp; $H201, $AD:$AD &amp; "|" &amp; $G:$G, P:P)</f>
        <v>1</v>
      </c>
      <c r="AM201" s="13" cm="1">
        <f t="array" ref="AM201">Q201 / _xlfn.XLOOKUP($AD201 &amp; "|" &amp; $H201, $AD:$AD &amp; "|" &amp; $G:$G, Q:Q)</f>
        <v>0.2028112449799197</v>
      </c>
      <c r="AN201" s="13" cm="1">
        <f t="array" ref="AN201">R201 / _xlfn.XLOOKUP($AD201 &amp; "|" &amp; $H201, $AD:$AD &amp; "|" &amp; $G:$G, R:R)</f>
        <v>2.4290937839707483E-2</v>
      </c>
      <c r="AO201" s="13" cm="1">
        <f t="array" ref="AO201">S201 / _xlfn.XLOOKUP($AD201 &amp; "|" &amp; $H201, $AD:$AD &amp; "|" &amp; $G:$G, S:S)</f>
        <v>4.014336917562724E-2</v>
      </c>
      <c r="AP201" s="13" cm="1">
        <f t="array" ref="AP201">T201 / _xlfn.XLOOKUP($AD201 &amp; "|" &amp; $H201, $AD:$AD &amp; "|" &amp; $G:$G, T:T)</f>
        <v>0.19849146486701072</v>
      </c>
      <c r="AQ201" s="13" cm="1">
        <f t="array" ref="AQ201">U201 / _xlfn.XLOOKUP($AD201 &amp; "|" &amp; $H201, $AD:$AD &amp; "|" &amp; $G:$G, U:U)</f>
        <v>1.2660362682569288</v>
      </c>
      <c r="AR201" s="13" cm="1">
        <f t="array" ref="AR201">V201 / _xlfn.XLOOKUP($AD201 &amp; "|" &amp; $H201, $AD:$AD &amp; "|" &amp; $G:$G, V:V)</f>
        <v>0.53803618425025235</v>
      </c>
      <c r="AS201" s="13" cm="1">
        <f t="array" ref="AS201">W201 / _xlfn.XLOOKUP($AD201 &amp; "|" &amp; $H201, $AD:$AD &amp; "|" &amp; $G:$G, W:W)</f>
        <v>0.2645002870945386</v>
      </c>
      <c r="AT201" s="13" cm="1">
        <f t="array" ref="AT201">X201 / _xlfn.XLOOKUP($AD201 &amp; "|" &amp; $H201, $AD:$AD &amp; "|" &amp; $G:$G, X:X)</f>
        <v>8.1289449472997904E-2</v>
      </c>
      <c r="AU201" s="13" cm="1">
        <f t="array" ref="AU201">Y201 / _xlfn.XLOOKUP($AD201 &amp; "|" &amp; $H201, $AD:$AD &amp; "|" &amp; $G:$G, Y:Y)</f>
        <v>1.5261531175305436</v>
      </c>
      <c r="AV201" s="13" cm="1">
        <f t="array" ref="AV201">Z201 / _xlfn.XLOOKUP($AD201 &amp; "|" &amp; $H201, $AD:$AD &amp; "|" &amp; $G:$G, Z:Z)</f>
        <v>0.97691473328523348</v>
      </c>
      <c r="AW201" s="13" cm="1">
        <f t="array" ref="AW201">_xlfn.XLOOKUP($AD201 &amp; "|" &amp; $H201, $AD:$AD &amp; "|" &amp; $G:$G, L:L)</f>
        <v>13.6</v>
      </c>
      <c r="AY201" s="13"/>
      <c r="AZ201" t="s">
        <v>232</v>
      </c>
    </row>
    <row r="202" spans="1:52" x14ac:dyDescent="0.2">
      <c r="A202" t="s">
        <v>32</v>
      </c>
      <c r="B202" t="s">
        <v>2</v>
      </c>
      <c r="C202" t="s">
        <v>110</v>
      </c>
      <c r="D202" t="s">
        <v>112</v>
      </c>
      <c r="E202">
        <v>30</v>
      </c>
      <c r="F202" t="s">
        <v>212</v>
      </c>
      <c r="G202" t="s">
        <v>11</v>
      </c>
      <c r="H202" t="s">
        <v>8</v>
      </c>
      <c r="I202">
        <v>0.6</v>
      </c>
      <c r="J202">
        <v>0</v>
      </c>
      <c r="K202">
        <v>22</v>
      </c>
      <c r="L202">
        <v>15.1</v>
      </c>
      <c r="M202">
        <v>290.95</v>
      </c>
      <c r="N202">
        <v>290.95</v>
      </c>
      <c r="O202">
        <v>100</v>
      </c>
      <c r="P202">
        <v>3218.4</v>
      </c>
      <c r="Q202" cm="1">
        <f t="array" ref="Q202">AVERAGE(
    IF(
        ('Individual data from NASA'!$B:$B=$B202) *
        ('Individual data from NASA'!$C:$C=$G202) *
        ('Individual data from NASA'!$K:$K=$O202) *
        ('Individual data from NASA'!$D:$D=3),
        'Individual data from NASA'!M:M
    )
)</f>
        <v>584000000000000</v>
      </c>
      <c r="R202" cm="1">
        <f t="array" ref="R202">AVERAGE(
    IF(
        ('Individual data from NASA'!$B:$B=$B202) *
        ('Individual data from NASA'!$C:$C=$G202) *
        ('Individual data from NASA'!$K:$K=$O202) *
        ('Individual data from NASA'!$D:$D=3),
        'Individual data from NASA'!N:N
    )
)</f>
        <v>738000000000000</v>
      </c>
      <c r="S202" cm="1">
        <f t="array" ref="S202">AVERAGE(
    IF(
        ('Individual data from NASA'!$B:$B=$B202) *
        ('Individual data from NASA'!$C:$C=$G202) *
        ('Individual data from NASA'!$K:$K=$O202) *
        ('Individual data from NASA'!$D:$D=3),
        'Individual data from NASA'!O:O
    )
)</f>
        <v>1320000000000000</v>
      </c>
      <c r="T202" cm="1">
        <f t="array" ref="T202">AVERAGE(
    IF(
        ('Individual data from NASA'!$B:$B=$B202) *
        ('Individual data from NASA'!$C:$C=$G202) *
        ('Individual data from NASA'!$K:$K=$O202) *
        ('Individual data from NASA'!$D:$D=3),
        'Individual data from NASA'!P:P
    )
)</f>
        <v>81</v>
      </c>
      <c r="U202" cm="1">
        <f t="array" ref="U202">AVERAGE(
    IF(
        ('Individual data from NASA'!$B:$B=$B202) *
        ('Individual data from NASA'!$C:$C=$G202) *
        ('Individual data from NASA'!$K:$K=$O202) *
        ('Individual data from NASA'!$D:$D=3),
        'Individual data from NASA'!Q:Q
    )
)</f>
        <v>0.86799999999999999</v>
      </c>
      <c r="V202" cm="1">
        <f t="array" ref="V202">AVERAGE(
    IF(
        ('Individual data from NASA'!$B:$B=$B202) *
        ('Individual data from NASA'!$C:$C=$G202) *
        ('Individual data from NASA'!$K:$K=$O202) *
        ('Individual data from NASA'!$D:$D=3),
        'Individual data from NASA'!R:R
    )
)</f>
        <v>0.13200000000000001</v>
      </c>
      <c r="W202" cm="1">
        <f t="array" ref="W202">AVERAGE(
    IF(
        ('Individual data from NASA'!$B:$B=$B202) *
        ('Individual data from NASA'!$C:$C=$G202) *
        ('Individual data from NASA'!$K:$K=$O202) *
        ('Individual data from NASA'!$D:$D=3),
        'Individual data from NASA'!S:S
    )
)</f>
        <v>29.108799189999999</v>
      </c>
      <c r="X202" cm="1">
        <f t="array" ref="X202">AVERAGE(
    IF(
        ('Individual data from NASA'!$B:$B=$B202) *
        ('Individual data from NASA'!$C:$C=$G202) *
        ('Individual data from NASA'!$K:$K=$O202) *
        ('Individual data from NASA'!$D:$D=3),
        'Individual data from NASA'!T:T
    )
)</f>
        <v>4.4150008129999998</v>
      </c>
      <c r="Y202" cm="1">
        <f t="array" ref="Y202">AVERAGE(
    IF(
        ('Individual data from NASA'!$B:$B=$B202) *
        ('Individual data from NASA'!$C:$C=$G202) *
        ('Individual data from NASA'!$K:$K=$O202) *
        ('Individual data from NASA'!$D:$D=3),
        'Individual data from NASA'!U:U
    )
)</f>
        <v>30.300599999999999</v>
      </c>
      <c r="Z202" cm="1">
        <f t="array" ref="Z202">AVERAGE(
    IF(
        ('Individual data from NASA'!$B:$B=$B202) *
        ('Individual data from NASA'!$C:$C=$G202) *
        ('Individual data from NASA'!$K:$K=$O202) *
        ('Individual data from NASA'!$D:$D=3),
        'Individual data from NASA'!V:V
    )
)</f>
        <v>72.776899999999998</v>
      </c>
      <c r="AD202" t="str">
        <f t="shared" si="21"/>
        <v>Moore (2015)|AAFEX-I|Ground|CFM56-2C1|30|Eg no 3 Take-off</v>
      </c>
      <c r="AE202" s="13" cm="1">
        <f t="array" ref="AE202">I202 / _xlfn.XLOOKUP($AD202 &amp; "|" &amp; $H202, $AD:$AD &amp; "|" &amp; $G:$G, I:I)</f>
        <v>3.2258064516129031E-2</v>
      </c>
      <c r="AF202" s="13" cm="1">
        <f t="array" ref="AF202">J202 / _xlfn.XLOOKUP($AD202 &amp; "|" &amp; $H202, $AD:$AD &amp; "|" &amp; $G:$G, J:J)</f>
        <v>0</v>
      </c>
      <c r="AG202" s="13" cm="1">
        <f t="array" ref="AG202">K202 / _xlfn.XLOOKUP($AD202 &amp; "|" &amp; $H202, $AD:$AD &amp; "|" &amp; $G:$G, K:K)</f>
        <v>1.9163763066202089E-2</v>
      </c>
      <c r="AH202" s="13" cm="1">
        <f t="array" ref="AH202">L202 / _xlfn.XLOOKUP($AD202 &amp; "|" &amp; $H202, $AD:$AD &amp; "|" &amp; $G:$G, L:L)</f>
        <v>1.1102941176470589</v>
      </c>
      <c r="AI202" s="13" cm="1">
        <f t="array" ref="AI202">M202 / _xlfn.XLOOKUP($AD202 &amp; "|" &amp; $H202, $AD:$AD &amp; "|" &amp; $G:$G, M:M)</f>
        <v>1.0309150500487201</v>
      </c>
      <c r="AJ202" s="13" cm="1">
        <f t="array" ref="AJ202">N202 / _xlfn.XLOOKUP($AD202 &amp; "|" &amp; $H202, $AD:$AD &amp; "|" &amp; $G:$G, N:N)</f>
        <v>1.0309150500487201</v>
      </c>
      <c r="AK202" s="13" cm="1">
        <f t="array" ref="AK202">O202 / _xlfn.XLOOKUP($AD202 &amp; "|" &amp; $H202, $AD:$AD &amp; "|" &amp; $G:$G, O:O)</f>
        <v>1</v>
      </c>
      <c r="AL202" s="13" cm="1">
        <f t="array" ref="AL202">P202 / _xlfn.XLOOKUP($AD202 &amp; "|" &amp; $H202, $AD:$AD &amp; "|" &amp; $G:$G, P:P)</f>
        <v>1</v>
      </c>
      <c r="AM202" s="13" cm="1">
        <f t="array" ref="AM202">Q202 / _xlfn.XLOOKUP($AD202 &amp; "|" &amp; $H202, $AD:$AD &amp; "|" &amp; $G:$G, Q:Q)</f>
        <v>0.30266908525524749</v>
      </c>
      <c r="AN202" s="13" cm="1">
        <f t="array" ref="AN202">R202 / _xlfn.XLOOKUP($AD202 &amp; "|" &amp; $H202, $AD:$AD &amp; "|" &amp; $G:$G, R:R)</f>
        <v>5.4474995386602693E-2</v>
      </c>
      <c r="AO202" s="13" cm="1">
        <f t="array" ref="AO202">S202 / _xlfn.XLOOKUP($AD202 &amp; "|" &amp; $H202, $AD:$AD &amp; "|" &amp; $G:$G, S:S)</f>
        <v>8.5478387566779987E-2</v>
      </c>
      <c r="AP202" s="13" cm="1">
        <f t="array" ref="AP202">T202 / _xlfn.XLOOKUP($AD202 &amp; "|" &amp; $H202, $AD:$AD &amp; "|" &amp; $G:$G, T:T)</f>
        <v>0.47175305765870706</v>
      </c>
      <c r="AQ202" s="13" cm="1">
        <f t="array" ref="AQ202">U202 / _xlfn.XLOOKUP($AD202 &amp; "|" &amp; $H202, $AD:$AD &amp; "|" &amp; $G:$G, U:U)</f>
        <v>1.3832669322709163</v>
      </c>
      <c r="AR202" s="13" cm="1">
        <f t="array" ref="AR202">V202 / _xlfn.XLOOKUP($AD202 &amp; "|" &amp; $H202, $AD:$AD &amp; "|" &amp; $G:$G, V:V)</f>
        <v>0.35436241610738256</v>
      </c>
      <c r="AS202" s="13" cm="1">
        <f t="array" ref="AS202">W202 / _xlfn.XLOOKUP($AD202 &amp; "|" &amp; $H202, $AD:$AD &amp; "|" &amp; $G:$G, W:W)</f>
        <v>0.52127503657586483</v>
      </c>
      <c r="AT202" s="13" cm="1">
        <f t="array" ref="AT202">X202 / _xlfn.XLOOKUP($AD202 &amp; "|" &amp; $H202, $AD:$AD &amp; "|" &amp; $G:$G, X:X)</f>
        <v>0.10948147875135621</v>
      </c>
      <c r="AU202" s="13" cm="1">
        <f t="array" ref="AU202">Y202 / _xlfn.XLOOKUP($AD202 &amp; "|" &amp; $H202, $AD:$AD &amp; "|" &amp; $G:$G, Y:Y)</f>
        <v>2.1894011239425786</v>
      </c>
      <c r="AV202" s="13" cm="1">
        <f t="array" ref="AV202">Z202 / _xlfn.XLOOKUP($AD202 &amp; "|" &amp; $H202, $AD:$AD &amp; "|" &amp; $G:$G, Z:Z)</f>
        <v>1.0366655211770173</v>
      </c>
      <c r="AW202" s="13" cm="1">
        <f t="array" ref="AW202">_xlfn.XLOOKUP($AD202 &amp; "|" &amp; $H202, $AD:$AD &amp; "|" &amp; $G:$G, L:L)</f>
        <v>13.6</v>
      </c>
      <c r="AY202" s="13"/>
      <c r="AZ202" t="s">
        <v>232</v>
      </c>
    </row>
    <row r="203" spans="1:52" x14ac:dyDescent="0.2">
      <c r="A203" t="s">
        <v>32</v>
      </c>
      <c r="B203" t="s">
        <v>2</v>
      </c>
      <c r="C203" t="s">
        <v>110</v>
      </c>
      <c r="D203" t="s">
        <v>112</v>
      </c>
      <c r="E203">
        <v>30</v>
      </c>
      <c r="F203" t="s">
        <v>213</v>
      </c>
      <c r="G203" t="s">
        <v>13</v>
      </c>
      <c r="H203" t="s">
        <v>8</v>
      </c>
      <c r="I203">
        <v>9.1</v>
      </c>
      <c r="J203">
        <v>0.8</v>
      </c>
      <c r="K203">
        <v>658</v>
      </c>
      <c r="L203">
        <v>14.3</v>
      </c>
      <c r="M203">
        <v>284.84999999999997</v>
      </c>
      <c r="N203">
        <v>284.84999999999997</v>
      </c>
      <c r="O203">
        <v>4</v>
      </c>
      <c r="P203">
        <v>457.2</v>
      </c>
      <c r="Q203" t="e" cm="1">
        <f t="array" ref="Q203">AVERAGE(
    IF(
        ('Individual data from NASA'!$B:$B=$B203) *
        ('Individual data from NASA'!$C:$C=$G203) *
        ('Individual data from NASA'!$K:$K=$O203) *
        ('Individual data from NASA'!$D:$D=3),
        'Individual data from NASA'!M:M
    )
)</f>
        <v>#DIV/0!</v>
      </c>
      <c r="R203" t="e" cm="1">
        <f t="array" ref="R203">AVERAGE(
    IF(
        ('Individual data from NASA'!$B:$B=$B203) *
        ('Individual data from NASA'!$C:$C=$G203) *
        ('Individual data from NASA'!$K:$K=$O203) *
        ('Individual data from NASA'!$D:$D=3),
        'Individual data from NASA'!N:N
    )
)</f>
        <v>#DIV/0!</v>
      </c>
      <c r="S203" t="e" cm="1">
        <f t="array" ref="S203">AVERAGE(
    IF(
        ('Individual data from NASA'!$B:$B=$B203) *
        ('Individual data from NASA'!$C:$C=$G203) *
        ('Individual data from NASA'!$K:$K=$O203) *
        ('Individual data from NASA'!$D:$D=3),
        'Individual data from NASA'!O:O
    )
)</f>
        <v>#DIV/0!</v>
      </c>
      <c r="T203" t="e" cm="1">
        <f t="array" ref="T203">AVERAGE(
    IF(
        ('Individual data from NASA'!$B:$B=$B203) *
        ('Individual data from NASA'!$C:$C=$G203) *
        ('Individual data from NASA'!$K:$K=$O203) *
        ('Individual data from NASA'!$D:$D=3),
        'Individual data from NASA'!P:P
    )
)</f>
        <v>#DIV/0!</v>
      </c>
      <c r="U203" t="e" cm="1">
        <f t="array" ref="U203">AVERAGE(
    IF(
        ('Individual data from NASA'!$B:$B=$B203) *
        ('Individual data from NASA'!$C:$C=$G203) *
        ('Individual data from NASA'!$K:$K=$O203) *
        ('Individual data from NASA'!$D:$D=3),
        'Individual data from NASA'!Q:Q
    )
)</f>
        <v>#DIV/0!</v>
      </c>
      <c r="V203" t="e" cm="1">
        <f t="array" ref="V203">AVERAGE(
    IF(
        ('Individual data from NASA'!$B:$B=$B203) *
        ('Individual data from NASA'!$C:$C=$G203) *
        ('Individual data from NASA'!$K:$K=$O203) *
        ('Individual data from NASA'!$D:$D=3),
        'Individual data from NASA'!R:R
    )
)</f>
        <v>#DIV/0!</v>
      </c>
      <c r="W203" t="e" cm="1">
        <f t="array" ref="W203">AVERAGE(
    IF(
        ('Individual data from NASA'!$B:$B=$B203) *
        ('Individual data from NASA'!$C:$C=$G203) *
        ('Individual data from NASA'!$K:$K=$O203) *
        ('Individual data from NASA'!$D:$D=3),
        'Individual data from NASA'!S:S
    )
)</f>
        <v>#DIV/0!</v>
      </c>
      <c r="X203" t="e" cm="1">
        <f t="array" ref="X203">AVERAGE(
    IF(
        ('Individual data from NASA'!$B:$B=$B203) *
        ('Individual data from NASA'!$C:$C=$G203) *
        ('Individual data from NASA'!$K:$K=$O203) *
        ('Individual data from NASA'!$D:$D=3),
        'Individual data from NASA'!T:T
    )
)</f>
        <v>#DIV/0!</v>
      </c>
      <c r="Y203" t="e" cm="1">
        <f t="array" ref="Y203">AVERAGE(
    IF(
        ('Individual data from NASA'!$B:$B=$B203) *
        ('Individual data from NASA'!$C:$C=$G203) *
        ('Individual data from NASA'!$K:$K=$O203) *
        ('Individual data from NASA'!$D:$D=3),
        'Individual data from NASA'!U:U
    )
)</f>
        <v>#DIV/0!</v>
      </c>
      <c r="Z203" t="e" cm="1">
        <f t="array" ref="Z203">AVERAGE(
    IF(
        ('Individual data from NASA'!$B:$B=$B203) *
        ('Individual data from NASA'!$C:$C=$G203) *
        ('Individual data from NASA'!$K:$K=$O203) *
        ('Individual data from NASA'!$D:$D=3),
        'Individual data from NASA'!V:V
    )
)</f>
        <v>#DIV/0!</v>
      </c>
      <c r="AD203" t="str">
        <f t="shared" si="21"/>
        <v>Moore (2015)|AAFEX-I|Ground|CFM56-2C1|30|Eg no 3 Idle (min)</v>
      </c>
      <c r="AE203" s="13" cm="1">
        <f t="array" ref="AE203">I203 / _xlfn.XLOOKUP($AD203 &amp; "|" &amp; $H203, $AD:$AD &amp; "|" &amp; $G:$G, I:I)</f>
        <v>0.48924731182795694</v>
      </c>
      <c r="AF203" s="13" cm="1">
        <f t="array" ref="AF203">J203 / _xlfn.XLOOKUP($AD203 &amp; "|" &amp; $H203, $AD:$AD &amp; "|" &amp; $G:$G, J:J)</f>
        <v>0.5</v>
      </c>
      <c r="AG203" s="13" cm="1">
        <f t="array" ref="AG203">K203 / _xlfn.XLOOKUP($AD203 &amp; "|" &amp; $H203, $AD:$AD &amp; "|" &amp; $G:$G, K:K)</f>
        <v>0.57317073170731703</v>
      </c>
      <c r="AH203" s="13" cm="1">
        <f t="array" ref="AH203">L203 / _xlfn.XLOOKUP($AD203 &amp; "|" &amp; $H203, $AD:$AD &amp; "|" &amp; $G:$G, L:L)</f>
        <v>1.0514705882352942</v>
      </c>
      <c r="AI203" s="13" cm="1">
        <f t="array" ref="AI203">M203 / _xlfn.XLOOKUP($AD203 &amp; "|" &amp; $H203, $AD:$AD &amp; "|" &amp; $G:$G, M:M)</f>
        <v>1.0128982204334966</v>
      </c>
      <c r="AJ203" s="13" cm="1">
        <f t="array" ref="AJ203">N203 / _xlfn.XLOOKUP($AD203 &amp; "|" &amp; $H203, $AD:$AD &amp; "|" &amp; $G:$G, N:N)</f>
        <v>1.0128982204334966</v>
      </c>
      <c r="AK203" s="13" cm="1">
        <f t="array" ref="AK203">O203 / _xlfn.XLOOKUP($AD203 &amp; "|" &amp; $H203, $AD:$AD &amp; "|" &amp; $G:$G, O:O)</f>
        <v>1</v>
      </c>
      <c r="AL203" s="13" cm="1">
        <f t="array" ref="AL203">P203 / _xlfn.XLOOKUP($AD203 &amp; "|" &amp; $H203, $AD:$AD &amp; "|" &amp; $G:$G, P:P)</f>
        <v>1</v>
      </c>
      <c r="AM203" s="13" t="e" cm="1">
        <f t="array" ref="AM203">Q203 / _xlfn.XLOOKUP($AD203 &amp; "|" &amp; $H203, $AD:$AD &amp; "|" &amp; $G:$G, Q:Q)</f>
        <v>#DIV/0!</v>
      </c>
      <c r="AN203" s="13" t="e" cm="1">
        <f t="array" ref="AN203">R203 / _xlfn.XLOOKUP($AD203 &amp; "|" &amp; $H203, $AD:$AD &amp; "|" &amp; $G:$G, R:R)</f>
        <v>#DIV/0!</v>
      </c>
      <c r="AO203" s="13" t="e" cm="1">
        <f t="array" ref="AO203">S203 / _xlfn.XLOOKUP($AD203 &amp; "|" &amp; $H203, $AD:$AD &amp; "|" &amp; $G:$G, S:S)</f>
        <v>#DIV/0!</v>
      </c>
      <c r="AP203" s="13" t="e" cm="1">
        <f t="array" ref="AP203">T203 / _xlfn.XLOOKUP($AD203 &amp; "|" &amp; $H203, $AD:$AD &amp; "|" &amp; $G:$G, T:T)</f>
        <v>#DIV/0!</v>
      </c>
      <c r="AQ203" s="13" t="e" cm="1">
        <f t="array" ref="AQ203">U203 / _xlfn.XLOOKUP($AD203 &amp; "|" &amp; $H203, $AD:$AD &amp; "|" &amp; $G:$G, U:U)</f>
        <v>#DIV/0!</v>
      </c>
      <c r="AR203" s="13" t="e" cm="1">
        <f t="array" ref="AR203">V203 / _xlfn.XLOOKUP($AD203 &amp; "|" &amp; $H203, $AD:$AD &amp; "|" &amp; $G:$G, V:V)</f>
        <v>#DIV/0!</v>
      </c>
      <c r="AS203" s="13" t="e" cm="1">
        <f t="array" ref="AS203">W203 / _xlfn.XLOOKUP($AD203 &amp; "|" &amp; $H203, $AD:$AD &amp; "|" &amp; $G:$G, W:W)</f>
        <v>#DIV/0!</v>
      </c>
      <c r="AT203" s="13" t="e" cm="1">
        <f t="array" ref="AT203">X203 / _xlfn.XLOOKUP($AD203 &amp; "|" &amp; $H203, $AD:$AD &amp; "|" &amp; $G:$G, X:X)</f>
        <v>#DIV/0!</v>
      </c>
      <c r="AU203" s="13" t="e" cm="1">
        <f t="array" ref="AU203">Y203 / _xlfn.XLOOKUP($AD203 &amp; "|" &amp; $H203, $AD:$AD &amp; "|" &amp; $G:$G, Y:Y)</f>
        <v>#DIV/0!</v>
      </c>
      <c r="AV203" s="13" t="e" cm="1">
        <f t="array" ref="AV203">Z203 / _xlfn.XLOOKUP($AD203 &amp; "|" &amp; $H203, $AD:$AD &amp; "|" &amp; $G:$G, Z:Z)</f>
        <v>#DIV/0!</v>
      </c>
      <c r="AW203" s="13" cm="1">
        <f t="array" ref="AW203">_xlfn.XLOOKUP($AD203 &amp; "|" &amp; $H203, $AD:$AD &amp; "|" &amp; $G:$G, L:L)</f>
        <v>13.6</v>
      </c>
      <c r="AY203" s="13"/>
      <c r="AZ203" t="s">
        <v>232</v>
      </c>
    </row>
    <row r="204" spans="1:52" x14ac:dyDescent="0.2">
      <c r="A204" t="s">
        <v>32</v>
      </c>
      <c r="B204" t="s">
        <v>2</v>
      </c>
      <c r="C204" t="s">
        <v>110</v>
      </c>
      <c r="D204" t="s">
        <v>112</v>
      </c>
      <c r="E204">
        <v>30</v>
      </c>
      <c r="F204" t="s">
        <v>214</v>
      </c>
      <c r="G204" t="s">
        <v>13</v>
      </c>
      <c r="H204" t="s">
        <v>8</v>
      </c>
      <c r="I204">
        <v>9.1</v>
      </c>
      <c r="J204">
        <v>0.8</v>
      </c>
      <c r="K204">
        <v>658</v>
      </c>
      <c r="L204">
        <v>14.3</v>
      </c>
      <c r="M204">
        <v>284.38333333333333</v>
      </c>
      <c r="N204">
        <v>284.38333333333333</v>
      </c>
      <c r="O204">
        <v>7</v>
      </c>
      <c r="P204">
        <v>561.096</v>
      </c>
      <c r="Q204" cm="1">
        <f t="array" ref="Q204">AVERAGE(
    IF(
        ('Individual data from NASA'!$B:$B=$B204) *
        ('Individual data from NASA'!$C:$C=$G204) *
        ('Individual data from NASA'!$K:$K=$O204) *
        ('Individual data from NASA'!$D:$D=3),
        'Individual data from NASA'!M:M
    )
)</f>
        <v>732666666666666.62</v>
      </c>
      <c r="R204" cm="1">
        <f t="array" ref="R204">AVERAGE(
    IF(
        ('Individual data from NASA'!$B:$B=$B204) *
        ('Individual data from NASA'!$C:$C=$G204) *
        ('Individual data from NASA'!$K:$K=$O204) *
        ('Individual data from NASA'!$D:$D=3),
        'Individual data from NASA'!N:N
    )
)</f>
        <v>2.9266666666666668E+16</v>
      </c>
      <c r="S204" cm="1">
        <f t="array" ref="S204">AVERAGE(
    IF(
        ('Individual data from NASA'!$B:$B=$B204) *
        ('Individual data from NASA'!$C:$C=$G204) *
        ('Individual data from NASA'!$K:$K=$O204) *
        ('Individual data from NASA'!$D:$D=3),
        'Individual data from NASA'!O:O
    )
)</f>
        <v>3.0033333333333332E+16</v>
      </c>
      <c r="T204" cm="1">
        <f t="array" ref="T204">AVERAGE(
    IF(
        ('Individual data from NASA'!$B:$B=$B204) *
        ('Individual data from NASA'!$C:$C=$G204) *
        ('Individual data from NASA'!$K:$K=$O204) *
        ('Individual data from NASA'!$D:$D=3),
        'Individual data from NASA'!P:P
    )
)</f>
        <v>4.8266666666666671</v>
      </c>
      <c r="U204" cm="1">
        <f t="array" ref="U204">AVERAGE(
    IF(
        ('Individual data from NASA'!$B:$B=$B204) *
        ('Individual data from NASA'!$C:$C=$G204) *
        ('Individual data from NASA'!$K:$K=$O204) *
        ('Individual data from NASA'!$D:$D=3),
        'Individual data from NASA'!Q:Q
    )
)</f>
        <v>0.98899999999999999</v>
      </c>
      <c r="V204" cm="1">
        <f t="array" ref="V204">AVERAGE(
    IF(
        ('Individual data from NASA'!$B:$B=$B204) *
        ('Individual data from NASA'!$C:$C=$G204) *
        ('Individual data from NASA'!$K:$K=$O204) *
        ('Individual data from NASA'!$D:$D=3),
        'Individual data from NASA'!R:R
    )
)</f>
        <v>1.0999999999999999E-2</v>
      </c>
      <c r="W204" cm="1">
        <f t="array" ref="W204">AVERAGE(
    IF(
        ('Individual data from NASA'!$B:$B=$B204) *
        ('Individual data from NASA'!$C:$C=$G204) *
        ('Individual data from NASA'!$K:$K=$O204) *
        ('Individual data from NASA'!$D:$D=3),
        'Individual data from NASA'!S:S
    )
)</f>
        <v>84.486457439999995</v>
      </c>
      <c r="X204" cm="1">
        <f t="array" ref="X204">AVERAGE(
    IF(
        ('Individual data from NASA'!$B:$B=$B204) *
        ('Individual data from NASA'!$C:$C=$G204) *
        ('Individual data from NASA'!$K:$K=$O204) *
        ('Individual data from NASA'!$D:$D=3),
        'Individual data from NASA'!T:T
    )
)</f>
        <v>0.90343056300000002</v>
      </c>
      <c r="Y204" cm="1">
        <f t="array" ref="Y204">AVERAGE(
    IF(
        ('Individual data from NASA'!$B:$B=$B204) *
        ('Individual data from NASA'!$C:$C=$G204) *
        ('Individual data from NASA'!$K:$K=$O204) *
        ('Individual data from NASA'!$D:$D=3),
        'Individual data from NASA'!U:U
    )
)</f>
        <v>13.112266666666669</v>
      </c>
      <c r="Z204" cm="1">
        <f t="array" ref="Z204">AVERAGE(
    IF(
        ('Individual data from NASA'!$B:$B=$B204) *
        ('Individual data from NASA'!$C:$C=$G204) *
        ('Individual data from NASA'!$K:$K=$O204) *
        ('Individual data from NASA'!$D:$D=3),
        'Individual data from NASA'!V:V
    )
)</f>
        <v>17.247900000000001</v>
      </c>
      <c r="AD204" t="str">
        <f t="shared" si="21"/>
        <v>Moore (2015)|AAFEX-I|Ground|CFM56-2C1|30|Eg no 3 Idle (approach)</v>
      </c>
      <c r="AE204" s="13" cm="1">
        <f t="array" ref="AE204">I204 / _xlfn.XLOOKUP($AD204 &amp; "|" &amp; $H204, $AD:$AD &amp; "|" &amp; $G:$G, I:I)</f>
        <v>0.48924731182795694</v>
      </c>
      <c r="AF204" s="13" cm="1">
        <f t="array" ref="AF204">J204 / _xlfn.XLOOKUP($AD204 &amp; "|" &amp; $H204, $AD:$AD &amp; "|" &amp; $G:$G, J:J)</f>
        <v>0.5</v>
      </c>
      <c r="AG204" s="13" cm="1">
        <f t="array" ref="AG204">K204 / _xlfn.XLOOKUP($AD204 &amp; "|" &amp; $H204, $AD:$AD &amp; "|" &amp; $G:$G, K:K)</f>
        <v>0.57317073170731703</v>
      </c>
      <c r="AH204" s="13" cm="1">
        <f t="array" ref="AH204">L204 / _xlfn.XLOOKUP($AD204 &amp; "|" &amp; $H204, $AD:$AD &amp; "|" &amp; $G:$G, L:L)</f>
        <v>1.0514705882352942</v>
      </c>
      <c r="AI204" s="13" cm="1">
        <f t="array" ref="AI204">M204 / _xlfn.XLOOKUP($AD204 &amp; "|" &amp; $H204, $AD:$AD &amp; "|" &amp; $G:$G, M:M)</f>
        <v>1.0097856735143473</v>
      </c>
      <c r="AJ204" s="13" cm="1">
        <f t="array" ref="AJ204">N204 / _xlfn.XLOOKUP($AD204 &amp; "|" &amp; $H204, $AD:$AD &amp; "|" &amp; $G:$G, N:N)</f>
        <v>1.0097856735143473</v>
      </c>
      <c r="AK204" s="13" cm="1">
        <f t="array" ref="AK204">O204 / _xlfn.XLOOKUP($AD204 &amp; "|" &amp; $H204, $AD:$AD &amp; "|" &amp; $G:$G, O:O)</f>
        <v>1</v>
      </c>
      <c r="AL204" s="13" cm="1">
        <f t="array" ref="AL204">P204 / _xlfn.XLOOKUP($AD204 &amp; "|" &amp; $H204, $AD:$AD &amp; "|" &amp; $G:$G, P:P)</f>
        <v>1</v>
      </c>
      <c r="AM204" s="13" cm="1">
        <f t="array" ref="AM204">Q204 / _xlfn.XLOOKUP($AD204 &amp; "|" &amp; $H204, $AD:$AD &amp; "|" &amp; $G:$G, Q:Q)</f>
        <v>0.3944369672498878</v>
      </c>
      <c r="AN204" s="13" cm="1">
        <f t="array" ref="AN204">R204 / _xlfn.XLOOKUP($AD204 &amp; "|" &amp; $H204, $AD:$AD &amp; "|" &amp; $G:$G, R:R)</f>
        <v>0.63485177151120753</v>
      </c>
      <c r="AO204" s="13" cm="1">
        <f t="array" ref="AO204">S204 / _xlfn.XLOOKUP($AD204 &amp; "|" &amp; $H204, $AD:$AD &amp; "|" &amp; $G:$G, S:S)</f>
        <v>0.61712328767123292</v>
      </c>
      <c r="AP204" s="13" cm="1">
        <f t="array" ref="AP204">T204 / _xlfn.XLOOKUP($AD204 &amp; "|" &amp; $H204, $AD:$AD &amp; "|" &amp; $G:$G, T:T)</f>
        <v>0.4</v>
      </c>
      <c r="AQ204" s="13" t="e" cm="1">
        <f t="array" ref="AQ204">U204 / _xlfn.XLOOKUP($AD204 &amp; "|" &amp; $H204, $AD:$AD &amp; "|" &amp; $G:$G, U:U)</f>
        <v>#DIV/0!</v>
      </c>
      <c r="AR204" s="13" t="e" cm="1">
        <f t="array" ref="AR204">V204 / _xlfn.XLOOKUP($AD204 &amp; "|" &amp; $H204, $AD:$AD &amp; "|" &amp; $G:$G, V:V)</f>
        <v>#DIV/0!</v>
      </c>
      <c r="AS204" s="13" t="e" cm="1">
        <f t="array" ref="AS204">W204 / _xlfn.XLOOKUP($AD204 &amp; "|" &amp; $H204, $AD:$AD &amp; "|" &amp; $G:$G, W:W)</f>
        <v>#DIV/0!</v>
      </c>
      <c r="AT204" s="13" t="e" cm="1">
        <f t="array" ref="AT204">X204 / _xlfn.XLOOKUP($AD204 &amp; "|" &amp; $H204, $AD:$AD &amp; "|" &amp; $G:$G, X:X)</f>
        <v>#DIV/0!</v>
      </c>
      <c r="AU204" s="13" cm="1">
        <f t="array" ref="AU204">Y204 / _xlfn.XLOOKUP($AD204 &amp; "|" &amp; $H204, $AD:$AD &amp; "|" &amp; $G:$G, Y:Y)</f>
        <v>0.84721585968929591</v>
      </c>
      <c r="AV204" s="13" cm="1">
        <f t="array" ref="AV204">Z204 / _xlfn.XLOOKUP($AD204 &amp; "|" &amp; $H204, $AD:$AD &amp; "|" &amp; $G:$G, Z:Z)</f>
        <v>0.74406006007560566</v>
      </c>
      <c r="AW204" s="13" cm="1">
        <f t="array" ref="AW204">_xlfn.XLOOKUP($AD204 &amp; "|" &amp; $H204, $AD:$AD &amp; "|" &amp; $G:$G, L:L)</f>
        <v>13.6</v>
      </c>
      <c r="AY204" s="13"/>
      <c r="AZ204" t="s">
        <v>232</v>
      </c>
    </row>
    <row r="205" spans="1:52" x14ac:dyDescent="0.2">
      <c r="A205" t="s">
        <v>32</v>
      </c>
      <c r="B205" t="s">
        <v>2</v>
      </c>
      <c r="C205" t="s">
        <v>110</v>
      </c>
      <c r="D205" t="s">
        <v>112</v>
      </c>
      <c r="E205">
        <v>30</v>
      </c>
      <c r="F205" t="s">
        <v>215</v>
      </c>
      <c r="G205" t="s">
        <v>13</v>
      </c>
      <c r="H205" t="s">
        <v>8</v>
      </c>
      <c r="I205">
        <v>9.1</v>
      </c>
      <c r="J205">
        <v>0.8</v>
      </c>
      <c r="K205">
        <v>658</v>
      </c>
      <c r="L205">
        <v>14.3</v>
      </c>
      <c r="M205">
        <v>284.34999999999997</v>
      </c>
      <c r="N205">
        <v>284.34999999999997</v>
      </c>
      <c r="O205">
        <v>30</v>
      </c>
      <c r="P205">
        <v>1231.2000000000003</v>
      </c>
      <c r="Q205" cm="1">
        <f t="array" ref="Q205">AVERAGE(
    IF(
        ('Individual data from NASA'!$B:$B=$B205) *
        ('Individual data from NASA'!$C:$C=$G205) *
        ('Individual data from NASA'!$K:$K=$O205) *
        ('Individual data from NASA'!$D:$D=3),
        'Individual data from NASA'!M:M
    )
)</f>
        <v>150000000000000</v>
      </c>
      <c r="R205" cm="1">
        <f t="array" ref="R205">AVERAGE(
    IF(
        ('Individual data from NASA'!$B:$B=$B205) *
        ('Individual data from NASA'!$C:$C=$G205) *
        ('Individual data from NASA'!$K:$K=$O205) *
        ('Individual data from NASA'!$D:$D=3),
        'Individual data from NASA'!N:N
    )
)</f>
        <v>1.385E+16</v>
      </c>
      <c r="S205" cm="1">
        <f t="array" ref="S205">AVERAGE(
    IF(
        ('Individual data from NASA'!$B:$B=$B205) *
        ('Individual data from NASA'!$C:$C=$G205) *
        ('Individual data from NASA'!$K:$K=$O205) *
        ('Individual data from NASA'!$D:$D=3),
        'Individual data from NASA'!O:O
    )
)</f>
        <v>1.4E+16</v>
      </c>
      <c r="T205" cm="1">
        <f t="array" ref="T205">AVERAGE(
    IF(
        ('Individual data from NASA'!$B:$B=$B205) *
        ('Individual data from NASA'!$C:$C=$G205) *
        ('Individual data from NASA'!$K:$K=$O205) *
        ('Individual data from NASA'!$D:$D=3),
        'Individual data from NASA'!P:P
    )
)</f>
        <v>3.7</v>
      </c>
      <c r="U205" t="e" cm="1">
        <f t="array" ref="U205">AVERAGE(
    IF(
        ('Individual data from NASA'!$B:$B=$B205) *
        ('Individual data from NASA'!$C:$C=$G205) *
        ('Individual data from NASA'!$K:$K=$O205) *
        ('Individual data from NASA'!$D:$D=3),
        'Individual data from NASA'!Q:Q
    )
)</f>
        <v>#DIV/0!</v>
      </c>
      <c r="V205" t="e" cm="1">
        <f t="array" ref="V205">AVERAGE(
    IF(
        ('Individual data from NASA'!$B:$B=$B205) *
        ('Individual data from NASA'!$C:$C=$G205) *
        ('Individual data from NASA'!$K:$K=$O205) *
        ('Individual data from NASA'!$D:$D=3),
        'Individual data from NASA'!R:R
    )
)</f>
        <v>#DIV/0!</v>
      </c>
      <c r="W205" t="e" cm="1">
        <f t="array" ref="W205">AVERAGE(
    IF(
        ('Individual data from NASA'!$B:$B=$B205) *
        ('Individual data from NASA'!$C:$C=$G205) *
        ('Individual data from NASA'!$K:$K=$O205) *
        ('Individual data from NASA'!$D:$D=3),
        'Individual data from NASA'!S:S
    )
)</f>
        <v>#DIV/0!</v>
      </c>
      <c r="X205" t="e" cm="1">
        <f t="array" ref="X205">AVERAGE(
    IF(
        ('Individual data from NASA'!$B:$B=$B205) *
        ('Individual data from NASA'!$C:$C=$G205) *
        ('Individual data from NASA'!$K:$K=$O205) *
        ('Individual data from NASA'!$D:$D=3),
        'Individual data from NASA'!T:T
    )
)</f>
        <v>#DIV/0!</v>
      </c>
      <c r="Y205" cm="1">
        <f t="array" ref="Y205">AVERAGE(
    IF(
        ('Individual data from NASA'!$B:$B=$B205) *
        ('Individual data from NASA'!$C:$C=$G205) *
        ('Individual data from NASA'!$K:$K=$O205) *
        ('Individual data from NASA'!$D:$D=3),
        'Individual data from NASA'!U:U
    )
)</f>
        <v>11.863049999999999</v>
      </c>
      <c r="Z205" cm="1">
        <f t="array" ref="Z205">AVERAGE(
    IF(
        ('Individual data from NASA'!$B:$B=$B205) *
        ('Individual data from NASA'!$C:$C=$G205) *
        ('Individual data from NASA'!$K:$K=$O205) *
        ('Individual data from NASA'!$D:$D=3),
        'Individual data from NASA'!V:V
    )
)</f>
        <v>18.714550000000003</v>
      </c>
      <c r="AD205" t="str">
        <f t="shared" si="21"/>
        <v>Moore (2015)|AAFEX-I|Ground|CFM56-2C1|30|Eg no 3 Intermediate</v>
      </c>
      <c r="AE205" s="13" cm="1">
        <f t="array" ref="AE205">I205 / _xlfn.XLOOKUP($AD205 &amp; "|" &amp; $H205, $AD:$AD &amp; "|" &amp; $G:$G, I:I)</f>
        <v>0.48924731182795694</v>
      </c>
      <c r="AF205" s="13" cm="1">
        <f t="array" ref="AF205">J205 / _xlfn.XLOOKUP($AD205 &amp; "|" &amp; $H205, $AD:$AD &amp; "|" &amp; $G:$G, J:J)</f>
        <v>0.5</v>
      </c>
      <c r="AG205" s="13" cm="1">
        <f t="array" ref="AG205">K205 / _xlfn.XLOOKUP($AD205 &amp; "|" &amp; $H205, $AD:$AD &amp; "|" &amp; $G:$G, K:K)</f>
        <v>0.57317073170731703</v>
      </c>
      <c r="AH205" s="13" cm="1">
        <f t="array" ref="AH205">L205 / _xlfn.XLOOKUP($AD205 &amp; "|" &amp; $H205, $AD:$AD &amp; "|" &amp; $G:$G, L:L)</f>
        <v>1.0514705882352942</v>
      </c>
      <c r="AI205" s="13" cm="1">
        <f t="array" ref="AI205">M205 / _xlfn.XLOOKUP($AD205 &amp; "|" &amp; $H205, $AD:$AD &amp; "|" &amp; $G:$G, M:M)</f>
        <v>1.018005875601512</v>
      </c>
      <c r="AJ205" s="13" cm="1">
        <f t="array" ref="AJ205">N205 / _xlfn.XLOOKUP($AD205 &amp; "|" &amp; $H205, $AD:$AD &amp; "|" &amp; $G:$G, N:N)</f>
        <v>1.018005875601512</v>
      </c>
      <c r="AK205" s="13" cm="1">
        <f t="array" ref="AK205">O205 / _xlfn.XLOOKUP($AD205 &amp; "|" &amp; $H205, $AD:$AD &amp; "|" &amp; $G:$G, O:O)</f>
        <v>1</v>
      </c>
      <c r="AL205" s="13" cm="1">
        <f t="array" ref="AL205">P205 / _xlfn.XLOOKUP($AD205 &amp; "|" &amp; $H205, $AD:$AD &amp; "|" &amp; $G:$G, P:P)</f>
        <v>1</v>
      </c>
      <c r="AM205" s="13" cm="1">
        <f t="array" ref="AM205">Q205 / _xlfn.XLOOKUP($AD205 &amp; "|" &amp; $H205, $AD:$AD &amp; "|" &amp; $G:$G, Q:Q)</f>
        <v>8.6348684210526314E-2</v>
      </c>
      <c r="AN205" s="13" cm="1">
        <f t="array" ref="AN205">R205 / _xlfn.XLOOKUP($AD205 &amp; "|" &amp; $H205, $AD:$AD &amp; "|" &amp; $G:$G, R:R)</f>
        <v>0.4322336156932679</v>
      </c>
      <c r="AO205" s="13" cm="1">
        <f t="array" ref="AO205">S205 / _xlfn.XLOOKUP($AD205 &amp; "|" &amp; $H205, $AD:$AD &amp; "|" &amp; $G:$G, S:S)</f>
        <v>0.41350210970464135</v>
      </c>
      <c r="AP205" s="13" cm="1">
        <f t="array" ref="AP205">T205 / _xlfn.XLOOKUP($AD205 &amp; "|" &amp; $H205, $AD:$AD &amp; "|" &amp; $G:$G, T:T)</f>
        <v>0.29926627765902136</v>
      </c>
      <c r="AQ205" s="13" t="e" cm="1">
        <f t="array" ref="AQ205">U205 / _xlfn.XLOOKUP($AD205 &amp; "|" &amp; $H205, $AD:$AD &amp; "|" &amp; $G:$G, U:U)</f>
        <v>#DIV/0!</v>
      </c>
      <c r="AR205" s="13" t="e" cm="1">
        <f t="array" ref="AR205">V205 / _xlfn.XLOOKUP($AD205 &amp; "|" &amp; $H205, $AD:$AD &amp; "|" &amp; $G:$G, V:V)</f>
        <v>#DIV/0!</v>
      </c>
      <c r="AS205" s="13" t="e" cm="1">
        <f t="array" ref="AS205">W205 / _xlfn.XLOOKUP($AD205 &amp; "|" &amp; $H205, $AD:$AD &amp; "|" &amp; $G:$G, W:W)</f>
        <v>#DIV/0!</v>
      </c>
      <c r="AT205" s="13" t="e" cm="1">
        <f t="array" ref="AT205">X205 / _xlfn.XLOOKUP($AD205 &amp; "|" &amp; $H205, $AD:$AD &amp; "|" &amp; $G:$G, X:X)</f>
        <v>#DIV/0!</v>
      </c>
      <c r="AU205" s="13" cm="1">
        <f t="array" ref="AU205">Y205 / _xlfn.XLOOKUP($AD205 &amp; "|" &amp; $H205, $AD:$AD &amp; "|" &amp; $G:$G, Y:Y)</f>
        <v>0.8952444147855233</v>
      </c>
      <c r="AV205" s="13" cm="1">
        <f t="array" ref="AV205">Z205 / _xlfn.XLOOKUP($AD205 &amp; "|" &amp; $H205, $AD:$AD &amp; "|" &amp; $G:$G, Z:Z)</f>
        <v>0.86143545999675186</v>
      </c>
      <c r="AW205" s="13" cm="1">
        <f t="array" ref="AW205">_xlfn.XLOOKUP($AD205 &amp; "|" &amp; $H205, $AD:$AD &amp; "|" &amp; $G:$G, L:L)</f>
        <v>13.6</v>
      </c>
      <c r="AY205" s="13"/>
      <c r="AZ205" t="s">
        <v>232</v>
      </c>
    </row>
    <row r="206" spans="1:52" x14ac:dyDescent="0.2">
      <c r="A206" t="s">
        <v>32</v>
      </c>
      <c r="B206" t="s">
        <v>2</v>
      </c>
      <c r="C206" t="s">
        <v>110</v>
      </c>
      <c r="D206" t="s">
        <v>112</v>
      </c>
      <c r="E206">
        <v>30</v>
      </c>
      <c r="F206" t="s">
        <v>216</v>
      </c>
      <c r="G206" t="s">
        <v>13</v>
      </c>
      <c r="H206" t="s">
        <v>8</v>
      </c>
      <c r="I206">
        <v>9.1</v>
      </c>
      <c r="J206">
        <v>0.8</v>
      </c>
      <c r="K206">
        <v>658</v>
      </c>
      <c r="L206">
        <v>14.3</v>
      </c>
      <c r="M206">
        <v>284.59999999999997</v>
      </c>
      <c r="N206">
        <v>284.59999999999997</v>
      </c>
      <c r="O206">
        <v>65</v>
      </c>
      <c r="P206">
        <v>2167.1999999999998</v>
      </c>
      <c r="Q206" cm="1">
        <f t="array" ref="Q206">AVERAGE(
    IF(
        ('Individual data from NASA'!$B:$B=$B206) *
        ('Individual data from NASA'!$C:$C=$G206) *
        ('Individual data from NASA'!$K:$K=$O206) *
        ('Individual data from NASA'!$D:$D=3),
        'Individual data from NASA'!M:M
    )
)</f>
        <v>255000000000000</v>
      </c>
      <c r="R206" cm="1">
        <f t="array" ref="R206">AVERAGE(
    IF(
        ('Individual data from NASA'!$B:$B=$B206) *
        ('Individual data from NASA'!$C:$C=$G206) *
        ('Individual data from NASA'!$K:$K=$O206) *
        ('Individual data from NASA'!$D:$D=3),
        'Individual data from NASA'!N:N
    )
)</f>
        <v>1.003E+16</v>
      </c>
      <c r="S206" cm="1">
        <f t="array" ref="S206">AVERAGE(
    IF(
        ('Individual data from NASA'!$B:$B=$B206) *
        ('Individual data from NASA'!$C:$C=$G206) *
        ('Individual data from NASA'!$K:$K=$O206) *
        ('Individual data from NASA'!$D:$D=3),
        'Individual data from NASA'!O:O
    )
)</f>
        <v>1.045E+16</v>
      </c>
      <c r="T206" cm="1">
        <f t="array" ref="T206">AVERAGE(
    IF(
        ('Individual data from NASA'!$B:$B=$B206) *
        ('Individual data from NASA'!$C:$C=$G206) *
        ('Individual data from NASA'!$K:$K=$O206) *
        ('Individual data from NASA'!$D:$D=3),
        'Individual data from NASA'!P:P
    )
)</f>
        <v>10.205</v>
      </c>
      <c r="U206" cm="1">
        <f t="array" ref="U206">AVERAGE(
    IF(
        ('Individual data from NASA'!$B:$B=$B206) *
        ('Individual data from NASA'!$C:$C=$G206) *
        ('Individual data from NASA'!$K:$K=$O206) *
        ('Individual data from NASA'!$D:$D=3),
        'Individual data from NASA'!Q:Q
    )
)</f>
        <v>0.90600000000000003</v>
      </c>
      <c r="V206" cm="1">
        <f t="array" ref="V206">AVERAGE(
    IF(
        ('Individual data from NASA'!$B:$B=$B206) *
        ('Individual data from NASA'!$C:$C=$G206) *
        ('Individual data from NASA'!$K:$K=$O206) *
        ('Individual data from NASA'!$D:$D=3),
        'Individual data from NASA'!R:R
    )
)</f>
        <v>9.4E-2</v>
      </c>
      <c r="W206" cm="1">
        <f t="array" ref="W206">AVERAGE(
    IF(
        ('Individual data from NASA'!$B:$B=$B206) *
        ('Individual data from NASA'!$C:$C=$G206) *
        ('Individual data from NASA'!$K:$K=$O206) *
        ('Individual data from NASA'!$D:$D=3),
        'Individual data from NASA'!S:S
    )
)</f>
        <v>34.76069141</v>
      </c>
      <c r="X206" cm="1">
        <f t="array" ref="X206">AVERAGE(
    IF(
        ('Individual data from NASA'!$B:$B=$B206) *
        ('Individual data from NASA'!$C:$C=$G206) *
        ('Individual data from NASA'!$K:$K=$O206) *
        ('Individual data from NASA'!$D:$D=3),
        'Individual data from NASA'!T:T
    )
)</f>
        <v>3.6214285899999998</v>
      </c>
      <c r="Y206" cm="1">
        <f t="array" ref="Y206">AVERAGE(
    IF(
        ('Individual data from NASA'!$B:$B=$B206) *
        ('Individual data from NASA'!$C:$C=$G206) *
        ('Individual data from NASA'!$K:$K=$O206) *
        ('Individual data from NASA'!$D:$D=3),
        'Individual data from NASA'!U:U
    )
)</f>
        <v>11.8277</v>
      </c>
      <c r="Z206" cm="1">
        <f t="array" ref="Z206">AVERAGE(
    IF(
        ('Individual data from NASA'!$B:$B=$B206) *
        ('Individual data from NASA'!$C:$C=$G206) *
        ('Individual data from NASA'!$K:$K=$O206) *
        ('Individual data from NASA'!$D:$D=3),
        'Individual data from NASA'!V:V
    )
)</f>
        <v>25.7088</v>
      </c>
      <c r="AD206" t="str">
        <f t="shared" si="21"/>
        <v>Moore (2015)|AAFEX-I|Ground|CFM56-2C1|30|Eg no 3 Mid power</v>
      </c>
      <c r="AE206" s="13" cm="1">
        <f t="array" ref="AE206">I206 / _xlfn.XLOOKUP($AD206 &amp; "|" &amp; $H206, $AD:$AD &amp; "|" &amp; $G:$G, I:I)</f>
        <v>0.48924731182795694</v>
      </c>
      <c r="AF206" s="13" cm="1">
        <f t="array" ref="AF206">J206 / _xlfn.XLOOKUP($AD206 &amp; "|" &amp; $H206, $AD:$AD &amp; "|" &amp; $G:$G, J:J)</f>
        <v>0.5</v>
      </c>
      <c r="AG206" s="13" cm="1">
        <f t="array" ref="AG206">K206 / _xlfn.XLOOKUP($AD206 &amp; "|" &amp; $H206, $AD:$AD &amp; "|" &amp; $G:$G, K:K)</f>
        <v>0.57317073170731703</v>
      </c>
      <c r="AH206" s="13" cm="1">
        <f t="array" ref="AH206">L206 / _xlfn.XLOOKUP($AD206 &amp; "|" &amp; $H206, $AD:$AD &amp; "|" &amp; $G:$G, L:L)</f>
        <v>1.0514705882352942</v>
      </c>
      <c r="AI206" s="13" cm="1">
        <f t="array" ref="AI206">M206 / _xlfn.XLOOKUP($AD206 &amp; "|" &amp; $H206, $AD:$AD &amp; "|" &amp; $G:$G, M:M)</f>
        <v>1.0185505517447062</v>
      </c>
      <c r="AJ206" s="13" cm="1">
        <f t="array" ref="AJ206">N206 / _xlfn.XLOOKUP($AD206 &amp; "|" &amp; $H206, $AD:$AD &amp; "|" &amp; $G:$G, N:N)</f>
        <v>1.0185505517447062</v>
      </c>
      <c r="AK206" s="13" cm="1">
        <f t="array" ref="AK206">O206 / _xlfn.XLOOKUP($AD206 &amp; "|" &amp; $H206, $AD:$AD &amp; "|" &amp; $G:$G, O:O)</f>
        <v>1</v>
      </c>
      <c r="AL206" s="13" cm="1">
        <f t="array" ref="AL206">P206 / _xlfn.XLOOKUP($AD206 &amp; "|" &amp; $H206, $AD:$AD &amp; "|" &amp; $G:$G, P:P)</f>
        <v>1</v>
      </c>
      <c r="AM206" s="13" cm="1">
        <f t="array" ref="AM206">Q206 / _xlfn.XLOOKUP($AD206 &amp; "|" &amp; $H206, $AD:$AD &amp; "|" &amp; $G:$G, Q:Q)</f>
        <v>0.18767249310027598</v>
      </c>
      <c r="AN206" s="13" cm="1">
        <f t="array" ref="AN206">R206 / _xlfn.XLOOKUP($AD206 &amp; "|" &amp; $H206, $AD:$AD &amp; "|" &amp; $G:$G, R:R)</f>
        <v>0.44667112001781339</v>
      </c>
      <c r="AO206" s="13" cm="1">
        <f t="array" ref="AO206">S206 / _xlfn.XLOOKUP($AD206 &amp; "|" &amp; $H206, $AD:$AD &amp; "|" &amp; $G:$G, S:S)</f>
        <v>0.44023170089520802</v>
      </c>
      <c r="AP206" s="13" cm="1">
        <f t="array" ref="AP206">T206 / _xlfn.XLOOKUP($AD206 &amp; "|" &amp; $H206, $AD:$AD &amp; "|" &amp; $G:$G, T:T)</f>
        <v>0.32345483359746435</v>
      </c>
      <c r="AQ206" s="13" cm="1">
        <f t="array" ref="AQ206">U206 / _xlfn.XLOOKUP($AD206 &amp; "|" &amp; $H206, $AD:$AD &amp; "|" &amp; $G:$G, U:U)</f>
        <v>0.99697386519944986</v>
      </c>
      <c r="AR206" s="13" cm="1">
        <f t="array" ref="AR206">V206 / _xlfn.XLOOKUP($AD206 &amp; "|" &amp; $H206, $AD:$AD &amp; "|" &amp; $G:$G, V:V)</f>
        <v>1.0301369863013699</v>
      </c>
      <c r="AS206" s="13" cm="1">
        <f t="array" ref="AS206">W206 / _xlfn.XLOOKUP($AD206 &amp; "|" &amp; $H206, $AD:$AD &amp; "|" &amp; $G:$G, W:W)</f>
        <v>0.52689321054437599</v>
      </c>
      <c r="AT206" s="13" cm="1">
        <f t="array" ref="AT206">X206 / _xlfn.XLOOKUP($AD206 &amp; "|" &amp; $H206, $AD:$AD &amp; "|" &amp; $G:$G, X:X)</f>
        <v>0.47820294094088633</v>
      </c>
      <c r="AU206" s="13" cm="1">
        <f t="array" ref="AU206">Y206 / _xlfn.XLOOKUP($AD206 &amp; "|" &amp; $H206, $AD:$AD &amp; "|" &amp; $G:$G, Y:Y)</f>
        <v>0.84573657476222452</v>
      </c>
      <c r="AV206" s="13" cm="1">
        <f t="array" ref="AV206">Z206 / _xlfn.XLOOKUP($AD206 &amp; "|" &amp; $H206, $AD:$AD &amp; "|" &amp; $G:$G, Z:Z)</f>
        <v>0.77348341397096276</v>
      </c>
      <c r="AW206" s="13" cm="1">
        <f t="array" ref="AW206">_xlfn.XLOOKUP($AD206 &amp; "|" &amp; $H206, $AD:$AD &amp; "|" &amp; $G:$G, L:L)</f>
        <v>13.6</v>
      </c>
      <c r="AY206" s="13"/>
      <c r="AZ206" t="s">
        <v>232</v>
      </c>
    </row>
    <row r="207" spans="1:52" x14ac:dyDescent="0.2">
      <c r="A207" t="s">
        <v>32</v>
      </c>
      <c r="B207" t="s">
        <v>2</v>
      </c>
      <c r="C207" t="s">
        <v>110</v>
      </c>
      <c r="D207" t="s">
        <v>112</v>
      </c>
      <c r="E207">
        <v>30</v>
      </c>
      <c r="F207" t="s">
        <v>217</v>
      </c>
      <c r="G207" t="s">
        <v>13</v>
      </c>
      <c r="H207" t="s">
        <v>8</v>
      </c>
      <c r="I207">
        <v>9.1</v>
      </c>
      <c r="J207">
        <v>0.8</v>
      </c>
      <c r="K207">
        <v>658</v>
      </c>
      <c r="L207">
        <v>14.3</v>
      </c>
      <c r="M207">
        <v>284.5</v>
      </c>
      <c r="N207">
        <v>284.5</v>
      </c>
      <c r="O207">
        <v>85</v>
      </c>
      <c r="P207">
        <v>3041.9999999999995</v>
      </c>
      <c r="Q207" cm="1">
        <f t="array" ref="Q207">AVERAGE(
    IF(
        ('Individual data from NASA'!$B:$B=$B207) *
        ('Individual data from NASA'!$C:$C=$G207) *
        ('Individual data from NASA'!$K:$K=$O207) *
        ('Individual data from NASA'!$D:$D=3),
        'Individual data from NASA'!M:M
    )
)</f>
        <v>530000000000000</v>
      </c>
      <c r="R207" cm="1">
        <f t="array" ref="R207">AVERAGE(
    IF(
        ('Individual data from NASA'!$B:$B=$B207) *
        ('Individual data from NASA'!$C:$C=$G207) *
        ('Individual data from NASA'!$K:$K=$O207) *
        ('Individual data from NASA'!$D:$D=3),
        'Individual data from NASA'!N:N
    )
)</f>
        <v>6340000000000000</v>
      </c>
      <c r="S207" cm="1">
        <f t="array" ref="S207">AVERAGE(
    IF(
        ('Individual data from NASA'!$B:$B=$B207) *
        ('Individual data from NASA'!$C:$C=$G207) *
        ('Individual data from NASA'!$K:$K=$O207) *
        ('Individual data from NASA'!$D:$D=3),
        'Individual data from NASA'!O:O
    )
)</f>
        <v>6850000000000000</v>
      </c>
      <c r="T207" cm="1">
        <f t="array" ref="T207">AVERAGE(
    IF(
        ('Individual data from NASA'!$B:$B=$B207) *
        ('Individual data from NASA'!$C:$C=$G207) *
        ('Individual data from NASA'!$K:$K=$O207) *
        ('Individual data from NASA'!$D:$D=3),
        'Individual data from NASA'!P:P
    )
)</f>
        <v>50.45</v>
      </c>
      <c r="U207" cm="1">
        <f t="array" ref="U207">AVERAGE(
    IF(
        ('Individual data from NASA'!$B:$B=$B207) *
        ('Individual data from NASA'!$C:$C=$G207) *
        ('Individual data from NASA'!$K:$K=$O207) *
        ('Individual data from NASA'!$D:$D=3),
        'Individual data from NASA'!Q:Q
    )
)</f>
        <v>0.68642789900000001</v>
      </c>
      <c r="V207" cm="1">
        <f t="array" ref="V207">AVERAGE(
    IF(
        ('Individual data from NASA'!$B:$B=$B207) *
        ('Individual data from NASA'!$C:$C=$G207) *
        ('Individual data from NASA'!$K:$K=$O207) *
        ('Individual data from NASA'!$D:$D=3),
        'Individual data from NASA'!R:R
    )
)</f>
        <v>0.31357210099999999</v>
      </c>
      <c r="W207" cm="1">
        <f t="array" ref="W207">AVERAGE(
    IF(
        ('Individual data from NASA'!$B:$B=$B207) *
        ('Individual data from NASA'!$C:$C=$G207) *
        ('Individual data from NASA'!$K:$K=$O207) *
        ('Individual data from NASA'!$D:$D=3),
        'Individual data from NASA'!S:S
    )
)</f>
        <v>35.18689818</v>
      </c>
      <c r="X207" cm="1">
        <f t="array" ref="X207">AVERAGE(
    IF(
        ('Individual data from NASA'!$B:$B=$B207) *
        ('Individual data from NASA'!$C:$C=$G207) *
        ('Individual data from NASA'!$K:$K=$O207) *
        ('Individual data from NASA'!$D:$D=3),
        'Individual data from NASA'!T:T
    )
)</f>
        <v>16.07398182</v>
      </c>
      <c r="Y207" cm="1">
        <f t="array" ref="Y207">AVERAGE(
    IF(
        ('Individual data from NASA'!$B:$B=$B207) *
        ('Individual data from NASA'!$C:$C=$G207) *
        ('Individual data from NASA'!$K:$K=$O207) *
        ('Individual data from NASA'!$D:$D=3),
        'Individual data from NASA'!U:U
    )
)</f>
        <v>12.308149999999999</v>
      </c>
      <c r="Z207" cm="1">
        <f t="array" ref="Z207">AVERAGE(
    IF(
        ('Individual data from NASA'!$B:$B=$B207) *
        ('Individual data from NASA'!$C:$C=$G207) *
        ('Individual data from NASA'!$K:$K=$O207) *
        ('Individual data from NASA'!$D:$D=3),
        'Individual data from NASA'!V:V
    )
)</f>
        <v>53.3504</v>
      </c>
      <c r="AD207" t="str">
        <f t="shared" si="21"/>
        <v>Moore (2015)|AAFEX-I|Ground|CFM56-2C1|30|Eg no 3 Climb</v>
      </c>
      <c r="AE207" s="13" cm="1">
        <f t="array" ref="AE207">I207 / _xlfn.XLOOKUP($AD207 &amp; "|" &amp; $H207, $AD:$AD &amp; "|" &amp; $G:$G, I:I)</f>
        <v>0.48924731182795694</v>
      </c>
      <c r="AF207" s="13" cm="1">
        <f t="array" ref="AF207">J207 / _xlfn.XLOOKUP($AD207 &amp; "|" &amp; $H207, $AD:$AD &amp; "|" &amp; $G:$G, J:J)</f>
        <v>0.5</v>
      </c>
      <c r="AG207" s="13" cm="1">
        <f t="array" ref="AG207">K207 / _xlfn.XLOOKUP($AD207 &amp; "|" &amp; $H207, $AD:$AD &amp; "|" &amp; $G:$G, K:K)</f>
        <v>0.57317073170731703</v>
      </c>
      <c r="AH207" s="13" cm="1">
        <f t="array" ref="AH207">L207 / _xlfn.XLOOKUP($AD207 &amp; "|" &amp; $H207, $AD:$AD &amp; "|" &amp; $G:$G, L:L)</f>
        <v>1.0514705882352942</v>
      </c>
      <c r="AI207" s="13" cm="1">
        <f t="array" ref="AI207">M207 / _xlfn.XLOOKUP($AD207 &amp; "|" &amp; $H207, $AD:$AD &amp; "|" &amp; $G:$G, M:M)</f>
        <v>1.016591826768465</v>
      </c>
      <c r="AJ207" s="13" cm="1">
        <f t="array" ref="AJ207">N207 / _xlfn.XLOOKUP($AD207 &amp; "|" &amp; $H207, $AD:$AD &amp; "|" &amp; $G:$G, N:N)</f>
        <v>1.016591826768465</v>
      </c>
      <c r="AK207" s="13" cm="1">
        <f t="array" ref="AK207">O207 / _xlfn.XLOOKUP($AD207 &amp; "|" &amp; $H207, $AD:$AD &amp; "|" &amp; $G:$G, O:O)</f>
        <v>1</v>
      </c>
      <c r="AL207" s="13" cm="1">
        <f t="array" ref="AL207">P207 / _xlfn.XLOOKUP($AD207 &amp; "|" &amp; $H207, $AD:$AD &amp; "|" &amp; $G:$G, P:P)</f>
        <v>1</v>
      </c>
      <c r="AM207" s="13" cm="1">
        <f t="array" ref="AM207">Q207 / _xlfn.XLOOKUP($AD207 &amp; "|" &amp; $H207, $AD:$AD &amp; "|" &amp; $G:$G, Q:Q)</f>
        <v>0.31927710843373491</v>
      </c>
      <c r="AN207" s="13" cm="1">
        <f t="array" ref="AN207">R207 / _xlfn.XLOOKUP($AD207 &amp; "|" &amp; $H207, $AD:$AD &amp; "|" &amp; $G:$G, R:R)</f>
        <v>0.37592647494811743</v>
      </c>
      <c r="AO207" s="13" cm="1">
        <f t="array" ref="AO207">S207 / _xlfn.XLOOKUP($AD207 &amp; "|" &amp; $H207, $AD:$AD &amp; "|" &amp; $G:$G, S:S)</f>
        <v>0.36827956989247312</v>
      </c>
      <c r="AP207" s="13" cm="1">
        <f t="array" ref="AP207">T207 / _xlfn.XLOOKUP($AD207 &amp; "|" &amp; $H207, $AD:$AD &amp; "|" &amp; $G:$G, T:T)</f>
        <v>0.40055577610162763</v>
      </c>
      <c r="AQ207" s="13" cm="1">
        <f t="array" ref="AQ207">U207 / _xlfn.XLOOKUP($AD207 &amp; "|" &amp; $H207, $AD:$AD &amp; "|" &amp; $G:$G, U:U)</f>
        <v>1.0817288088364729</v>
      </c>
      <c r="AR207" s="13" cm="1">
        <f t="array" ref="AR207">V207 / _xlfn.XLOOKUP($AD207 &amp; "|" &amp; $H207, $AD:$AD &amp; "|" &amp; $G:$G, V:V)</f>
        <v>0.85808043153606595</v>
      </c>
      <c r="AS207" s="13" cm="1">
        <f t="array" ref="AS207">W207 / _xlfn.XLOOKUP($AD207 &amp; "|" &amp; $H207, $AD:$AD &amp; "|" &amp; $G:$G, W:W)</f>
        <v>0.61232740631700699</v>
      </c>
      <c r="AT207" s="13" cm="1">
        <f t="array" ref="AT207">X207 / _xlfn.XLOOKUP($AD207 &amp; "|" &amp; $H207, $AD:$AD &amp; "|" &amp; $G:$G, X:X)</f>
        <v>0.43841188696872685</v>
      </c>
      <c r="AU207" s="13" cm="1">
        <f t="array" ref="AU207">Y207 / _xlfn.XLOOKUP($AD207 &amp; "|" &amp; $H207, $AD:$AD &amp; "|" &amp; $G:$G, Y:Y)</f>
        <v>0.91081299750123934</v>
      </c>
      <c r="AV207" s="13" cm="1">
        <f t="array" ref="AV207">Z207 / _xlfn.XLOOKUP($AD207 &amp; "|" &amp; $H207, $AD:$AD &amp; "|" &amp; $G:$G, Z:Z)</f>
        <v>0.86241034475140632</v>
      </c>
      <c r="AW207" s="13" cm="1">
        <f t="array" ref="AW207">_xlfn.XLOOKUP($AD207 &amp; "|" &amp; $H207, $AD:$AD &amp; "|" &amp; $G:$G, L:L)</f>
        <v>13.6</v>
      </c>
      <c r="AY207" s="13"/>
      <c r="AZ207" t="s">
        <v>232</v>
      </c>
    </row>
    <row r="208" spans="1:52" x14ac:dyDescent="0.2">
      <c r="A208" t="s">
        <v>32</v>
      </c>
      <c r="B208" t="s">
        <v>2</v>
      </c>
      <c r="C208" t="s">
        <v>110</v>
      </c>
      <c r="D208" t="s">
        <v>112</v>
      </c>
      <c r="E208">
        <v>30</v>
      </c>
      <c r="F208" t="s">
        <v>212</v>
      </c>
      <c r="G208" t="s">
        <v>13</v>
      </c>
      <c r="H208" t="s">
        <v>8</v>
      </c>
      <c r="I208">
        <v>9.1</v>
      </c>
      <c r="J208">
        <v>0.8</v>
      </c>
      <c r="K208">
        <v>658</v>
      </c>
      <c r="L208">
        <v>14.3</v>
      </c>
      <c r="M208">
        <v>284.95</v>
      </c>
      <c r="N208">
        <v>284.95</v>
      </c>
      <c r="O208">
        <v>100</v>
      </c>
      <c r="P208">
        <v>3218.4</v>
      </c>
      <c r="Q208" cm="1">
        <f t="array" ref="Q208">AVERAGE(
    IF(
        ('Individual data from NASA'!$B:$B=$B208) *
        ('Individual data from NASA'!$C:$C=$G208) *
        ('Individual data from NASA'!$K:$K=$O208) *
        ('Individual data from NASA'!$D:$D=3),
        'Individual data from NASA'!M:M
    )
)</f>
        <v>783000000000000</v>
      </c>
      <c r="R208" cm="1">
        <f t="array" ref="R208">AVERAGE(
    IF(
        ('Individual data from NASA'!$B:$B=$B208) *
        ('Individual data from NASA'!$C:$C=$G208) *
        ('Individual data from NASA'!$K:$K=$O208) *
        ('Individual data from NASA'!$D:$D=3),
        'Individual data from NASA'!N:N
    )
)</f>
        <v>5980000000000000</v>
      </c>
      <c r="S208" cm="1">
        <f t="array" ref="S208">AVERAGE(
    IF(
        ('Individual data from NASA'!$B:$B=$B208) *
        ('Individual data from NASA'!$C:$C=$G208) *
        ('Individual data from NASA'!$K:$K=$O208) *
        ('Individual data from NASA'!$D:$D=3),
        'Individual data from NASA'!O:O
    )
)</f>
        <v>6760000000000000</v>
      </c>
      <c r="T208" cm="1">
        <f t="array" ref="T208">AVERAGE(
    IF(
        ('Individual data from NASA'!$B:$B=$B208) *
        ('Individual data from NASA'!$C:$C=$G208) *
        ('Individual data from NASA'!$K:$K=$O208) *
        ('Individual data from NASA'!$D:$D=3),
        'Individual data from NASA'!P:P
    )
)</f>
        <v>106.2</v>
      </c>
      <c r="U208" t="e" cm="1">
        <f t="array" ref="U208">AVERAGE(
    IF(
        ('Individual data from NASA'!$B:$B=$B208) *
        ('Individual data from NASA'!$C:$C=$G208) *
        ('Individual data from NASA'!$K:$K=$O208) *
        ('Individual data from NASA'!$D:$D=3),
        'Individual data from NASA'!Q:Q
    )
)</f>
        <v>#DIV/0!</v>
      </c>
      <c r="V208" t="e" cm="1">
        <f t="array" ref="V208">AVERAGE(
    IF(
        ('Individual data from NASA'!$B:$B=$B208) *
        ('Individual data from NASA'!$C:$C=$G208) *
        ('Individual data from NASA'!$K:$K=$O208) *
        ('Individual data from NASA'!$D:$D=3),
        'Individual data from NASA'!R:R
    )
)</f>
        <v>#DIV/0!</v>
      </c>
      <c r="W208" t="e" cm="1">
        <f t="array" ref="W208">AVERAGE(
    IF(
        ('Individual data from NASA'!$B:$B=$B208) *
        ('Individual data from NASA'!$C:$C=$G208) *
        ('Individual data from NASA'!$K:$K=$O208) *
        ('Individual data from NASA'!$D:$D=3),
        'Individual data from NASA'!S:S
    )
)</f>
        <v>#DIV/0!</v>
      </c>
      <c r="X208" t="e" cm="1">
        <f t="array" ref="X208">AVERAGE(
    IF(
        ('Individual data from NASA'!$B:$B=$B208) *
        ('Individual data from NASA'!$C:$C=$G208) *
        ('Individual data from NASA'!$K:$K=$O208) *
        ('Individual data from NASA'!$D:$D=3),
        'Individual data from NASA'!T:T
    )
)</f>
        <v>#DIV/0!</v>
      </c>
      <c r="Y208" cm="1">
        <f t="array" ref="Y208">AVERAGE(
    IF(
        ('Individual data from NASA'!$B:$B=$B208) *
        ('Individual data from NASA'!$C:$C=$G208) *
        ('Individual data from NASA'!$K:$K=$O208) *
        ('Individual data from NASA'!$D:$D=3),
        'Individual data from NASA'!U:U
    )
)</f>
        <v>12.781000000000001</v>
      </c>
      <c r="Z208" cm="1">
        <f t="array" ref="Z208">AVERAGE(
    IF(
        ('Individual data from NASA'!$B:$B=$B208) *
        ('Individual data from NASA'!$C:$C=$G208) *
        ('Individual data from NASA'!$K:$K=$O208) *
        ('Individual data from NASA'!$D:$D=3),
        'Individual data from NASA'!V:V
    )
)</f>
        <v>63.942799999999998</v>
      </c>
      <c r="AD208" t="str">
        <f t="shared" si="21"/>
        <v>Moore (2015)|AAFEX-I|Ground|CFM56-2C1|30|Eg no 3 Take-off</v>
      </c>
      <c r="AE208" s="13" cm="1">
        <f t="array" ref="AE208">I208 / _xlfn.XLOOKUP($AD208 &amp; "|" &amp; $H208, $AD:$AD &amp; "|" &amp; $G:$G, I:I)</f>
        <v>0.48924731182795694</v>
      </c>
      <c r="AF208" s="13" cm="1">
        <f t="array" ref="AF208">J208 / _xlfn.XLOOKUP($AD208 &amp; "|" &amp; $H208, $AD:$AD &amp; "|" &amp; $G:$G, J:J)</f>
        <v>0.5</v>
      </c>
      <c r="AG208" s="13" cm="1">
        <f t="array" ref="AG208">K208 / _xlfn.XLOOKUP($AD208 &amp; "|" &amp; $H208, $AD:$AD &amp; "|" &amp; $G:$G, K:K)</f>
        <v>0.57317073170731703</v>
      </c>
      <c r="AH208" s="13" cm="1">
        <f t="array" ref="AH208">L208 / _xlfn.XLOOKUP($AD208 &amp; "|" &amp; $H208, $AD:$AD &amp; "|" &amp; $G:$G, L:L)</f>
        <v>1.0514705882352942</v>
      </c>
      <c r="AI208" s="13" cm="1">
        <f t="array" ref="AI208">M208 / _xlfn.XLOOKUP($AD208 &amp; "|" &amp; $H208, $AD:$AD &amp; "|" &amp; $G:$G, M:M)</f>
        <v>1.0096554167773939</v>
      </c>
      <c r="AJ208" s="13" cm="1">
        <f t="array" ref="AJ208">N208 / _xlfn.XLOOKUP($AD208 &amp; "|" &amp; $H208, $AD:$AD &amp; "|" &amp; $G:$G, N:N)</f>
        <v>1.0096554167773939</v>
      </c>
      <c r="AK208" s="13" cm="1">
        <f t="array" ref="AK208">O208 / _xlfn.XLOOKUP($AD208 &amp; "|" &amp; $H208, $AD:$AD &amp; "|" &amp; $G:$G, O:O)</f>
        <v>1</v>
      </c>
      <c r="AL208" s="13" cm="1">
        <f t="array" ref="AL208">P208 / _xlfn.XLOOKUP($AD208 &amp; "|" &amp; $H208, $AD:$AD &amp; "|" &amp; $G:$G, P:P)</f>
        <v>1</v>
      </c>
      <c r="AM208" s="13" cm="1">
        <f t="array" ref="AM208">Q208 / _xlfn.XLOOKUP($AD208 &amp; "|" &amp; $H208, $AD:$AD &amp; "|" &amp; $G:$G, Q:Q)</f>
        <v>0.40580461259393624</v>
      </c>
      <c r="AN208" s="13" cm="1">
        <f t="array" ref="AN208">R208 / _xlfn.XLOOKUP($AD208 &amp; "|" &amp; $H208, $AD:$AD &amp; "|" &amp; $G:$G, R:R)</f>
        <v>0.44140985421664514</v>
      </c>
      <c r="AO208" s="13" cm="1">
        <f t="array" ref="AO208">S208 / _xlfn.XLOOKUP($AD208 &amp; "|" &amp; $H208, $AD:$AD &amp; "|" &amp; $G:$G, S:S)</f>
        <v>0.43775295450866114</v>
      </c>
      <c r="AP208" s="13" cm="1">
        <f t="array" ref="AP208">T208 / _xlfn.XLOOKUP($AD208 &amp; "|" &amp; $H208, $AD:$AD &amp; "|" &amp; $G:$G, T:T)</f>
        <v>0.61852067559697155</v>
      </c>
      <c r="AQ208" s="13" t="e" cm="1">
        <f t="array" ref="AQ208">U208 / _xlfn.XLOOKUP($AD208 &amp; "|" &amp; $H208, $AD:$AD &amp; "|" &amp; $G:$G, U:U)</f>
        <v>#DIV/0!</v>
      </c>
      <c r="AR208" s="13" t="e" cm="1">
        <f t="array" ref="AR208">V208 / _xlfn.XLOOKUP($AD208 &amp; "|" &amp; $H208, $AD:$AD &amp; "|" &amp; $G:$G, V:V)</f>
        <v>#DIV/0!</v>
      </c>
      <c r="AS208" s="13" t="e" cm="1">
        <f t="array" ref="AS208">W208 / _xlfn.XLOOKUP($AD208 &amp; "|" &amp; $H208, $AD:$AD &amp; "|" &amp; $G:$G, W:W)</f>
        <v>#DIV/0!</v>
      </c>
      <c r="AT208" s="13" t="e" cm="1">
        <f t="array" ref="AT208">X208 / _xlfn.XLOOKUP($AD208 &amp; "|" &amp; $H208, $AD:$AD &amp; "|" &amp; $G:$G, X:X)</f>
        <v>#DIV/0!</v>
      </c>
      <c r="AU208" s="13" cm="1">
        <f t="array" ref="AU208">Y208 / _xlfn.XLOOKUP($AD208 &amp; "|" &amp; $H208, $AD:$AD &amp; "|" &amp; $G:$G, Y:Y)</f>
        <v>0.92350434529712599</v>
      </c>
      <c r="AV208" s="13" cm="1">
        <f t="array" ref="AV208">Z208 / _xlfn.XLOOKUP($AD208 &amp; "|" &amp; $H208, $AD:$AD &amp; "|" &amp; $G:$G, Z:Z)</f>
        <v>0.91082879440478748</v>
      </c>
      <c r="AW208" s="13" cm="1">
        <f t="array" ref="AW208">_xlfn.XLOOKUP($AD208 &amp; "|" &amp; $H208, $AD:$AD &amp; "|" &amp; $G:$G, L:L)</f>
        <v>13.6</v>
      </c>
      <c r="AY208" s="13"/>
      <c r="AZ208" t="s">
        <v>232</v>
      </c>
    </row>
    <row r="209" spans="1:52" x14ac:dyDescent="0.2">
      <c r="A209" t="s">
        <v>32</v>
      </c>
      <c r="B209" t="s">
        <v>3</v>
      </c>
      <c r="C209" t="s">
        <v>110</v>
      </c>
      <c r="D209" t="s">
        <v>112</v>
      </c>
      <c r="E209">
        <v>30</v>
      </c>
      <c r="F209" t="s">
        <v>213</v>
      </c>
      <c r="G209" t="s">
        <v>8</v>
      </c>
      <c r="I209">
        <v>21.8</v>
      </c>
      <c r="J209">
        <v>1.3</v>
      </c>
      <c r="K209">
        <v>188</v>
      </c>
      <c r="L209">
        <v>13.5</v>
      </c>
      <c r="M209">
        <v>289.34999999999997</v>
      </c>
      <c r="N209">
        <v>289.34999999999997</v>
      </c>
      <c r="O209">
        <v>4</v>
      </c>
      <c r="P209">
        <v>457.2</v>
      </c>
      <c r="Q209" t="e" cm="1">
        <f t="array" ref="Q209">AVERAGE(
    IF(
        ('Individual data from NASA'!$B:$B=$B209) *
        ('Individual data from NASA'!$C:$C=$G209) *
        ('Individual data from NASA'!$K:$K=$O209) *
        ('Individual data from NASA'!$D:$D=3),
        'Individual data from NASA'!M:M
    )
)</f>
        <v>#DIV/0!</v>
      </c>
      <c r="R209" t="e" cm="1">
        <f t="array" ref="R209">AVERAGE(
    IF(
        ('Individual data from NASA'!$B:$B=$B209) *
        ('Individual data from NASA'!$C:$C=$G209) *
        ('Individual data from NASA'!$K:$K=$O209) *
        ('Individual data from NASA'!$D:$D=3),
        'Individual data from NASA'!N:N
    )
)</f>
        <v>#DIV/0!</v>
      </c>
      <c r="S209" t="e" cm="1">
        <f t="array" ref="S209">AVERAGE(
    IF(
        ('Individual data from NASA'!$B:$B=$B209) *
        ('Individual data from NASA'!$C:$C=$G209) *
        ('Individual data from NASA'!$K:$K=$O209) *
        ('Individual data from NASA'!$D:$D=3),
        'Individual data from NASA'!O:O
    )
)</f>
        <v>#DIV/0!</v>
      </c>
      <c r="T209" t="e" cm="1">
        <f t="array" ref="T209">AVERAGE(
    IF(
        ('Individual data from NASA'!$B:$B=$B209) *
        ('Individual data from NASA'!$C:$C=$G209) *
        ('Individual data from NASA'!$K:$K=$O209) *
        ('Individual data from NASA'!$D:$D=3),
        'Individual data from NASA'!P:P
    )
)</f>
        <v>#DIV/0!</v>
      </c>
      <c r="U209" t="e" cm="1">
        <f t="array" ref="U209">AVERAGE(
    IF(
        ('Individual data from NASA'!$B:$B=$B209) *
        ('Individual data from NASA'!$C:$C=$G209) *
        ('Individual data from NASA'!$K:$K=$O209) *
        ('Individual data from NASA'!$D:$D=3),
        'Individual data from NASA'!Q:Q
    )
)</f>
        <v>#DIV/0!</v>
      </c>
      <c r="V209" t="e" cm="1">
        <f t="array" ref="V209">AVERAGE(
    IF(
        ('Individual data from NASA'!$B:$B=$B209) *
        ('Individual data from NASA'!$C:$C=$G209) *
        ('Individual data from NASA'!$K:$K=$O209) *
        ('Individual data from NASA'!$D:$D=3),
        'Individual data from NASA'!R:R
    )
)</f>
        <v>#DIV/0!</v>
      </c>
      <c r="W209" t="e" cm="1">
        <f t="array" ref="W209">AVERAGE(
    IF(
        ('Individual data from NASA'!$B:$B=$B209) *
        ('Individual data from NASA'!$C:$C=$G209) *
        ('Individual data from NASA'!$K:$K=$O209) *
        ('Individual data from NASA'!$D:$D=3),
        'Individual data from NASA'!S:S
    )
)</f>
        <v>#DIV/0!</v>
      </c>
      <c r="X209" t="e" cm="1">
        <f t="array" ref="X209">AVERAGE(
    IF(
        ('Individual data from NASA'!$B:$B=$B209) *
        ('Individual data from NASA'!$C:$C=$G209) *
        ('Individual data from NASA'!$K:$K=$O209) *
        ('Individual data from NASA'!$D:$D=3),
        'Individual data from NASA'!T:T
    )
)</f>
        <v>#DIV/0!</v>
      </c>
      <c r="Y209" t="e" cm="1">
        <f t="array" ref="Y209">AVERAGE(
    IF(
        ('Individual data from NASA'!$B:$B=$B209) *
        ('Individual data from NASA'!$C:$C=$G209) *
        ('Individual data from NASA'!$K:$K=$O209) *
        ('Individual data from NASA'!$D:$D=3),
        'Individual data from NASA'!U:U
    )
)</f>
        <v>#DIV/0!</v>
      </c>
      <c r="Z209" t="e" cm="1">
        <f t="array" ref="Z209">AVERAGE(
    IF(
        ('Individual data from NASA'!$B:$B=$B209) *
        ('Individual data from NASA'!$C:$C=$G209) *
        ('Individual data from NASA'!$K:$K=$O209) *
        ('Individual data from NASA'!$D:$D=3),
        'Individual data from NASA'!V:V
    )
)</f>
        <v>#DIV/0!</v>
      </c>
      <c r="AD209" t="str">
        <f t="shared" si="21"/>
        <v>Moore (2015)|AAFEX-II|Ground|CFM56-2C1|30|Eg no 3 Idle (min)</v>
      </c>
      <c r="AW209" s="13"/>
      <c r="AZ209" t="s">
        <v>232</v>
      </c>
    </row>
    <row r="210" spans="1:52" x14ac:dyDescent="0.2">
      <c r="A210" t="s">
        <v>32</v>
      </c>
      <c r="B210" t="s">
        <v>3</v>
      </c>
      <c r="C210" t="s">
        <v>110</v>
      </c>
      <c r="D210" t="s">
        <v>112</v>
      </c>
      <c r="E210">
        <v>30</v>
      </c>
      <c r="F210" t="s">
        <v>215</v>
      </c>
      <c r="G210" t="s">
        <v>8</v>
      </c>
      <c r="I210">
        <v>21.8</v>
      </c>
      <c r="J210">
        <v>1.3</v>
      </c>
      <c r="K210">
        <v>188</v>
      </c>
      <c r="L210">
        <v>13.5</v>
      </c>
      <c r="M210">
        <v>291.72499999999997</v>
      </c>
      <c r="N210">
        <v>291.72499999999997</v>
      </c>
      <c r="O210">
        <v>30</v>
      </c>
      <c r="P210">
        <v>1231.2000000000003</v>
      </c>
      <c r="Q210" cm="1">
        <f t="array" ref="Q210">AVERAGE(
    IF(
        ('Individual data from NASA'!$B:$B=$B210) *
        ('Individual data from NASA'!$C:$C=$G210) *
        ('Individual data from NASA'!$K:$K=$O210) *
        ('Individual data from NASA'!$D:$D=3),
        'Individual data from NASA'!M:M
    )
)</f>
        <v>281000000000000</v>
      </c>
      <c r="R210" cm="1">
        <f t="array" ref="R210">AVERAGE(
    IF(
        ('Individual data from NASA'!$B:$B=$B210) *
        ('Individual data from NASA'!$C:$C=$G210) *
        ('Individual data from NASA'!$K:$K=$O210) *
        ('Individual data from NASA'!$D:$D=3),
        'Individual data from NASA'!N:N
    )
)</f>
        <v>2702000000000000</v>
      </c>
      <c r="S210" cm="1">
        <f t="array" ref="S210">AVERAGE(
    IF(
        ('Individual data from NASA'!$B:$B=$B210) *
        ('Individual data from NASA'!$C:$C=$G210) *
        ('Individual data from NASA'!$K:$K=$O210) *
        ('Individual data from NASA'!$D:$D=3),
        'Individual data from NASA'!O:O
    )
)</f>
        <v>2982000000000000</v>
      </c>
      <c r="T210" cm="1">
        <f t="array" ref="T210">AVERAGE(
    IF(
        ('Individual data from NASA'!$B:$B=$B210) *
        ('Individual data from NASA'!$C:$C=$G210) *
        ('Individual data from NASA'!$K:$K=$O210) *
        ('Individual data from NASA'!$D:$D=3),
        'Individual data from NASA'!P:P
    )
)</f>
        <v>6.9226000000000001</v>
      </c>
      <c r="U210" cm="1">
        <f t="array" ref="U210">AVERAGE(
    IF(
        ('Individual data from NASA'!$B:$B=$B210) *
        ('Individual data from NASA'!$C:$C=$G210) *
        ('Individual data from NASA'!$K:$K=$O210) *
        ('Individual data from NASA'!$D:$D=3),
        'Individual data from NASA'!Q:Q
    )
)</f>
        <v>0.77339999999999987</v>
      </c>
      <c r="V210" cm="1">
        <f t="array" ref="V210">AVERAGE(
    IF(
        ('Individual data from NASA'!$B:$B=$B210) *
        ('Individual data from NASA'!$C:$C=$G210) *
        ('Individual data from NASA'!$K:$K=$O210) *
        ('Individual data from NASA'!$D:$D=3),
        'Individual data from NASA'!R:R
    )
)</f>
        <v>0.2266</v>
      </c>
      <c r="W210" cm="1">
        <f t="array" ref="W210">AVERAGE(
    IF(
        ('Individual data from NASA'!$B:$B=$B210) *
        ('Individual data from NASA'!$C:$C=$G210) *
        ('Individual data from NASA'!$K:$K=$O210) *
        ('Individual data from NASA'!$D:$D=3),
        'Individual data from NASA'!S:S
    )
)</f>
        <v>5.7374305289999992</v>
      </c>
      <c r="X210" cm="1">
        <f t="array" ref="X210">AVERAGE(
    IF(
        ('Individual data from NASA'!$B:$B=$B210) *
        ('Individual data from NASA'!$C:$C=$G210) *
        ('Individual data from NASA'!$K:$K=$O210) *
        ('Individual data from NASA'!$D:$D=3),
        'Individual data from NASA'!T:T
    )
)</f>
        <v>2.0020144709999999</v>
      </c>
      <c r="Y210" cm="1">
        <f t="array" ref="Y210">AVERAGE(
    IF(
        ('Individual data from NASA'!$B:$B=$B210) *
        ('Individual data from NASA'!$C:$C=$G210) *
        ('Individual data from NASA'!$K:$K=$O210) *
        ('Individual data from NASA'!$D:$D=3),
        'Individual data from NASA'!U:U
    )
)</f>
        <v>11.025119999999999</v>
      </c>
      <c r="Z210" cm="1">
        <f t="array" ref="Z210">AVERAGE(
    IF(
        ('Individual data from NASA'!$B:$B=$B210) *
        ('Individual data from NASA'!$C:$C=$G210) *
        ('Individual data from NASA'!$K:$K=$O210) *
        ('Individual data from NASA'!$D:$D=3),
        'Individual data from NASA'!V:V
    )
)</f>
        <v>43.773080000000007</v>
      </c>
      <c r="AD210" t="str">
        <f t="shared" si="21"/>
        <v>Moore (2015)|AAFEX-II|Ground|CFM56-2C1|30|Eg no 3 Intermediate</v>
      </c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Y210" s="13"/>
      <c r="AZ210" t="s">
        <v>232</v>
      </c>
    </row>
    <row r="211" spans="1:52" x14ac:dyDescent="0.2">
      <c r="A211" t="s">
        <v>32</v>
      </c>
      <c r="B211" t="s">
        <v>3</v>
      </c>
      <c r="C211" t="s">
        <v>110</v>
      </c>
      <c r="D211" t="s">
        <v>112</v>
      </c>
      <c r="E211">
        <v>30</v>
      </c>
      <c r="F211" t="s">
        <v>216</v>
      </c>
      <c r="G211" t="s">
        <v>8</v>
      </c>
      <c r="I211">
        <v>21.8</v>
      </c>
      <c r="J211">
        <v>1.3</v>
      </c>
      <c r="K211">
        <v>188</v>
      </c>
      <c r="L211">
        <v>13.5</v>
      </c>
      <c r="M211">
        <v>290.58076923076919</v>
      </c>
      <c r="N211">
        <v>290.58076923076919</v>
      </c>
      <c r="O211">
        <v>65</v>
      </c>
      <c r="P211">
        <v>2167.1999999999998</v>
      </c>
      <c r="Q211" cm="1">
        <f t="array" ref="Q211">AVERAGE(
    IF(
        ('Individual data from NASA'!$B:$B=$B211) *
        ('Individual data from NASA'!$C:$C=$G211) *
        ('Individual data from NASA'!$K:$K=$O211) *
        ('Individual data from NASA'!$D:$D=3),
        'Individual data from NASA'!M:M
    )
)</f>
        <v>346600000000000</v>
      </c>
      <c r="R211" cm="1">
        <f t="array" ref="R211">AVERAGE(
    IF(
        ('Individual data from NASA'!$B:$B=$B211) *
        ('Individual data from NASA'!$C:$C=$G211) *
        ('Individual data from NASA'!$K:$K=$O211) *
        ('Individual data from NASA'!$D:$D=3),
        'Individual data from NASA'!N:N
    )
)</f>
        <v>1640800000000000</v>
      </c>
      <c r="S211" cm="1">
        <f t="array" ref="S211">AVERAGE(
    IF(
        ('Individual data from NASA'!$B:$B=$B211) *
        ('Individual data from NASA'!$C:$C=$G211) *
        ('Individual data from NASA'!$K:$K=$O211) *
        ('Individual data from NASA'!$D:$D=3),
        'Individual data from NASA'!O:O
    )
)</f>
        <v>1988000000000000</v>
      </c>
      <c r="T211" cm="1">
        <f t="array" ref="T211">AVERAGE(
    IF(
        ('Individual data from NASA'!$B:$B=$B211) *
        ('Individual data from NASA'!$C:$C=$G211) *
        ('Individual data from NASA'!$K:$K=$O211) *
        ('Individual data from NASA'!$D:$D=3),
        'Individual data from NASA'!P:P
    )
)</f>
        <v>21.846</v>
      </c>
      <c r="U211" cm="1">
        <f t="array" ref="U211">AVERAGE(
    IF(
        ('Individual data from NASA'!$B:$B=$B211) *
        ('Individual data from NASA'!$C:$C=$G211) *
        ('Individual data from NASA'!$K:$K=$O211) *
        ('Individual data from NASA'!$D:$D=3),
        'Individual data from NASA'!Q:Q
    )
)</f>
        <v>0.79880000000000007</v>
      </c>
      <c r="V211" cm="1">
        <f t="array" ref="V211">AVERAGE(
    IF(
        ('Individual data from NASA'!$B:$B=$B211) *
        ('Individual data from NASA'!$C:$C=$G211) *
        ('Individual data from NASA'!$K:$K=$O211) *
        ('Individual data from NASA'!$D:$D=3),
        'Individual data from NASA'!R:R
    )
)</f>
        <v>0.20119999999999999</v>
      </c>
      <c r="W211" cm="1">
        <f t="array" ref="W211">AVERAGE(
    IF(
        ('Individual data from NASA'!$B:$B=$B211) *
        ('Individual data from NASA'!$C:$C=$G211) *
        ('Individual data from NASA'!$K:$K=$O211) *
        ('Individual data from NASA'!$D:$D=3),
        'Individual data from NASA'!S:S
    )
)</f>
        <v>11.390036771750001</v>
      </c>
      <c r="X211" cm="1">
        <f t="array" ref="X211">AVERAGE(
    IF(
        ('Individual data from NASA'!$B:$B=$B211) *
        ('Individual data from NASA'!$C:$C=$G211) *
        ('Individual data from NASA'!$K:$K=$O211) *
        ('Individual data from NASA'!$D:$D=3),
        'Individual data from NASA'!T:T
    )
)</f>
        <v>3.1519832292500003</v>
      </c>
      <c r="Y211" cm="1">
        <f t="array" ref="Y211">AVERAGE(
    IF(
        ('Individual data from NASA'!$B:$B=$B211) *
        ('Individual data from NASA'!$C:$C=$G211) *
        ('Individual data from NASA'!$K:$K=$O211) *
        ('Individual data from NASA'!$D:$D=3),
        'Individual data from NASA'!U:U
    )
)</f>
        <v>14.168539999999998</v>
      </c>
      <c r="Z211" cm="1">
        <f t="array" ref="Z211">AVERAGE(
    IF(
        ('Individual data from NASA'!$B:$B=$B211) *
        ('Individual data from NASA'!$C:$C=$G211) *
        ('Individual data from NASA'!$K:$K=$O211) *
        ('Individual data from NASA'!$D:$D=3),
        'Individual data from NASA'!V:V
    )
)</f>
        <v>56.274119999999996</v>
      </c>
      <c r="AD211" t="str">
        <f t="shared" si="21"/>
        <v>Moore (2015)|AAFEX-II|Ground|CFM56-2C1|30|Eg no 3 Mid power</v>
      </c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Y211" s="13"/>
      <c r="AZ211" t="s">
        <v>232</v>
      </c>
    </row>
    <row r="212" spans="1:52" x14ac:dyDescent="0.2">
      <c r="A212" t="s">
        <v>32</v>
      </c>
      <c r="B212" t="s">
        <v>3</v>
      </c>
      <c r="C212" t="s">
        <v>110</v>
      </c>
      <c r="D212" t="s">
        <v>112</v>
      </c>
      <c r="E212">
        <v>30</v>
      </c>
      <c r="F212" t="s">
        <v>217</v>
      </c>
      <c r="G212" t="s">
        <v>8</v>
      </c>
      <c r="I212">
        <v>21.8</v>
      </c>
      <c r="J212">
        <v>1.3</v>
      </c>
      <c r="K212">
        <v>188</v>
      </c>
      <c r="L212">
        <v>13.5</v>
      </c>
      <c r="M212">
        <v>291.4576923076923</v>
      </c>
      <c r="N212">
        <v>291.4576923076923</v>
      </c>
      <c r="O212">
        <v>85</v>
      </c>
      <c r="P212">
        <v>3041.9999999999995</v>
      </c>
      <c r="Q212" cm="1">
        <f t="array" ref="Q212">AVERAGE(
    IF(
        ('Individual data from NASA'!$B:$B=$B212) *
        ('Individual data from NASA'!$C:$C=$G212) *
        ('Individual data from NASA'!$K:$K=$O212) *
        ('Individual data from NASA'!$D:$D=3),
        'Individual data from NASA'!M:M
    )
)</f>
        <v>559800000000000</v>
      </c>
      <c r="R212" cm="1">
        <f t="array" ref="R212">AVERAGE(
    IF(
        ('Individual data from NASA'!$B:$B=$B212) *
        ('Individual data from NASA'!$C:$C=$G212) *
        ('Individual data from NASA'!$K:$K=$O212) *
        ('Individual data from NASA'!$D:$D=3),
        'Individual data from NASA'!N:N
    )
)</f>
        <v>855400000000000</v>
      </c>
      <c r="S212" cm="1">
        <f t="array" ref="S212">AVERAGE(
    IF(
        ('Individual data from NASA'!$B:$B=$B212) *
        ('Individual data from NASA'!$C:$C=$G212) *
        ('Individual data from NASA'!$K:$K=$O212) *
        ('Individual data from NASA'!$D:$D=3),
        'Individual data from NASA'!O:O
    )
)</f>
        <v>1414000000000000</v>
      </c>
      <c r="T212" cm="1">
        <f t="array" ref="T212">AVERAGE(
    IF(
        ('Individual data from NASA'!$B:$B=$B212) *
        ('Individual data from NASA'!$C:$C=$G212) *
        ('Individual data from NASA'!$K:$K=$O212) *
        ('Individual data from NASA'!$D:$D=3),
        'Individual data from NASA'!P:P
    )
)</f>
        <v>76.320000000000007</v>
      </c>
      <c r="U212" cm="1">
        <f t="array" ref="U212">AVERAGE(
    IF(
        ('Individual data from NASA'!$B:$B=$B212) *
        ('Individual data from NASA'!$C:$C=$G212) *
        ('Individual data from NASA'!$K:$K=$O212) *
        ('Individual data from NASA'!$D:$D=3),
        'Individual data from NASA'!Q:Q
    )
)</f>
        <v>0.80128929260000015</v>
      </c>
      <c r="V212" cm="1">
        <f t="array" ref="V212">AVERAGE(
    IF(
        ('Individual data from NASA'!$B:$B=$B212) *
        ('Individual data from NASA'!$C:$C=$G212) *
        ('Individual data from NASA'!$K:$K=$O212) *
        ('Individual data from NASA'!$D:$D=3),
        'Individual data from NASA'!R:R
    )
)</f>
        <v>0.19871070740000002</v>
      </c>
      <c r="W212" cm="1">
        <f t="array" ref="W212">AVERAGE(
    IF(
        ('Individual data from NASA'!$B:$B=$B212) *
        ('Individual data from NASA'!$C:$C=$G212) *
        ('Individual data from NASA'!$K:$K=$O212) *
        ('Individual data from NASA'!$D:$D=3),
        'Individual data from NASA'!S:S
    )
)</f>
        <v>19.823929069999998</v>
      </c>
      <c r="X212" cm="1">
        <f t="array" ref="X212">AVERAGE(
    IF(
        ('Individual data from NASA'!$B:$B=$B212) *
        ('Individual data from NASA'!$C:$C=$G212) *
        ('Individual data from NASA'!$K:$K=$O212) *
        ('Individual data from NASA'!$D:$D=3),
        'Individual data from NASA'!T:T
    )
)</f>
        <v>5.5008709310000006</v>
      </c>
      <c r="Y212" cm="1">
        <f t="array" ref="Y212">AVERAGE(
    IF(
        ('Individual data from NASA'!$B:$B=$B212) *
        ('Individual data from NASA'!$C:$C=$G212) *
        ('Individual data from NASA'!$K:$K=$O212) *
        ('Individual data from NASA'!$D:$D=3),
        'Individual data from NASA'!U:U
    )
)</f>
        <v>25.566740000000003</v>
      </c>
      <c r="Z212" cm="1">
        <f t="array" ref="Z212">AVERAGE(
    IF(
        ('Individual data from NASA'!$B:$B=$B212) *
        ('Individual data from NASA'!$C:$C=$G212) *
        ('Individual data from NASA'!$K:$K=$O212) *
        ('Individual data from NASA'!$D:$D=3),
        'Individual data from NASA'!V:V
    )
)</f>
        <v>75.081879999999998</v>
      </c>
      <c r="AD212" t="str">
        <f t="shared" si="21"/>
        <v>Moore (2015)|AAFEX-II|Ground|CFM56-2C1|30|Eg no 3 Climb</v>
      </c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Y212" s="13"/>
      <c r="AZ212" t="s">
        <v>232</v>
      </c>
    </row>
    <row r="213" spans="1:52" x14ac:dyDescent="0.2">
      <c r="A213" t="s">
        <v>32</v>
      </c>
      <c r="B213" t="s">
        <v>3</v>
      </c>
      <c r="C213" t="s">
        <v>110</v>
      </c>
      <c r="D213" t="s">
        <v>112</v>
      </c>
      <c r="E213">
        <v>30</v>
      </c>
      <c r="F213" t="s">
        <v>212</v>
      </c>
      <c r="G213" t="s">
        <v>8</v>
      </c>
      <c r="I213">
        <v>21.8</v>
      </c>
      <c r="J213">
        <v>1.3</v>
      </c>
      <c r="K213">
        <v>188</v>
      </c>
      <c r="L213">
        <v>13.5</v>
      </c>
      <c r="M213">
        <v>295.01666666666665</v>
      </c>
      <c r="N213">
        <v>295.01666666666665</v>
      </c>
      <c r="O213">
        <v>100</v>
      </c>
      <c r="P213">
        <v>3218.4</v>
      </c>
      <c r="Q213" cm="1">
        <f t="array" ref="Q213">AVERAGE(
    IF(
        ('Individual data from NASA'!$B:$B=$B213) *
        ('Individual data from NASA'!$C:$C=$G213) *
        ('Individual data from NASA'!$K:$K=$O213) *
        ('Individual data from NASA'!$D:$D=3),
        'Individual data from NASA'!M:M
    )
)</f>
        <v>683333333333333.38</v>
      </c>
      <c r="R213" cm="1">
        <f t="array" ref="R213">AVERAGE(
    IF(
        ('Individual data from NASA'!$B:$B=$B213) *
        ('Individual data from NASA'!$C:$C=$G213) *
        ('Individual data from NASA'!$K:$K=$O213) *
        ('Individual data from NASA'!$D:$D=3),
        'Individual data from NASA'!N:N
    )
)</f>
        <v>879333333333333.38</v>
      </c>
      <c r="S213" cm="1">
        <f t="array" ref="S213">AVERAGE(
    IF(
        ('Individual data from NASA'!$B:$B=$B213) *
        ('Individual data from NASA'!$C:$C=$G213) *
        ('Individual data from NASA'!$K:$K=$O213) *
        ('Individual data from NASA'!$D:$D=3),
        'Individual data from NASA'!O:O
    )
)</f>
        <v>1563333333333333.2</v>
      </c>
      <c r="T213" cm="1">
        <f t="array" ref="T213">AVERAGE(
    IF(
        ('Individual data from NASA'!$B:$B=$B213) *
        ('Individual data from NASA'!$C:$C=$G213) *
        ('Individual data from NASA'!$K:$K=$O213) *
        ('Individual data from NASA'!$D:$D=3),
        'Individual data from NASA'!P:P
    )
)</f>
        <v>131.33333333333334</v>
      </c>
      <c r="U213" cm="1">
        <f t="array" ref="U213">AVERAGE(
    IF(
        ('Individual data from NASA'!$B:$B=$B213) *
        ('Individual data from NASA'!$C:$C=$G213) *
        ('Individual data from NASA'!$K:$K=$O213) *
        ('Individual data from NASA'!$D:$D=3),
        'Individual data from NASA'!Q:Q
    )
)</f>
        <v>0.83000000000000007</v>
      </c>
      <c r="V213" cm="1">
        <f t="array" ref="V213">AVERAGE(
    IF(
        ('Individual data from NASA'!$B:$B=$B213) *
        ('Individual data from NASA'!$C:$C=$G213) *
        ('Individual data from NASA'!$K:$K=$O213) *
        ('Individual data from NASA'!$D:$D=3),
        'Individual data from NASA'!R:R
    )
)</f>
        <v>0.17</v>
      </c>
      <c r="W213" cm="1">
        <f t="array" ref="W213">AVERAGE(
    IF(
        ('Individual data from NASA'!$B:$B=$B213) *
        ('Individual data from NASA'!$C:$C=$G213) *
        ('Individual data from NASA'!$K:$K=$O213) *
        ('Individual data from NASA'!$D:$D=3),
        'Individual data from NASA'!S:S
    )
)</f>
        <v>39.368173364999997</v>
      </c>
      <c r="X213" cm="1">
        <f t="array" ref="X213">AVERAGE(
    IF(
        ('Individual data from NASA'!$B:$B=$B213) *
        ('Individual data from NASA'!$C:$C=$G213) *
        ('Individual data from NASA'!$K:$K=$O213) *
        ('Individual data from NASA'!$D:$D=3),
        'Individual data from NASA'!T:T
    )
)</f>
        <v>9.3041266339999993</v>
      </c>
      <c r="Y213" cm="1">
        <f t="array" ref="Y213">AVERAGE(
    IF(
        ('Individual data from NASA'!$B:$B=$B213) *
        ('Individual data from NASA'!$C:$C=$G213) *
        ('Individual data from NASA'!$K:$K=$O213) *
        ('Individual data from NASA'!$D:$D=3),
        'Individual data from NASA'!U:U
    )
)</f>
        <v>30.300566666666668</v>
      </c>
      <c r="Z213" cm="1">
        <f t="array" ref="Z213">AVERAGE(
    IF(
        ('Individual data from NASA'!$B:$B=$B213) *
        ('Individual data from NASA'!$C:$C=$G213) *
        ('Individual data from NASA'!$K:$K=$O213) *
        ('Individual data from NASA'!$D:$D=3),
        'Individual data from NASA'!V:V
    )
)</f>
        <v>87.278900000000007</v>
      </c>
      <c r="AD213" t="str">
        <f t="shared" si="21"/>
        <v>Moore (2015)|AAFEX-II|Ground|CFM56-2C1|30|Eg no 3 Take-off</v>
      </c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Y213" s="13"/>
      <c r="AZ213" t="s">
        <v>232</v>
      </c>
    </row>
    <row r="214" spans="1:52" x14ac:dyDescent="0.2">
      <c r="A214" t="s">
        <v>32</v>
      </c>
      <c r="B214" t="s">
        <v>3</v>
      </c>
      <c r="C214" t="s">
        <v>110</v>
      </c>
      <c r="D214" t="s">
        <v>112</v>
      </c>
      <c r="E214">
        <v>30</v>
      </c>
      <c r="F214" t="s">
        <v>213</v>
      </c>
      <c r="G214" t="s">
        <v>15</v>
      </c>
      <c r="H214" t="s">
        <v>8</v>
      </c>
      <c r="I214">
        <v>0.4</v>
      </c>
      <c r="J214">
        <v>0</v>
      </c>
      <c r="K214">
        <v>6</v>
      </c>
      <c r="L214">
        <v>15.3</v>
      </c>
      <c r="M214">
        <v>289.46666666666664</v>
      </c>
      <c r="N214">
        <v>289.46666666666664</v>
      </c>
      <c r="O214">
        <v>4</v>
      </c>
      <c r="P214">
        <v>457.2</v>
      </c>
      <c r="Q214" t="e" cm="1">
        <f t="array" ref="Q214">AVERAGE(
    IF(
        ('Individual data from NASA'!$B:$B=$B214) *
        ('Individual data from NASA'!$C:$C=$G214) *
        ('Individual data from NASA'!$K:$K=$O214) *
        ('Individual data from NASA'!$D:$D=3),
        'Individual data from NASA'!M:M
    )
)</f>
        <v>#DIV/0!</v>
      </c>
      <c r="R214" t="e" cm="1">
        <f t="array" ref="R214">AVERAGE(
    IF(
        ('Individual data from NASA'!$B:$B=$B214) *
        ('Individual data from NASA'!$C:$C=$G214) *
        ('Individual data from NASA'!$K:$K=$O214) *
        ('Individual data from NASA'!$D:$D=3),
        'Individual data from NASA'!N:N
    )
)</f>
        <v>#DIV/0!</v>
      </c>
      <c r="S214" t="e" cm="1">
        <f t="array" ref="S214">AVERAGE(
    IF(
        ('Individual data from NASA'!$B:$B=$B214) *
        ('Individual data from NASA'!$C:$C=$G214) *
        ('Individual data from NASA'!$K:$K=$O214) *
        ('Individual data from NASA'!$D:$D=3),
        'Individual data from NASA'!O:O
    )
)</f>
        <v>#DIV/0!</v>
      </c>
      <c r="T214" t="e" cm="1">
        <f t="array" ref="T214">AVERAGE(
    IF(
        ('Individual data from NASA'!$B:$B=$B214) *
        ('Individual data from NASA'!$C:$C=$G214) *
        ('Individual data from NASA'!$K:$K=$O214) *
        ('Individual data from NASA'!$D:$D=3),
        'Individual data from NASA'!P:P
    )
)</f>
        <v>#DIV/0!</v>
      </c>
      <c r="U214" t="e" cm="1">
        <f t="array" ref="U214">AVERAGE(
    IF(
        ('Individual data from NASA'!$B:$B=$B214) *
        ('Individual data from NASA'!$C:$C=$G214) *
        ('Individual data from NASA'!$K:$K=$O214) *
        ('Individual data from NASA'!$D:$D=3),
        'Individual data from NASA'!Q:Q
    )
)</f>
        <v>#DIV/0!</v>
      </c>
      <c r="V214" t="e" cm="1">
        <f t="array" ref="V214">AVERAGE(
    IF(
        ('Individual data from NASA'!$B:$B=$B214) *
        ('Individual data from NASA'!$C:$C=$G214) *
        ('Individual data from NASA'!$K:$K=$O214) *
        ('Individual data from NASA'!$D:$D=3),
        'Individual data from NASA'!R:R
    )
)</f>
        <v>#DIV/0!</v>
      </c>
      <c r="W214" t="e" cm="1">
        <f t="array" ref="W214">AVERAGE(
    IF(
        ('Individual data from NASA'!$B:$B=$B214) *
        ('Individual data from NASA'!$C:$C=$G214) *
        ('Individual data from NASA'!$K:$K=$O214) *
        ('Individual data from NASA'!$D:$D=3),
        'Individual data from NASA'!S:S
    )
)</f>
        <v>#DIV/0!</v>
      </c>
      <c r="X214" t="e" cm="1">
        <f t="array" ref="X214">AVERAGE(
    IF(
        ('Individual data from NASA'!$B:$B=$B214) *
        ('Individual data from NASA'!$C:$C=$G214) *
        ('Individual data from NASA'!$K:$K=$O214) *
        ('Individual data from NASA'!$D:$D=3),
        'Individual data from NASA'!T:T
    )
)</f>
        <v>#DIV/0!</v>
      </c>
      <c r="Y214" t="e" cm="1">
        <f t="array" ref="Y214">AVERAGE(
    IF(
        ('Individual data from NASA'!$B:$B=$B214) *
        ('Individual data from NASA'!$C:$C=$G214) *
        ('Individual data from NASA'!$K:$K=$O214) *
        ('Individual data from NASA'!$D:$D=3),
        'Individual data from NASA'!U:U
    )
)</f>
        <v>#DIV/0!</v>
      </c>
      <c r="Z214" t="e" cm="1">
        <f t="array" ref="Z214">AVERAGE(
    IF(
        ('Individual data from NASA'!$B:$B=$B214) *
        ('Individual data from NASA'!$C:$C=$G214) *
        ('Individual data from NASA'!$K:$K=$O214) *
        ('Individual data from NASA'!$D:$D=3),
        'Individual data from NASA'!V:V
    )
)</f>
        <v>#DIV/0!</v>
      </c>
      <c r="AD214" t="str">
        <f t="shared" si="21"/>
        <v>Moore (2015)|AAFEX-II|Ground|CFM56-2C1|30|Eg no 3 Idle (min)</v>
      </c>
      <c r="AE214" s="13" cm="1">
        <f t="array" ref="AE214">I214 / _xlfn.XLOOKUP($AD214 &amp; "|" &amp; $H214, $AD:$AD &amp; "|" &amp; $G:$G, I:I)</f>
        <v>1.834862385321101E-2</v>
      </c>
      <c r="AF214" s="13" cm="1">
        <f t="array" ref="AF214">J214 / _xlfn.XLOOKUP($AD214 &amp; "|" &amp; $H214, $AD:$AD &amp; "|" &amp; $G:$G, J:J)</f>
        <v>0</v>
      </c>
      <c r="AG214" s="13" cm="1">
        <f t="array" ref="AG214">K214 / _xlfn.XLOOKUP($AD214 &amp; "|" &amp; $H214, $AD:$AD &amp; "|" &amp; $G:$G, K:K)</f>
        <v>3.1914893617021274E-2</v>
      </c>
      <c r="AH214" s="13" cm="1">
        <f t="array" ref="AH214">L214 / _xlfn.XLOOKUP($AD214 &amp; "|" &amp; $H214, $AD:$AD &amp; "|" &amp; $G:$G, L:L)</f>
        <v>1.1333333333333333</v>
      </c>
      <c r="AI214" s="13" cm="1">
        <f t="array" ref="AI214">M214 / _xlfn.XLOOKUP($AD214 &amp; "|" &amp; $H214, $AD:$AD &amp; "|" &amp; $G:$G, M:M)</f>
        <v>1.0004032025804965</v>
      </c>
      <c r="AJ214" s="13" cm="1">
        <f t="array" ref="AJ214">N214 / _xlfn.XLOOKUP($AD214 &amp; "|" &amp; $H214, $AD:$AD &amp; "|" &amp; $G:$G, N:N)</f>
        <v>1.0004032025804965</v>
      </c>
      <c r="AK214" s="13" cm="1">
        <f t="array" ref="AK214">O214 / _xlfn.XLOOKUP($AD214 &amp; "|" &amp; $H214, $AD:$AD &amp; "|" &amp; $G:$G, O:O)</f>
        <v>1</v>
      </c>
      <c r="AL214" s="13" cm="1">
        <f t="array" ref="AL214">P214 / _xlfn.XLOOKUP($AD214 &amp; "|" &amp; $H214, $AD:$AD &amp; "|" &amp; $G:$G, P:P)</f>
        <v>1</v>
      </c>
      <c r="AM214" s="13" t="e" cm="1">
        <f t="array" ref="AM214">Q214 / _xlfn.XLOOKUP($AD214 &amp; "|" &amp; $H214, $AD:$AD &amp; "|" &amp; $G:$G, Q:Q)</f>
        <v>#DIV/0!</v>
      </c>
      <c r="AN214" s="13" t="e" cm="1">
        <f t="array" ref="AN214">R214 / _xlfn.XLOOKUP($AD214 &amp; "|" &amp; $H214, $AD:$AD &amp; "|" &amp; $G:$G, R:R)</f>
        <v>#DIV/0!</v>
      </c>
      <c r="AO214" s="13" t="e" cm="1">
        <f t="array" ref="AO214">S214 / _xlfn.XLOOKUP($AD214 &amp; "|" &amp; $H214, $AD:$AD &amp; "|" &amp; $G:$G, S:S)</f>
        <v>#DIV/0!</v>
      </c>
      <c r="AP214" s="13" t="e" cm="1">
        <f t="array" ref="AP214">T214 / _xlfn.XLOOKUP($AD214 &amp; "|" &amp; $H214, $AD:$AD &amp; "|" &amp; $G:$G, T:T)</f>
        <v>#DIV/0!</v>
      </c>
      <c r="AQ214" s="13" t="e" cm="1">
        <f t="array" ref="AQ214">U214 / _xlfn.XLOOKUP($AD214 &amp; "|" &amp; $H214, $AD:$AD &amp; "|" &amp; $G:$G, U:U)</f>
        <v>#DIV/0!</v>
      </c>
      <c r="AR214" s="13" t="e" cm="1">
        <f t="array" ref="AR214">V214 / _xlfn.XLOOKUP($AD214 &amp; "|" &amp; $H214, $AD:$AD &amp; "|" &amp; $G:$G, V:V)</f>
        <v>#DIV/0!</v>
      </c>
      <c r="AS214" s="13" t="e" cm="1">
        <f t="array" ref="AS214">W214 / _xlfn.XLOOKUP($AD214 &amp; "|" &amp; $H214, $AD:$AD &amp; "|" &amp; $G:$G, W:W)</f>
        <v>#DIV/0!</v>
      </c>
      <c r="AT214" s="13" t="e" cm="1">
        <f t="array" ref="AT214">X214 / _xlfn.XLOOKUP($AD214 &amp; "|" &amp; $H214, $AD:$AD &amp; "|" &amp; $G:$G, X:X)</f>
        <v>#DIV/0!</v>
      </c>
      <c r="AU214" s="13" t="e" cm="1">
        <f t="array" ref="AU214">Y214 / _xlfn.XLOOKUP($AD214 &amp; "|" &amp; $H214, $AD:$AD &amp; "|" &amp; $G:$G, Y:Y)</f>
        <v>#DIV/0!</v>
      </c>
      <c r="AV214" s="13" t="e" cm="1">
        <f t="array" ref="AV214">Z214 / _xlfn.XLOOKUP($AD214 &amp; "|" &amp; $H214, $AD:$AD &amp; "|" &amp; $G:$G, Z:Z)</f>
        <v>#DIV/0!</v>
      </c>
      <c r="AW214" s="13" cm="1">
        <f t="array" ref="AW214">_xlfn.XLOOKUP($AD214 &amp; "|" &amp; $H214, $AD:$AD &amp; "|" &amp; $G:$G, L:L)</f>
        <v>13.5</v>
      </c>
      <c r="AY214" s="13"/>
      <c r="AZ214" t="s">
        <v>232</v>
      </c>
    </row>
    <row r="215" spans="1:52" x14ac:dyDescent="0.2">
      <c r="A215" t="s">
        <v>32</v>
      </c>
      <c r="B215" t="s">
        <v>3</v>
      </c>
      <c r="C215" t="s">
        <v>110</v>
      </c>
      <c r="D215" t="s">
        <v>112</v>
      </c>
      <c r="E215">
        <v>30</v>
      </c>
      <c r="F215" t="s">
        <v>214</v>
      </c>
      <c r="G215" t="s">
        <v>15</v>
      </c>
      <c r="H215" t="s">
        <v>8</v>
      </c>
      <c r="I215">
        <v>0.4</v>
      </c>
      <c r="J215">
        <v>0</v>
      </c>
      <c r="K215">
        <v>6</v>
      </c>
      <c r="L215">
        <v>15.3</v>
      </c>
      <c r="M215">
        <v>289.95</v>
      </c>
      <c r="N215">
        <v>289.95</v>
      </c>
      <c r="O215">
        <v>7</v>
      </c>
      <c r="P215">
        <v>561.096</v>
      </c>
      <c r="Q215" cm="1">
        <f t="array" ref="Q215">AVERAGE(
    IF(
        ('Individual data from NASA'!$B:$B=$B215) *
        ('Individual data from NASA'!$C:$C=$G215) *
        ('Individual data from NASA'!$K:$K=$O215) *
        ('Individual data from NASA'!$D:$D=3),
        'Individual data from NASA'!M:M
    )
)</f>
        <v>84900000000000</v>
      </c>
      <c r="R215" cm="1">
        <f t="array" ref="R215">AVERAGE(
    IF(
        ('Individual data from NASA'!$B:$B=$B215) *
        ('Individual data from NASA'!$C:$C=$G215) *
        ('Individual data from NASA'!$K:$K=$O215) *
        ('Individual data from NASA'!$D:$D=3),
        'Individual data from NASA'!N:N
    )
)</f>
        <v>4415555555555555.5</v>
      </c>
      <c r="S215" cm="1">
        <f t="array" ref="S215">AVERAGE(
    IF(
        ('Individual data from NASA'!$B:$B=$B215) *
        ('Individual data from NASA'!$C:$C=$G215) *
        ('Individual data from NASA'!$K:$K=$O215) *
        ('Individual data from NASA'!$D:$D=3),
        'Individual data from NASA'!O:O
    )
)</f>
        <v>4500000000000000</v>
      </c>
      <c r="T215" cm="1">
        <f t="array" ref="T215">AVERAGE(
    IF(
        ('Individual data from NASA'!$B:$B=$B215) *
        ('Individual data from NASA'!$C:$C=$G215) *
        ('Individual data from NASA'!$K:$K=$O215) *
        ('Individual data from NASA'!$D:$D=3),
        'Individual data from NASA'!P:P
    )
)</f>
        <v>4.84</v>
      </c>
      <c r="U215" cm="1">
        <f t="array" ref="U215">AVERAGE(
    IF(
        ('Individual data from NASA'!$B:$B=$B215) *
        ('Individual data from NASA'!$C:$C=$G215) *
        ('Individual data from NASA'!$K:$K=$O215) *
        ('Individual data from NASA'!$D:$D=3),
        'Individual data from NASA'!Q:Q
    )
)</f>
        <v>0.68466666666666665</v>
      </c>
      <c r="V215" cm="1">
        <f t="array" ref="V215">AVERAGE(
    IF(
        ('Individual data from NASA'!$B:$B=$B215) *
        ('Individual data from NASA'!$C:$C=$G215) *
        ('Individual data from NASA'!$K:$K=$O215) *
        ('Individual data from NASA'!$D:$D=3),
        'Individual data from NASA'!R:R
    )
)</f>
        <v>0.31533333333333335</v>
      </c>
      <c r="W215" cm="1">
        <f t="array" ref="W215">AVERAGE(
    IF(
        ('Individual data from NASA'!$B:$B=$B215) *
        ('Individual data from NASA'!$C:$C=$G215) *
        ('Individual data from NASA'!$K:$K=$O215) *
        ('Individual data from NASA'!$D:$D=3),
        'Individual data from NASA'!S:S
    )
)</f>
        <v>9.7350480727500006</v>
      </c>
      <c r="X215" cm="1">
        <f t="array" ref="X215">AVERAGE(
    IF(
        ('Individual data from NASA'!$B:$B=$B215) *
        ('Individual data from NASA'!$C:$C=$G215) *
        ('Individual data from NASA'!$K:$K=$O215) *
        ('Individual data from NASA'!$D:$D=3),
        'Individual data from NASA'!T:T
    )
)</f>
        <v>3.9476126278750003</v>
      </c>
      <c r="Y215" cm="1">
        <f t="array" ref="Y215">AVERAGE(
    IF(
        ('Individual data from NASA'!$B:$B=$B215) *
        ('Individual data from NASA'!$C:$C=$G215) *
        ('Individual data from NASA'!$K:$K=$O215) *
        ('Individual data from NASA'!$D:$D=3),
        'Individual data from NASA'!U:U
    )
)</f>
        <v>10.979972500000001</v>
      </c>
      <c r="Z215" cm="1">
        <f t="array" ref="Z215">AVERAGE(
    IF(
        ('Individual data from NASA'!$B:$B=$B215) *
        ('Individual data from NASA'!$C:$C=$G215) *
        ('Individual data from NASA'!$K:$K=$O215) *
        ('Individual data from NASA'!$D:$D=3),
        'Individual data from NASA'!V:V
    )
)</f>
        <v>65.254600000000011</v>
      </c>
      <c r="AD215" t="str">
        <f t="shared" si="21"/>
        <v>Moore (2015)|AAFEX-II|Ground|CFM56-2C1|30|Eg no 3 Idle (approach)</v>
      </c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Y215" s="13"/>
      <c r="AZ215" t="s">
        <v>232</v>
      </c>
    </row>
    <row r="216" spans="1:52" x14ac:dyDescent="0.2">
      <c r="A216" t="s">
        <v>32</v>
      </c>
      <c r="B216" t="s">
        <v>3</v>
      </c>
      <c r="C216" t="s">
        <v>110</v>
      </c>
      <c r="D216" t="s">
        <v>112</v>
      </c>
      <c r="E216">
        <v>30</v>
      </c>
      <c r="F216" t="s">
        <v>215</v>
      </c>
      <c r="G216" t="s">
        <v>15</v>
      </c>
      <c r="H216" t="s">
        <v>8</v>
      </c>
      <c r="I216">
        <v>0.4</v>
      </c>
      <c r="J216">
        <v>0</v>
      </c>
      <c r="K216">
        <v>6</v>
      </c>
      <c r="L216">
        <v>15.3</v>
      </c>
      <c r="M216">
        <v>290.45</v>
      </c>
      <c r="N216">
        <v>290.45</v>
      </c>
      <c r="O216">
        <v>30</v>
      </c>
      <c r="P216">
        <v>1231.2000000000003</v>
      </c>
      <c r="Q216" cm="1">
        <f t="array" ref="Q216">AVERAGE(
    IF(
        ('Individual data from NASA'!$B:$B=$B216) *
        ('Individual data from NASA'!$C:$C=$G216) *
        ('Individual data from NASA'!$K:$K=$O216) *
        ('Individual data from NASA'!$D:$D=3),
        'Individual data from NASA'!M:M
    )
)</f>
        <v>15883333333333.334</v>
      </c>
      <c r="R216" cm="1">
        <f t="array" ref="R216">AVERAGE(
    IF(
        ('Individual data from NASA'!$B:$B=$B216) *
        ('Individual data from NASA'!$C:$C=$G216) *
        ('Individual data from NASA'!$K:$K=$O216) *
        ('Individual data from NASA'!$D:$D=3),
        'Individual data from NASA'!N:N
    )
)</f>
        <v>851500000000000</v>
      </c>
      <c r="S216" cm="1">
        <f t="array" ref="S216">AVERAGE(
    IF(
        ('Individual data from NASA'!$B:$B=$B216) *
        ('Individual data from NASA'!$C:$C=$G216) *
        ('Individual data from NASA'!$K:$K=$O216) *
        ('Individual data from NASA'!$D:$D=3),
        'Individual data from NASA'!O:O
    )
)</f>
        <v>867333333333333.38</v>
      </c>
      <c r="T216" cm="1">
        <f t="array" ref="T216">AVERAGE(
    IF(
        ('Individual data from NASA'!$B:$B=$B216) *
        ('Individual data from NASA'!$C:$C=$G216) *
        ('Individual data from NASA'!$K:$K=$O216) *
        ('Individual data from NASA'!$D:$D=3),
        'Individual data from NASA'!P:P
    )
)</f>
        <v>3.7943333333333329</v>
      </c>
      <c r="U216" cm="1">
        <f t="array" ref="U216">AVERAGE(
    IF(
        ('Individual data from NASA'!$B:$B=$B216) *
        ('Individual data from NASA'!$C:$C=$G216) *
        ('Individual data from NASA'!$K:$K=$O216) *
        ('Individual data from NASA'!$D:$D=3),
        'Individual data from NASA'!Q:Q
    )
)</f>
        <v>0.69833333333333336</v>
      </c>
      <c r="V216" cm="1">
        <f t="array" ref="V216">AVERAGE(
    IF(
        ('Individual data from NASA'!$B:$B=$B216) *
        ('Individual data from NASA'!$C:$C=$G216) *
        ('Individual data from NASA'!$K:$K=$O216) *
        ('Individual data from NASA'!$D:$D=3),
        'Individual data from NASA'!R:R
    )
)</f>
        <v>0.30166666666666669</v>
      </c>
      <c r="W216" cm="1">
        <f t="array" ref="W216">AVERAGE(
    IF(
        ('Individual data from NASA'!$B:$B=$B216) *
        ('Individual data from NASA'!$C:$C=$G216) *
        ('Individual data from NASA'!$K:$K=$O216) *
        ('Individual data from NASA'!$D:$D=3),
        'Individual data from NASA'!S:S
    )
)</f>
        <v>1.3525821604999999</v>
      </c>
      <c r="X216" cm="1">
        <f t="array" ref="X216">AVERAGE(
    IF(
        ('Individual data from NASA'!$B:$B=$B216) *
        ('Individual data from NASA'!$C:$C=$G216) *
        ('Individual data from NASA'!$K:$K=$O216) *
        ('Individual data from NASA'!$D:$D=3),
        'Individual data from NASA'!T:T
    )
)</f>
        <v>0.58774703949999996</v>
      </c>
      <c r="Y216" cm="1">
        <f t="array" ref="Y216">AVERAGE(
    IF(
        ('Individual data from NASA'!$B:$B=$B216) *
        ('Individual data from NASA'!$C:$C=$G216) *
        ('Individual data from NASA'!$K:$K=$O216) *
        ('Individual data from NASA'!$D:$D=3),
        'Individual data from NASA'!U:U
    )
)</f>
        <v>12.506616666666668</v>
      </c>
      <c r="Z216" cm="1">
        <f t="array" ref="Z216">AVERAGE(
    IF(
        ('Individual data from NASA'!$B:$B=$B216) *
        ('Individual data from NASA'!$C:$C=$G216) *
        ('Individual data from NASA'!$K:$K=$O216) *
        ('Individual data from NASA'!$D:$D=3),
        'Individual data from NASA'!V:V
    )
)</f>
        <v>118.77028333333334</v>
      </c>
      <c r="AD216" t="str">
        <f t="shared" si="21"/>
        <v>Moore (2015)|AAFEX-II|Ground|CFM56-2C1|30|Eg no 3 Intermediate</v>
      </c>
      <c r="AE216" s="13" cm="1">
        <f t="array" ref="AE216">I216 / _xlfn.XLOOKUP($AD216 &amp; "|" &amp; $H216, $AD:$AD &amp; "|" &amp; $G:$G, I:I)</f>
        <v>1.834862385321101E-2</v>
      </c>
      <c r="AF216" s="13" cm="1">
        <f t="array" ref="AF216">J216 / _xlfn.XLOOKUP($AD216 &amp; "|" &amp; $H216, $AD:$AD &amp; "|" &amp; $G:$G, J:J)</f>
        <v>0</v>
      </c>
      <c r="AG216" s="13" cm="1">
        <f t="array" ref="AG216">K216 / _xlfn.XLOOKUP($AD216 &amp; "|" &amp; $H216, $AD:$AD &amp; "|" &amp; $G:$G, K:K)</f>
        <v>3.1914893617021274E-2</v>
      </c>
      <c r="AH216" s="13" cm="1">
        <f t="array" ref="AH216">L216 / _xlfn.XLOOKUP($AD216 &amp; "|" &amp; $H216, $AD:$AD &amp; "|" &amp; $G:$G, L:L)</f>
        <v>1.1333333333333333</v>
      </c>
      <c r="AI216" s="13" cm="1">
        <f t="array" ref="AI216">M216 / _xlfn.XLOOKUP($AD216 &amp; "|" &amp; $H216, $AD:$AD &amp; "|" &amp; $G:$G, M:M)</f>
        <v>0.99562944553946364</v>
      </c>
      <c r="AJ216" s="13" cm="1">
        <f t="array" ref="AJ216">N216 / _xlfn.XLOOKUP($AD216 &amp; "|" &amp; $H216, $AD:$AD &amp; "|" &amp; $G:$G, N:N)</f>
        <v>0.99562944553946364</v>
      </c>
      <c r="AK216" s="13" cm="1">
        <f t="array" ref="AK216">O216 / _xlfn.XLOOKUP($AD216 &amp; "|" &amp; $H216, $AD:$AD &amp; "|" &amp; $G:$G, O:O)</f>
        <v>1</v>
      </c>
      <c r="AL216" s="13" cm="1">
        <f t="array" ref="AL216">P216 / _xlfn.XLOOKUP($AD216 &amp; "|" &amp; $H216, $AD:$AD &amp; "|" &amp; $G:$G, P:P)</f>
        <v>1</v>
      </c>
      <c r="AM216" s="13" cm="1">
        <f t="array" ref="AM216">Q216 / _xlfn.XLOOKUP($AD216 &amp; "|" &amp; $H216, $AD:$AD &amp; "|" &amp; $G:$G, Q:Q)</f>
        <v>5.6524317912218271E-2</v>
      </c>
      <c r="AN216" s="13" cm="1">
        <f t="array" ref="AN216">R216 / _xlfn.XLOOKUP($AD216 &amp; "|" &amp; $H216, $AD:$AD &amp; "|" &amp; $G:$G, R:R)</f>
        <v>0.31513693560325684</v>
      </c>
      <c r="AO216" s="13" cm="1">
        <f t="array" ref="AO216">S216 / _xlfn.XLOOKUP($AD216 &amp; "|" &amp; $H216, $AD:$AD &amp; "|" &amp; $G:$G, S:S)</f>
        <v>0.29085624860272746</v>
      </c>
      <c r="AP216" s="13" cm="1">
        <f t="array" ref="AP216">T216 / _xlfn.XLOOKUP($AD216 &amp; "|" &amp; $H216, $AD:$AD &amp; "|" &amp; $G:$G, T:T)</f>
        <v>0.54810812893036331</v>
      </c>
      <c r="AQ216" s="13" cm="1">
        <f t="array" ref="AQ216">U216 / _xlfn.XLOOKUP($AD216 &amp; "|" &amp; $H216, $AD:$AD &amp; "|" &amp; $G:$G, U:U)</f>
        <v>0.90293940177570919</v>
      </c>
      <c r="AR216" s="13" cm="1">
        <f t="array" ref="AR216">V216 / _xlfn.XLOOKUP($AD216 &amp; "|" &amp; $H216, $AD:$AD &amp; "|" &amp; $G:$G, V:V)</f>
        <v>1.3312739040894381</v>
      </c>
      <c r="AS216" s="13" cm="1">
        <f t="array" ref="AS216">W216 / _xlfn.XLOOKUP($AD216 &amp; "|" &amp; $H216, $AD:$AD &amp; "|" &amp; $G:$G, W:W)</f>
        <v>0.23574702188781832</v>
      </c>
      <c r="AT216" s="13" cm="1">
        <f t="array" ref="AT216">X216 / _xlfn.XLOOKUP($AD216 &amp; "|" &amp; $H216, $AD:$AD &amp; "|" &amp; $G:$G, X:X)</f>
        <v>0.29357781774994973</v>
      </c>
      <c r="AU216" s="13" cm="1">
        <f t="array" ref="AU216">Y216 / _xlfn.XLOOKUP($AD216 &amp; "|" &amp; $H216, $AD:$AD &amp; "|" &amp; $G:$G, Y:Y)</f>
        <v>1.1343746523091511</v>
      </c>
      <c r="AV216" s="13" cm="1">
        <f t="array" ref="AV216">Z216 / _xlfn.XLOOKUP($AD216 &amp; "|" &amp; $H216, $AD:$AD &amp; "|" &amp; $G:$G, Z:Z)</f>
        <v>2.713317941833961</v>
      </c>
      <c r="AW216" s="13" cm="1">
        <f t="array" ref="AW216">_xlfn.XLOOKUP($AD216 &amp; "|" &amp; $H216, $AD:$AD &amp; "|" &amp; $G:$G, L:L)</f>
        <v>13.5</v>
      </c>
      <c r="AY216" s="13"/>
      <c r="AZ216" t="s">
        <v>232</v>
      </c>
    </row>
    <row r="217" spans="1:52" x14ac:dyDescent="0.2">
      <c r="A217" t="s">
        <v>32</v>
      </c>
      <c r="B217" t="s">
        <v>3</v>
      </c>
      <c r="C217" t="s">
        <v>110</v>
      </c>
      <c r="D217" t="s">
        <v>112</v>
      </c>
      <c r="E217">
        <v>30</v>
      </c>
      <c r="F217" t="s">
        <v>216</v>
      </c>
      <c r="G217" t="s">
        <v>15</v>
      </c>
      <c r="H217" t="s">
        <v>8</v>
      </c>
      <c r="I217">
        <v>0.4</v>
      </c>
      <c r="J217">
        <v>0</v>
      </c>
      <c r="K217">
        <v>6</v>
      </c>
      <c r="L217">
        <v>15.3</v>
      </c>
      <c r="M217">
        <v>290.09999999999997</v>
      </c>
      <c r="N217">
        <v>290.09999999999997</v>
      </c>
      <c r="O217">
        <v>65</v>
      </c>
      <c r="P217">
        <v>2167.1999999999998</v>
      </c>
      <c r="Q217" cm="1">
        <f t="array" ref="Q217">AVERAGE(
    IF(
        ('Individual data from NASA'!$B:$B=$B217) *
        ('Individual data from NASA'!$C:$C=$G217) *
        ('Individual data from NASA'!$K:$K=$O217) *
        ('Individual data from NASA'!$D:$D=3),
        'Individual data from NASA'!M:M
    )
)</f>
        <v>74616666666666.672</v>
      </c>
      <c r="R217" cm="1">
        <f t="array" ref="R217">AVERAGE(
    IF(
        ('Individual data from NASA'!$B:$B=$B217) *
        ('Individual data from NASA'!$C:$C=$G217) *
        ('Individual data from NASA'!$K:$K=$O217) *
        ('Individual data from NASA'!$D:$D=3),
        'Individual data from NASA'!N:N
    )
)</f>
        <v>450750000000000</v>
      </c>
      <c r="S217" cm="1">
        <f t="array" ref="S217">AVERAGE(
    IF(
        ('Individual data from NASA'!$B:$B=$B217) *
        ('Individual data from NASA'!$C:$C=$G217) *
        ('Individual data from NASA'!$K:$K=$O217) *
        ('Individual data from NASA'!$D:$D=3),
        'Individual data from NASA'!O:O
    )
)</f>
        <v>524166666666666.69</v>
      </c>
      <c r="T217" cm="1">
        <f t="array" ref="T217">AVERAGE(
    IF(
        ('Individual data from NASA'!$B:$B=$B217) *
        ('Individual data from NASA'!$C:$C=$G217) *
        ('Individual data from NASA'!$K:$K=$O217) *
        ('Individual data from NASA'!$D:$D=3),
        'Individual data from NASA'!P:P
    )
)</f>
        <v>3.1100000000000008</v>
      </c>
      <c r="U217" cm="1">
        <f t="array" ref="U217">AVERAGE(
    IF(
        ('Individual data from NASA'!$B:$B=$B217) *
        ('Individual data from NASA'!$C:$C=$G217) *
        ('Individual data from NASA'!$K:$K=$O217) *
        ('Individual data from NASA'!$D:$D=3),
        'Individual data from NASA'!Q:Q
    )
)</f>
        <v>0.72599999999999998</v>
      </c>
      <c r="V217" cm="1">
        <f t="array" ref="V217">AVERAGE(
    IF(
        ('Individual data from NASA'!$B:$B=$B217) *
        ('Individual data from NASA'!$C:$C=$G217) *
        ('Individual data from NASA'!$K:$K=$O217) *
        ('Individual data from NASA'!$D:$D=3),
        'Individual data from NASA'!R:R
    )
)</f>
        <v>0.27399999999999997</v>
      </c>
      <c r="W217" cm="1">
        <f t="array" ref="W217">AVERAGE(
    IF(
        ('Individual data from NASA'!$B:$B=$B217) *
        ('Individual data from NASA'!$C:$C=$G217) *
        ('Individual data from NASA'!$K:$K=$O217) *
        ('Individual data from NASA'!$D:$D=3),
        'Individual data from NASA'!S:S
    )
)</f>
        <v>1.7239080428333333</v>
      </c>
      <c r="X217" cm="1">
        <f t="array" ref="X217">AVERAGE(
    IF(
        ('Individual data from NASA'!$B:$B=$B217) *
        ('Individual data from NASA'!$C:$C=$G217) *
        ('Individual data from NASA'!$K:$K=$O217) *
        ('Individual data from NASA'!$D:$D=3),
        'Individual data from NASA'!T:T
    )
)</f>
        <v>0.65636895716666677</v>
      </c>
      <c r="Y217" cm="1">
        <f t="array" ref="Y217">AVERAGE(
    IF(
        ('Individual data from NASA'!$B:$B=$B217) *
        ('Individual data from NASA'!$C:$C=$G217) *
        ('Individual data from NASA'!$K:$K=$O217) *
        ('Individual data from NASA'!$D:$D=3),
        'Individual data from NASA'!U:U
    )
)</f>
        <v>16.118783333333333</v>
      </c>
      <c r="Z217" cm="1">
        <f t="array" ref="Z217">AVERAGE(
    IF(
        ('Individual data from NASA'!$B:$B=$B217) *
        ('Individual data from NASA'!$C:$C=$G217) *
        ('Individual data from NASA'!$K:$K=$O217) *
        ('Individual data from NASA'!$D:$D=3),
        'Individual data from NASA'!V:V
    )
)</f>
        <v>81.705733333333342</v>
      </c>
      <c r="AD217" t="str">
        <f t="shared" si="21"/>
        <v>Moore (2015)|AAFEX-II|Ground|CFM56-2C1|30|Eg no 3 Mid power</v>
      </c>
      <c r="AE217" s="13" cm="1">
        <f t="array" ref="AE217">I217 / _xlfn.XLOOKUP($AD217 &amp; "|" &amp; $H217, $AD:$AD &amp; "|" &amp; $G:$G, I:I)</f>
        <v>1.834862385321101E-2</v>
      </c>
      <c r="AF217" s="13" cm="1">
        <f t="array" ref="AF217">J217 / _xlfn.XLOOKUP($AD217 &amp; "|" &amp; $H217, $AD:$AD &amp; "|" &amp; $G:$G, J:J)</f>
        <v>0</v>
      </c>
      <c r="AG217" s="13" cm="1">
        <f t="array" ref="AG217">K217 / _xlfn.XLOOKUP($AD217 &amp; "|" &amp; $H217, $AD:$AD &amp; "|" &amp; $G:$G, K:K)</f>
        <v>3.1914893617021274E-2</v>
      </c>
      <c r="AH217" s="13" cm="1">
        <f t="array" ref="AH217">L217 / _xlfn.XLOOKUP($AD217 &amp; "|" &amp; $H217, $AD:$AD &amp; "|" &amp; $G:$G, L:L)</f>
        <v>1.1333333333333333</v>
      </c>
      <c r="AI217" s="13" cm="1">
        <f t="array" ref="AI217">M217 / _xlfn.XLOOKUP($AD217 &amp; "|" &amp; $H217, $AD:$AD &amp; "|" &amp; $G:$G, M:M)</f>
        <v>0.99834548847798177</v>
      </c>
      <c r="AJ217" s="13" cm="1">
        <f t="array" ref="AJ217">N217 / _xlfn.XLOOKUP($AD217 &amp; "|" &amp; $H217, $AD:$AD &amp; "|" &amp; $G:$G, N:N)</f>
        <v>0.99834548847798177</v>
      </c>
      <c r="AK217" s="13" cm="1">
        <f t="array" ref="AK217">O217 / _xlfn.XLOOKUP($AD217 &amp; "|" &amp; $H217, $AD:$AD &amp; "|" &amp; $G:$G, O:O)</f>
        <v>1</v>
      </c>
      <c r="AL217" s="13" cm="1">
        <f t="array" ref="AL217">P217 / _xlfn.XLOOKUP($AD217 &amp; "|" &amp; $H217, $AD:$AD &amp; "|" &amp; $G:$G, P:P)</f>
        <v>1</v>
      </c>
      <c r="AM217" s="13" cm="1">
        <f t="array" ref="AM217">Q217 / _xlfn.XLOOKUP($AD217 &amp; "|" &amp; $H217, $AD:$AD &amp; "|" &amp; $G:$G, Q:Q)</f>
        <v>0.21528178495864592</v>
      </c>
      <c r="AN217" s="13" cm="1">
        <f t="array" ref="AN217">R217 / _xlfn.XLOOKUP($AD217 &amp; "|" &amp; $H217, $AD:$AD &amp; "|" &amp; $G:$G, R:R)</f>
        <v>0.27471355436372502</v>
      </c>
      <c r="AO217" s="13" cm="1">
        <f t="array" ref="AO217">S217 / _xlfn.XLOOKUP($AD217 &amp; "|" &amp; $H217, $AD:$AD &amp; "|" &amp; $G:$G, S:S)</f>
        <v>0.26366532528504361</v>
      </c>
      <c r="AP217" s="13" cm="1">
        <f t="array" ref="AP217">T217 / _xlfn.XLOOKUP($AD217 &amp; "|" &amp; $H217, $AD:$AD &amp; "|" &amp; $G:$G, T:T)</f>
        <v>0.14236015746589767</v>
      </c>
      <c r="AQ217" s="13" cm="1">
        <f t="array" ref="AQ217">U217 / _xlfn.XLOOKUP($AD217 &amp; "|" &amp; $H217, $AD:$AD &amp; "|" &amp; $G:$G, U:U)</f>
        <v>0.90886329494241347</v>
      </c>
      <c r="AR217" s="13" cm="1">
        <f t="array" ref="AR217">V217 / _xlfn.XLOOKUP($AD217 &amp; "|" &amp; $H217, $AD:$AD &amp; "|" &amp; $G:$G, V:V)</f>
        <v>1.3618290258449304</v>
      </c>
      <c r="AS217" s="13" cm="1">
        <f t="array" ref="AS217">W217 / _xlfn.XLOOKUP($AD217 &amp; "|" &amp; $H217, $AD:$AD &amp; "|" &amp; $G:$G, W:W)</f>
        <v>0.15135228071511017</v>
      </c>
      <c r="AT217" s="13" cm="1">
        <f t="array" ref="AT217">X217 / _xlfn.XLOOKUP($AD217 &amp; "|" &amp; $H217, $AD:$AD &amp; "|" &amp; $G:$G, X:X)</f>
        <v>0.20823999032597856</v>
      </c>
      <c r="AU217" s="13" cm="1">
        <f t="array" ref="AU217">Y217 / _xlfn.XLOOKUP($AD217 &amp; "|" &amp; $H217, $AD:$AD &amp; "|" &amp; $G:$G, Y:Y)</f>
        <v>1.1376460336303764</v>
      </c>
      <c r="AV217" s="13" cm="1">
        <f t="array" ref="AV217">Z217 / _xlfn.XLOOKUP($AD217 &amp; "|" &amp; $H217, $AD:$AD &amp; "|" &amp; $G:$G, Z:Z)</f>
        <v>1.4519237854511691</v>
      </c>
      <c r="AW217" s="13" cm="1">
        <f t="array" ref="AW217">_xlfn.XLOOKUP($AD217 &amp; "|" &amp; $H217, $AD:$AD &amp; "|" &amp; $G:$G, L:L)</f>
        <v>13.5</v>
      </c>
      <c r="AY217" s="13"/>
      <c r="AZ217" t="s">
        <v>232</v>
      </c>
    </row>
    <row r="218" spans="1:52" x14ac:dyDescent="0.2">
      <c r="A218" t="s">
        <v>32</v>
      </c>
      <c r="B218" t="s">
        <v>3</v>
      </c>
      <c r="C218" t="s">
        <v>110</v>
      </c>
      <c r="D218" t="s">
        <v>112</v>
      </c>
      <c r="E218">
        <v>30</v>
      </c>
      <c r="F218" t="s">
        <v>217</v>
      </c>
      <c r="G218" t="s">
        <v>15</v>
      </c>
      <c r="H218" t="s">
        <v>8</v>
      </c>
      <c r="I218">
        <v>0.4</v>
      </c>
      <c r="J218">
        <v>0</v>
      </c>
      <c r="K218">
        <v>6</v>
      </c>
      <c r="L218">
        <v>15.3</v>
      </c>
      <c r="M218">
        <v>290.31666666666666</v>
      </c>
      <c r="N218">
        <v>290.31666666666666</v>
      </c>
      <c r="O218">
        <v>85</v>
      </c>
      <c r="P218">
        <v>3041.9999999999995</v>
      </c>
      <c r="Q218" cm="1">
        <f t="array" ref="Q218">AVERAGE(
    IF(
        ('Individual data from NASA'!$B:$B=$B218) *
        ('Individual data from NASA'!$C:$C=$G218) *
        ('Individual data from NASA'!$K:$K=$O218) *
        ('Individual data from NASA'!$D:$D=3),
        'Individual data from NASA'!M:M
    )
)</f>
        <v>218833333333333.34</v>
      </c>
      <c r="R218" cm="1">
        <f t="array" ref="R218">AVERAGE(
    IF(
        ('Individual data from NASA'!$B:$B=$B218) *
        ('Individual data from NASA'!$C:$C=$G218) *
        ('Individual data from NASA'!$K:$K=$O218) *
        ('Individual data from NASA'!$D:$D=3),
        'Individual data from NASA'!N:N
    )
)</f>
        <v>372000000000000</v>
      </c>
      <c r="S218" cm="1">
        <f t="array" ref="S218">AVERAGE(
    IF(
        ('Individual data from NASA'!$B:$B=$B218) *
        ('Individual data from NASA'!$C:$C=$G218) *
        ('Individual data from NASA'!$K:$K=$O218) *
        ('Individual data from NASA'!$D:$D=3),
        'Individual data from NASA'!O:O
    )
)</f>
        <v>590666666666666.62</v>
      </c>
      <c r="T218" cm="1">
        <f t="array" ref="T218">AVERAGE(
    IF(
        ('Individual data from NASA'!$B:$B=$B218) *
        ('Individual data from NASA'!$C:$C=$G218) *
        ('Individual data from NASA'!$K:$K=$O218) *
        ('Individual data from NASA'!$D:$D=3),
        'Individual data from NASA'!P:P
    )
)</f>
        <v>14.433333333333335</v>
      </c>
      <c r="U218" cm="1">
        <f t="array" ref="U218">AVERAGE(
    IF(
        ('Individual data from NASA'!$B:$B=$B218) *
        ('Individual data from NASA'!$C:$C=$G218) *
        ('Individual data from NASA'!$K:$K=$O218) *
        ('Individual data from NASA'!$D:$D=3),
        'Individual data from NASA'!Q:Q
    )
)</f>
        <v>0.76326874849999993</v>
      </c>
      <c r="V218" cm="1">
        <f t="array" ref="V218">AVERAGE(
    IF(
        ('Individual data from NASA'!$B:$B=$B218) *
        ('Individual data from NASA'!$C:$C=$G218) *
        ('Individual data from NASA'!$K:$K=$O218) *
        ('Individual data from NASA'!$D:$D=3),
        'Individual data from NASA'!R:R
    )
)</f>
        <v>0.23673125149999996</v>
      </c>
      <c r="W218" cm="1">
        <f t="array" ref="W218">AVERAGE(
    IF(
        ('Individual data from NASA'!$B:$B=$B218) *
        ('Individual data from NASA'!$C:$C=$G218) *
        ('Individual data from NASA'!$K:$K=$O218) *
        ('Individual data from NASA'!$D:$D=3),
        'Individual data from NASA'!S:S
    )
)</f>
        <v>3.3489271638333329</v>
      </c>
      <c r="X218" cm="1">
        <f t="array" ref="X218">AVERAGE(
    IF(
        ('Individual data from NASA'!$B:$B=$B218) *
        ('Individual data from NASA'!$C:$C=$G218) *
        ('Individual data from NASA'!$K:$K=$O218) *
        ('Individual data from NASA'!$D:$D=3),
        'Individual data from NASA'!T:T
    )
)</f>
        <v>1.0593988361666666</v>
      </c>
      <c r="Y218" cm="1">
        <f t="array" ref="Y218">AVERAGE(
    IF(
        ('Individual data from NASA'!$B:$B=$B218) *
        ('Individual data from NASA'!$C:$C=$G218) *
        ('Individual data from NASA'!$K:$K=$O218) *
        ('Individual data from NASA'!$D:$D=3),
        'Individual data from NASA'!U:U
    )
)</f>
        <v>22.416216666666671</v>
      </c>
      <c r="Z218" cm="1">
        <f t="array" ref="Z218">AVERAGE(
    IF(
        ('Individual data from NASA'!$B:$B=$B218) *
        ('Individual data from NASA'!$C:$C=$G218) *
        ('Individual data from NASA'!$K:$K=$O218) *
        ('Individual data from NASA'!$D:$D=3),
        'Individual data from NASA'!V:V
    )
)</f>
        <v>65.438083333333324</v>
      </c>
      <c r="AD218" t="str">
        <f t="shared" si="21"/>
        <v>Moore (2015)|AAFEX-II|Ground|CFM56-2C1|30|Eg no 3 Climb</v>
      </c>
      <c r="AE218" s="13" cm="1">
        <f t="array" ref="AE218">I218 / _xlfn.XLOOKUP($AD218 &amp; "|" &amp; $H218, $AD:$AD &amp; "|" &amp; $G:$G, I:I)</f>
        <v>1.834862385321101E-2</v>
      </c>
      <c r="AF218" s="13" cm="1">
        <f t="array" ref="AF218">J218 / _xlfn.XLOOKUP($AD218 &amp; "|" &amp; $H218, $AD:$AD &amp; "|" &amp; $G:$G, J:J)</f>
        <v>0</v>
      </c>
      <c r="AG218" s="13" cm="1">
        <f t="array" ref="AG218">K218 / _xlfn.XLOOKUP($AD218 &amp; "|" &amp; $H218, $AD:$AD &amp; "|" &amp; $G:$G, K:K)</f>
        <v>3.1914893617021274E-2</v>
      </c>
      <c r="AH218" s="13" cm="1">
        <f t="array" ref="AH218">L218 / _xlfn.XLOOKUP($AD218 &amp; "|" &amp; $H218, $AD:$AD &amp; "|" &amp; $G:$G, L:L)</f>
        <v>1.1333333333333333</v>
      </c>
      <c r="AI218" s="13" cm="1">
        <f t="array" ref="AI218">M218 / _xlfn.XLOOKUP($AD218 &amp; "|" &amp; $H218, $AD:$AD &amp; "|" &amp; $G:$G, M:M)</f>
        <v>0.99608510713170317</v>
      </c>
      <c r="AJ218" s="13" cm="1">
        <f t="array" ref="AJ218">N218 / _xlfn.XLOOKUP($AD218 &amp; "|" &amp; $H218, $AD:$AD &amp; "|" &amp; $G:$G, N:N)</f>
        <v>0.99608510713170317</v>
      </c>
      <c r="AK218" s="13" cm="1">
        <f t="array" ref="AK218">O218 / _xlfn.XLOOKUP($AD218 &amp; "|" &amp; $H218, $AD:$AD &amp; "|" &amp; $G:$G, O:O)</f>
        <v>1</v>
      </c>
      <c r="AL218" s="13" cm="1">
        <f t="array" ref="AL218">P218 / _xlfn.XLOOKUP($AD218 &amp; "|" &amp; $H218, $AD:$AD &amp; "|" &amp; $G:$G, P:P)</f>
        <v>1</v>
      </c>
      <c r="AM218" s="13" cm="1">
        <f t="array" ref="AM218">Q218 / _xlfn.XLOOKUP($AD218 &amp; "|" &amp; $H218, $AD:$AD &amp; "|" &amp; $G:$G, Q:Q)</f>
        <v>0.39091342146004526</v>
      </c>
      <c r="AN218" s="13" cm="1">
        <f t="array" ref="AN218">R218 / _xlfn.XLOOKUP($AD218 &amp; "|" &amp; $H218, $AD:$AD &amp; "|" &amp; $G:$G, R:R)</f>
        <v>0.43488426467149871</v>
      </c>
      <c r="AO218" s="13" cm="1">
        <f t="array" ref="AO218">S218 / _xlfn.XLOOKUP($AD218 &amp; "|" &amp; $H218, $AD:$AD &amp; "|" &amp; $G:$G, S:S)</f>
        <v>0.4177274870344177</v>
      </c>
      <c r="AP218" s="13" cm="1">
        <f t="array" ref="AP218">T218 / _xlfn.XLOOKUP($AD218 &amp; "|" &amp; $H218, $AD:$AD &amp; "|" &amp; $G:$G, T:T)</f>
        <v>0.18911600279524809</v>
      </c>
      <c r="AQ218" s="13" cm="1">
        <f t="array" ref="AQ218">U218 / _xlfn.XLOOKUP($AD218 &amp; "|" &amp; $H218, $AD:$AD &amp; "|" &amp; $G:$G, U:U)</f>
        <v>0.95255078976953222</v>
      </c>
      <c r="AR218" s="13" cm="1">
        <f t="array" ref="AR218">V218 / _xlfn.XLOOKUP($AD218 &amp; "|" &amp; $H218, $AD:$AD &amp; "|" &amp; $G:$G, V:V)</f>
        <v>1.1913361619888228</v>
      </c>
      <c r="AS218" s="13" cm="1">
        <f t="array" ref="AS218">W218 / _xlfn.XLOOKUP($AD218 &amp; "|" &amp; $H218, $AD:$AD &amp; "|" &amp; $G:$G, W:W)</f>
        <v>0.1689335727548249</v>
      </c>
      <c r="AT218" s="13" cm="1">
        <f t="array" ref="AT218">X218 / _xlfn.XLOOKUP($AD218 &amp; "|" &amp; $H218, $AD:$AD &amp; "|" &amp; $G:$G, X:X)</f>
        <v>0.19258747377555341</v>
      </c>
      <c r="AU218" s="13" cm="1">
        <f t="array" ref="AU218">Y218 / _xlfn.XLOOKUP($AD218 &amp; "|" &amp; $H218, $AD:$AD &amp; "|" &amp; $G:$G, Y:Y)</f>
        <v>0.87677258292088345</v>
      </c>
      <c r="AV218" s="13" cm="1">
        <f t="array" ref="AV218">Z218 / _xlfn.XLOOKUP($AD218 &amp; "|" &amp; $H218, $AD:$AD &amp; "|" &amp; $G:$G, Z:Z)</f>
        <v>0.87155627074512954</v>
      </c>
      <c r="AW218" s="13" cm="1">
        <f t="array" ref="AW218">_xlfn.XLOOKUP($AD218 &amp; "|" &amp; $H218, $AD:$AD &amp; "|" &amp; $G:$G, L:L)</f>
        <v>13.5</v>
      </c>
      <c r="AY218" s="13"/>
      <c r="AZ218" t="s">
        <v>232</v>
      </c>
    </row>
    <row r="219" spans="1:52" x14ac:dyDescent="0.2">
      <c r="A219" t="s">
        <v>32</v>
      </c>
      <c r="B219" t="s">
        <v>3</v>
      </c>
      <c r="C219" t="s">
        <v>110</v>
      </c>
      <c r="D219" t="s">
        <v>112</v>
      </c>
      <c r="E219">
        <v>30</v>
      </c>
      <c r="F219" t="s">
        <v>212</v>
      </c>
      <c r="G219" t="s">
        <v>15</v>
      </c>
      <c r="H219" t="s">
        <v>8</v>
      </c>
      <c r="I219">
        <v>0.4</v>
      </c>
      <c r="J219">
        <v>0</v>
      </c>
      <c r="K219">
        <v>6</v>
      </c>
      <c r="L219">
        <v>15.3</v>
      </c>
      <c r="M219">
        <v>290.18333333333328</v>
      </c>
      <c r="N219">
        <v>290.18333333333328</v>
      </c>
      <c r="O219">
        <v>100</v>
      </c>
      <c r="P219">
        <v>3218.4</v>
      </c>
      <c r="Q219" cm="1">
        <f t="array" ref="Q219">AVERAGE(
    IF(
        ('Individual data from NASA'!$B:$B=$B219) *
        ('Individual data from NASA'!$C:$C=$G219) *
        ('Individual data from NASA'!$K:$K=$O219) *
        ('Individual data from NASA'!$D:$D=3),
        'Individual data from NASA'!M:M
    )
)</f>
        <v>316333333333333.31</v>
      </c>
      <c r="R219" cm="1">
        <f t="array" ref="R219">AVERAGE(
    IF(
        ('Individual data from NASA'!$B:$B=$B219) *
        ('Individual data from NASA'!$C:$C=$G219) *
        ('Individual data from NASA'!$K:$K=$O219) *
        ('Individual data from NASA'!$D:$D=3),
        'Individual data from NASA'!N:N
    )
)</f>
        <v>542000000000000</v>
      </c>
      <c r="S219" cm="1">
        <f t="array" ref="S219">AVERAGE(
    IF(
        ('Individual data from NASA'!$B:$B=$B219) *
        ('Individual data from NASA'!$C:$C=$G219) *
        ('Individual data from NASA'!$K:$K=$O219) *
        ('Individual data from NASA'!$D:$D=3),
        'Individual data from NASA'!O:O
    )
)</f>
        <v>858666666666666.62</v>
      </c>
      <c r="T219" cm="1">
        <f t="array" ref="T219">AVERAGE(
    IF(
        ('Individual data from NASA'!$B:$B=$B219) *
        ('Individual data from NASA'!$C:$C=$G219) *
        ('Individual data from NASA'!$K:$K=$O219) *
        ('Individual data from NASA'!$D:$D=3),
        'Individual data from NASA'!P:P
    )
)</f>
        <v>34.833333333333336</v>
      </c>
      <c r="U219" cm="1">
        <f t="array" ref="U219">AVERAGE(
    IF(
        ('Individual data from NASA'!$B:$B=$B219) *
        ('Individual data from NASA'!$C:$C=$G219) *
        ('Individual data from NASA'!$K:$K=$O219) *
        ('Individual data from NASA'!$D:$D=3),
        'Individual data from NASA'!Q:Q
    )
)</f>
        <v>0.79700000000000004</v>
      </c>
      <c r="V219" cm="1">
        <f t="array" ref="V219">AVERAGE(
    IF(
        ('Individual data from NASA'!$B:$B=$B219) *
        ('Individual data from NASA'!$C:$C=$G219) *
        ('Individual data from NASA'!$K:$K=$O219) *
        ('Individual data from NASA'!$D:$D=3),
        'Individual data from NASA'!R:R
    )
)</f>
        <v>0.20299999999999999</v>
      </c>
      <c r="W219" cm="1">
        <f t="array" ref="W219">AVERAGE(
    IF(
        ('Individual data from NASA'!$B:$B=$B219) *
        ('Individual data from NASA'!$C:$C=$G219) *
        ('Individual data from NASA'!$K:$K=$O219) *
        ('Individual data from NASA'!$D:$D=3),
        'Individual data from NASA'!S:S
    )
)</f>
        <v>6.4403661260000007</v>
      </c>
      <c r="X219" cm="1">
        <f t="array" ref="X219">AVERAGE(
    IF(
        ('Individual data from NASA'!$B:$B=$B219) *
        ('Individual data from NASA'!$C:$C=$G219) *
        ('Individual data from NASA'!$K:$K=$O219) *
        ('Individual data from NASA'!$D:$D=3),
        'Individual data from NASA'!T:T
    )
)</f>
        <v>1.6515938739999998</v>
      </c>
      <c r="Y219" cm="1">
        <f t="array" ref="Y219">AVERAGE(
    IF(
        ('Individual data from NASA'!$B:$B=$B219) *
        ('Individual data from NASA'!$C:$C=$G219) *
        ('Individual data from NASA'!$K:$K=$O219) *
        ('Individual data from NASA'!$D:$D=3),
        'Individual data from NASA'!U:U
    )
)</f>
        <v>26.476866666666666</v>
      </c>
      <c r="Z219" cm="1">
        <f t="array" ref="Z219">AVERAGE(
    IF(
        ('Individual data from NASA'!$B:$B=$B219) *
        ('Individual data from NASA'!$C:$C=$G219) *
        ('Individual data from NASA'!$K:$K=$O219) *
        ('Individual data from NASA'!$D:$D=3),
        'Individual data from NASA'!V:V
    )
)</f>
        <v>70.88133333333333</v>
      </c>
      <c r="AD219" t="str">
        <f t="shared" si="21"/>
        <v>Moore (2015)|AAFEX-II|Ground|CFM56-2C1|30|Eg no 3 Take-off</v>
      </c>
      <c r="AE219" s="13" cm="1">
        <f t="array" ref="AE219">I219 / _xlfn.XLOOKUP($AD219 &amp; "|" &amp; $H219, $AD:$AD &amp; "|" &amp; $G:$G, I:I)</f>
        <v>1.834862385321101E-2</v>
      </c>
      <c r="AF219" s="13" cm="1">
        <f t="array" ref="AF219">J219 / _xlfn.XLOOKUP($AD219 &amp; "|" &amp; $H219, $AD:$AD &amp; "|" &amp; $G:$G, J:J)</f>
        <v>0</v>
      </c>
      <c r="AG219" s="13" cm="1">
        <f t="array" ref="AG219">K219 / _xlfn.XLOOKUP($AD219 &amp; "|" &amp; $H219, $AD:$AD &amp; "|" &amp; $G:$G, K:K)</f>
        <v>3.1914893617021274E-2</v>
      </c>
      <c r="AH219" s="13" cm="1">
        <f t="array" ref="AH219">L219 / _xlfn.XLOOKUP($AD219 &amp; "|" &amp; $H219, $AD:$AD &amp; "|" &amp; $G:$G, L:L)</f>
        <v>1.1333333333333333</v>
      </c>
      <c r="AI219" s="13" cm="1">
        <f t="array" ref="AI219">M219 / _xlfn.XLOOKUP($AD219 &amp; "|" &amp; $H219, $AD:$AD &amp; "|" &amp; $G:$G, M:M)</f>
        <v>0.98361674481667694</v>
      </c>
      <c r="AJ219" s="13" cm="1">
        <f t="array" ref="AJ219">N219 / _xlfn.XLOOKUP($AD219 &amp; "|" &amp; $H219, $AD:$AD &amp; "|" &amp; $G:$G, N:N)</f>
        <v>0.98361674481667694</v>
      </c>
      <c r="AK219" s="13" cm="1">
        <f t="array" ref="AK219">O219 / _xlfn.XLOOKUP($AD219 &amp; "|" &amp; $H219, $AD:$AD &amp; "|" &amp; $G:$G, O:O)</f>
        <v>1</v>
      </c>
      <c r="AL219" s="13" cm="1">
        <f t="array" ref="AL219">P219 / _xlfn.XLOOKUP($AD219 &amp; "|" &amp; $H219, $AD:$AD &amp; "|" &amp; $G:$G, P:P)</f>
        <v>1</v>
      </c>
      <c r="AM219" s="13" cm="1">
        <f t="array" ref="AM219">Q219 / _xlfn.XLOOKUP($AD219 &amp; "|" &amp; $H219, $AD:$AD &amp; "|" &amp; $G:$G, Q:Q)</f>
        <v>0.46292682926829265</v>
      </c>
      <c r="AN219" s="13" cm="1">
        <f t="array" ref="AN219">R219 / _xlfn.XLOOKUP($AD219 &amp; "|" &amp; $H219, $AD:$AD &amp; "|" &amp; $G:$G, R:R)</f>
        <v>0.61637604245640631</v>
      </c>
      <c r="AO219" s="13" cm="1">
        <f t="array" ref="AO219">S219 / _xlfn.XLOOKUP($AD219 &amp; "|" &amp; $H219, $AD:$AD &amp; "|" &amp; $G:$G, S:S)</f>
        <v>0.54925373134328359</v>
      </c>
      <c r="AP219" s="13" cm="1">
        <f t="array" ref="AP219">T219 / _xlfn.XLOOKUP($AD219 &amp; "|" &amp; $H219, $AD:$AD &amp; "|" &amp; $G:$G, T:T)</f>
        <v>0.26522842639593908</v>
      </c>
      <c r="AQ219" s="13" cm="1">
        <f t="array" ref="AQ219">U219 / _xlfn.XLOOKUP($AD219 &amp; "|" &amp; $H219, $AD:$AD &amp; "|" &amp; $G:$G, U:U)</f>
        <v>0.96024096385542168</v>
      </c>
      <c r="AR219" s="13" cm="1">
        <f t="array" ref="AR219">V219 / _xlfn.XLOOKUP($AD219 &amp; "|" &amp; $H219, $AD:$AD &amp; "|" &amp; $G:$G, V:V)</f>
        <v>1.1941176470588233</v>
      </c>
      <c r="AS219" s="13" cm="1">
        <f t="array" ref="AS219">W219 / _xlfn.XLOOKUP($AD219 &amp; "|" &amp; $H219, $AD:$AD &amp; "|" &amp; $G:$G, W:W)</f>
        <v>0.16359321694426807</v>
      </c>
      <c r="AT219" s="13" cm="1">
        <f t="array" ref="AT219">X219 / _xlfn.XLOOKUP($AD219 &amp; "|" &amp; $H219, $AD:$AD &amp; "|" &amp; $G:$G, X:X)</f>
        <v>0.17751197280189554</v>
      </c>
      <c r="AU219" s="13" cm="1">
        <f t="array" ref="AU219">Y219 / _xlfn.XLOOKUP($AD219 &amp; "|" &amp; $H219, $AD:$AD &amp; "|" &amp; $G:$G, Y:Y)</f>
        <v>0.87380764056117755</v>
      </c>
      <c r="AV219" s="13" cm="1">
        <f t="array" ref="AV219">Z219 / _xlfn.XLOOKUP($AD219 &amp; "|" &amp; $H219, $AD:$AD &amp; "|" &amp; $G:$G, Z:Z)</f>
        <v>0.81212450355507826</v>
      </c>
      <c r="AW219" s="13" cm="1">
        <f t="array" ref="AW219">_xlfn.XLOOKUP($AD219 &amp; "|" &amp; $H219, $AD:$AD &amp; "|" &amp; $G:$G, L:L)</f>
        <v>13.5</v>
      </c>
      <c r="AY219" s="13"/>
      <c r="AZ219" t="s">
        <v>232</v>
      </c>
    </row>
    <row r="220" spans="1:52" x14ac:dyDescent="0.2">
      <c r="A220" t="s">
        <v>32</v>
      </c>
      <c r="B220" t="s">
        <v>3</v>
      </c>
      <c r="C220" t="s">
        <v>110</v>
      </c>
      <c r="D220" t="s">
        <v>112</v>
      </c>
      <c r="E220">
        <v>30</v>
      </c>
      <c r="F220" t="s">
        <v>213</v>
      </c>
      <c r="G220" t="s">
        <v>18</v>
      </c>
      <c r="H220" t="s">
        <v>8</v>
      </c>
      <c r="I220">
        <v>10.199999999999999</v>
      </c>
      <c r="J220">
        <v>0.65</v>
      </c>
      <c r="K220">
        <v>276</v>
      </c>
      <c r="L220">
        <v>14.4</v>
      </c>
      <c r="M220">
        <v>298.14999999999998</v>
      </c>
      <c r="N220">
        <v>298.14999999999998</v>
      </c>
      <c r="O220">
        <v>4</v>
      </c>
      <c r="P220">
        <v>457.2</v>
      </c>
      <c r="Q220" t="e" cm="1">
        <f t="array" ref="Q220">AVERAGE(
    IF(
        ('Individual data from NASA'!$B:$B=$B220) *
        ('Individual data from NASA'!$C:$C=$G220) *
        ('Individual data from NASA'!$K:$K=$O220) *
        ('Individual data from NASA'!$D:$D=3),
        'Individual data from NASA'!M:M
    )
)</f>
        <v>#DIV/0!</v>
      </c>
      <c r="R220" t="e" cm="1">
        <f t="array" ref="R220">AVERAGE(
    IF(
        ('Individual data from NASA'!$B:$B=$B220) *
        ('Individual data from NASA'!$C:$C=$G220) *
        ('Individual data from NASA'!$K:$K=$O220) *
        ('Individual data from NASA'!$D:$D=3),
        'Individual data from NASA'!N:N
    )
)</f>
        <v>#DIV/0!</v>
      </c>
      <c r="S220" t="e" cm="1">
        <f t="array" ref="S220">AVERAGE(
    IF(
        ('Individual data from NASA'!$B:$B=$B220) *
        ('Individual data from NASA'!$C:$C=$G220) *
        ('Individual data from NASA'!$K:$K=$O220) *
        ('Individual data from NASA'!$D:$D=3),
        'Individual data from NASA'!O:O
    )
)</f>
        <v>#DIV/0!</v>
      </c>
      <c r="T220" t="e" cm="1">
        <f t="array" ref="T220">AVERAGE(
    IF(
        ('Individual data from NASA'!$B:$B=$B220) *
        ('Individual data from NASA'!$C:$C=$G220) *
        ('Individual data from NASA'!$K:$K=$O220) *
        ('Individual data from NASA'!$D:$D=3),
        'Individual data from NASA'!P:P
    )
)</f>
        <v>#DIV/0!</v>
      </c>
      <c r="U220" t="e" cm="1">
        <f t="array" ref="U220">AVERAGE(
    IF(
        ('Individual data from NASA'!$B:$B=$B220) *
        ('Individual data from NASA'!$C:$C=$G220) *
        ('Individual data from NASA'!$K:$K=$O220) *
        ('Individual data from NASA'!$D:$D=3),
        'Individual data from NASA'!Q:Q
    )
)</f>
        <v>#DIV/0!</v>
      </c>
      <c r="V220" t="e" cm="1">
        <f t="array" ref="V220">AVERAGE(
    IF(
        ('Individual data from NASA'!$B:$B=$B220) *
        ('Individual data from NASA'!$C:$C=$G220) *
        ('Individual data from NASA'!$K:$K=$O220) *
        ('Individual data from NASA'!$D:$D=3),
        'Individual data from NASA'!R:R
    )
)</f>
        <v>#DIV/0!</v>
      </c>
      <c r="W220" t="e" cm="1">
        <f t="array" ref="W220">AVERAGE(
    IF(
        ('Individual data from NASA'!$B:$B=$B220) *
        ('Individual data from NASA'!$C:$C=$G220) *
        ('Individual data from NASA'!$K:$K=$O220) *
        ('Individual data from NASA'!$D:$D=3),
        'Individual data from NASA'!S:S
    )
)</f>
        <v>#DIV/0!</v>
      </c>
      <c r="X220" t="e" cm="1">
        <f t="array" ref="X220">AVERAGE(
    IF(
        ('Individual data from NASA'!$B:$B=$B220) *
        ('Individual data from NASA'!$C:$C=$G220) *
        ('Individual data from NASA'!$K:$K=$O220) *
        ('Individual data from NASA'!$D:$D=3),
        'Individual data from NASA'!T:T
    )
)</f>
        <v>#DIV/0!</v>
      </c>
      <c r="Y220" t="e" cm="1">
        <f t="array" ref="Y220">AVERAGE(
    IF(
        ('Individual data from NASA'!$B:$B=$B220) *
        ('Individual data from NASA'!$C:$C=$G220) *
        ('Individual data from NASA'!$K:$K=$O220) *
        ('Individual data from NASA'!$D:$D=3),
        'Individual data from NASA'!U:U
    )
)</f>
        <v>#DIV/0!</v>
      </c>
      <c r="Z220" t="e" cm="1">
        <f t="array" ref="Z220">AVERAGE(
    IF(
        ('Individual data from NASA'!$B:$B=$B220) *
        ('Individual data from NASA'!$C:$C=$G220) *
        ('Individual data from NASA'!$K:$K=$O220) *
        ('Individual data from NASA'!$D:$D=3),
        'Individual data from NASA'!V:V
    )
)</f>
        <v>#DIV/0!</v>
      </c>
      <c r="AD220" t="str">
        <f t="shared" si="21"/>
        <v>Moore (2015)|AAFEX-II|Ground|CFM56-2C1|30|Eg no 3 Idle (min)</v>
      </c>
      <c r="AE220" s="13" cm="1">
        <f t="array" ref="AE220">I220 / _xlfn.XLOOKUP($AD220 &amp; "|" &amp; $H220, $AD:$AD &amp; "|" &amp; $G:$G, I:I)</f>
        <v>0.4678899082568807</v>
      </c>
      <c r="AF220" s="13" cm="1">
        <f t="array" ref="AF220">J220 / _xlfn.XLOOKUP($AD220 &amp; "|" &amp; $H220, $AD:$AD &amp; "|" &amp; $G:$G, J:J)</f>
        <v>0.5</v>
      </c>
      <c r="AG220" s="13" cm="1">
        <f t="array" ref="AG220">K220 / _xlfn.XLOOKUP($AD220 &amp; "|" &amp; $H220, $AD:$AD &amp; "|" &amp; $G:$G, K:K)</f>
        <v>1.4680851063829787</v>
      </c>
      <c r="AH220" s="13" cm="1">
        <f t="array" ref="AH220">L220 / _xlfn.XLOOKUP($AD220 &amp; "|" &amp; $H220, $AD:$AD &amp; "|" &amp; $G:$G, L:L)</f>
        <v>1.0666666666666667</v>
      </c>
      <c r="AI220" s="13" cm="1">
        <f t="array" ref="AI220">M220 / _xlfn.XLOOKUP($AD220 &amp; "|" &amp; $H220, $AD:$AD &amp; "|" &amp; $G:$G, M:M)</f>
        <v>1.0304129946431657</v>
      </c>
      <c r="AJ220" s="13" cm="1">
        <f t="array" ref="AJ220">N220 / _xlfn.XLOOKUP($AD220 &amp; "|" &amp; $H220, $AD:$AD &amp; "|" &amp; $G:$G, N:N)</f>
        <v>1.0304129946431657</v>
      </c>
      <c r="AK220" s="13" cm="1">
        <f t="array" ref="AK220">O220 / _xlfn.XLOOKUP($AD220 &amp; "|" &amp; $H220, $AD:$AD &amp; "|" &amp; $G:$G, O:O)</f>
        <v>1</v>
      </c>
      <c r="AL220" s="13" cm="1">
        <f t="array" ref="AL220">P220 / _xlfn.XLOOKUP($AD220 &amp; "|" &amp; $H220, $AD:$AD &amp; "|" &amp; $G:$G, P:P)</f>
        <v>1</v>
      </c>
      <c r="AM220" s="13" t="e" cm="1">
        <f t="array" ref="AM220">Q220 / _xlfn.XLOOKUP($AD220 &amp; "|" &amp; $H220, $AD:$AD &amp; "|" &amp; $G:$G, Q:Q)</f>
        <v>#DIV/0!</v>
      </c>
      <c r="AN220" s="13" t="e" cm="1">
        <f t="array" ref="AN220">R220 / _xlfn.XLOOKUP($AD220 &amp; "|" &amp; $H220, $AD:$AD &amp; "|" &amp; $G:$G, R:R)</f>
        <v>#DIV/0!</v>
      </c>
      <c r="AO220" s="13" t="e" cm="1">
        <f t="array" ref="AO220">S220 / _xlfn.XLOOKUP($AD220 &amp; "|" &amp; $H220, $AD:$AD &amp; "|" &amp; $G:$G, S:S)</f>
        <v>#DIV/0!</v>
      </c>
      <c r="AP220" s="13" t="e" cm="1">
        <f t="array" ref="AP220">T220 / _xlfn.XLOOKUP($AD220 &amp; "|" &amp; $H220, $AD:$AD &amp; "|" &amp; $G:$G, T:T)</f>
        <v>#DIV/0!</v>
      </c>
      <c r="AQ220" s="13" t="e" cm="1">
        <f t="array" ref="AQ220">U220 / _xlfn.XLOOKUP($AD220 &amp; "|" &amp; $H220, $AD:$AD &amp; "|" &amp; $G:$G, U:U)</f>
        <v>#DIV/0!</v>
      </c>
      <c r="AR220" s="13" t="e" cm="1">
        <f t="array" ref="AR220">V220 / _xlfn.XLOOKUP($AD220 &amp; "|" &amp; $H220, $AD:$AD &amp; "|" &amp; $G:$G, V:V)</f>
        <v>#DIV/0!</v>
      </c>
      <c r="AS220" s="13" t="e" cm="1">
        <f t="array" ref="AS220">W220 / _xlfn.XLOOKUP($AD220 &amp; "|" &amp; $H220, $AD:$AD &amp; "|" &amp; $G:$G, W:W)</f>
        <v>#DIV/0!</v>
      </c>
      <c r="AT220" s="13" t="e" cm="1">
        <f t="array" ref="AT220">X220 / _xlfn.XLOOKUP($AD220 &amp; "|" &amp; $H220, $AD:$AD &amp; "|" &amp; $G:$G, X:X)</f>
        <v>#DIV/0!</v>
      </c>
      <c r="AU220" s="13" t="e" cm="1">
        <f t="array" ref="AU220">Y220 / _xlfn.XLOOKUP($AD220 &amp; "|" &amp; $H220, $AD:$AD &amp; "|" &amp; $G:$G, Y:Y)</f>
        <v>#DIV/0!</v>
      </c>
      <c r="AV220" s="13" t="e" cm="1">
        <f t="array" ref="AV220">Z220 / _xlfn.XLOOKUP($AD220 &amp; "|" &amp; $H220, $AD:$AD &amp; "|" &amp; $G:$G, Z:Z)</f>
        <v>#DIV/0!</v>
      </c>
      <c r="AW220" s="13" cm="1">
        <f t="array" ref="AW220">_xlfn.XLOOKUP($AD220 &amp; "|" &amp; $H220, $AD:$AD &amp; "|" &amp; $G:$G, L:L)</f>
        <v>13.5</v>
      </c>
      <c r="AY220" s="13"/>
      <c r="AZ220" t="s">
        <v>232</v>
      </c>
    </row>
    <row r="221" spans="1:52" x14ac:dyDescent="0.2">
      <c r="A221" t="s">
        <v>32</v>
      </c>
      <c r="B221" t="s">
        <v>3</v>
      </c>
      <c r="C221" t="s">
        <v>110</v>
      </c>
      <c r="D221" t="s">
        <v>112</v>
      </c>
      <c r="E221">
        <v>30</v>
      </c>
      <c r="F221" t="s">
        <v>214</v>
      </c>
      <c r="G221" t="s">
        <v>18</v>
      </c>
      <c r="H221" t="s">
        <v>8</v>
      </c>
      <c r="I221">
        <v>10.199999999999999</v>
      </c>
      <c r="J221">
        <v>0.65</v>
      </c>
      <c r="K221">
        <v>276</v>
      </c>
      <c r="L221">
        <v>14.4</v>
      </c>
      <c r="M221">
        <v>298.84999999999997</v>
      </c>
      <c r="N221">
        <v>298.84999999999997</v>
      </c>
      <c r="O221">
        <v>7</v>
      </c>
      <c r="P221">
        <v>561.096</v>
      </c>
      <c r="Q221" cm="1">
        <f t="array" ref="Q221">AVERAGE(
    IF(
        ('Individual data from NASA'!$B:$B=$B221) *
        ('Individual data from NASA'!$C:$C=$G221) *
        ('Individual data from NASA'!$K:$K=$O221) *
        ('Individual data from NASA'!$D:$D=3),
        'Individual data from NASA'!M:M
    )
)</f>
        <v>2063714285714285.8</v>
      </c>
      <c r="R221" cm="1">
        <f t="array" ref="R221">AVERAGE(
    IF(
        ('Individual data from NASA'!$B:$B=$B221) *
        ('Individual data from NASA'!$C:$C=$G221) *
        ('Individual data from NASA'!$K:$K=$O221) *
        ('Individual data from NASA'!$D:$D=3),
        'Individual data from NASA'!N:N
    )
)</f>
        <v>8234285714285714</v>
      </c>
      <c r="S221" cm="1">
        <f t="array" ref="S221">AVERAGE(
    IF(
        ('Individual data from NASA'!$B:$B=$B221) *
        ('Individual data from NASA'!$C:$C=$G221) *
        ('Individual data from NASA'!$K:$K=$O221) *
        ('Individual data from NASA'!$D:$D=3),
        'Individual data from NASA'!O:O
    )
)</f>
        <v>1.0311428571428572E+16</v>
      </c>
      <c r="T221" cm="1">
        <f t="array" ref="T221">AVERAGE(
    IF(
        ('Individual data from NASA'!$B:$B=$B221) *
        ('Individual data from NASA'!$C:$C=$G221) *
        ('Individual data from NASA'!$K:$K=$O221) *
        ('Individual data from NASA'!$D:$D=3),
        'Individual data from NASA'!P:P
    )
)</f>
        <v>5.3757142857142863</v>
      </c>
      <c r="U221" cm="1">
        <f t="array" ref="U221">AVERAGE(
    IF(
        ('Individual data from NASA'!$B:$B=$B221) *
        ('Individual data from NASA'!$C:$C=$G221) *
        ('Individual data from NASA'!$K:$K=$O221) *
        ('Individual data from NASA'!$D:$D=3),
        'Individual data from NASA'!Q:Q
    )
)</f>
        <v>0.78925000000000001</v>
      </c>
      <c r="V221" cm="1">
        <f t="array" ref="V221">AVERAGE(
    IF(
        ('Individual data from NASA'!$B:$B=$B221) *
        ('Individual data from NASA'!$C:$C=$G221) *
        ('Individual data from NASA'!$K:$K=$O221) *
        ('Individual data from NASA'!$D:$D=3),
        'Individual data from NASA'!R:R
    )
)</f>
        <v>0.21074999999999999</v>
      </c>
      <c r="W221" cm="1">
        <f t="array" ref="W221">AVERAGE(
    IF(
        ('Individual data from NASA'!$B:$B=$B221) *
        ('Individual data from NASA'!$C:$C=$G221) *
        ('Individual data from NASA'!$K:$K=$O221) *
        ('Individual data from NASA'!$D:$D=3),
        'Individual data from NASA'!S:S
    )
)</f>
        <v>18.224042873333335</v>
      </c>
      <c r="X221" cm="1">
        <f t="array" ref="X221">AVERAGE(
    IF(
        ('Individual data from NASA'!$B:$B=$B221) *
        ('Individual data from NASA'!$C:$C=$G221) *
        ('Individual data from NASA'!$K:$K=$O221) *
        ('Individual data from NASA'!$D:$D=3),
        'Individual data from NASA'!T:T
    )
)</f>
        <v>6.2421159250000002</v>
      </c>
      <c r="Y221" cm="1">
        <f t="array" ref="Y221">AVERAGE(
    IF(
        ('Individual data from NASA'!$B:$B=$B221) *
        ('Individual data from NASA'!$C:$C=$G221) *
        ('Individual data from NASA'!$K:$K=$O221) *
        ('Individual data from NASA'!$D:$D=3),
        'Individual data from NASA'!U:U
    )
)</f>
        <v>11.420028571428571</v>
      </c>
      <c r="Z221" cm="1">
        <f t="array" ref="Z221">AVERAGE(
    IF(
        ('Individual data from NASA'!$B:$B=$B221) *
        ('Individual data from NASA'!$C:$C=$G221) *
        ('Individual data from NASA'!$K:$K=$O221) *
        ('Individual data from NASA'!$D:$D=3),
        'Individual data from NASA'!V:V
    )
)</f>
        <v>23.198785714285716</v>
      </c>
      <c r="AD221" t="str">
        <f t="shared" si="21"/>
        <v>Moore (2015)|AAFEX-II|Ground|CFM56-2C1|30|Eg no 3 Idle (approach)</v>
      </c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Y221" s="13"/>
      <c r="AZ221" t="s">
        <v>232</v>
      </c>
    </row>
    <row r="222" spans="1:52" x14ac:dyDescent="0.2">
      <c r="A222" t="s">
        <v>32</v>
      </c>
      <c r="B222" t="s">
        <v>3</v>
      </c>
      <c r="C222" t="s">
        <v>110</v>
      </c>
      <c r="D222" t="s">
        <v>112</v>
      </c>
      <c r="E222">
        <v>30</v>
      </c>
      <c r="F222" t="s">
        <v>215</v>
      </c>
      <c r="G222" t="s">
        <v>18</v>
      </c>
      <c r="H222" t="s">
        <v>8</v>
      </c>
      <c r="I222">
        <v>10.199999999999999</v>
      </c>
      <c r="J222">
        <v>0.65</v>
      </c>
      <c r="K222">
        <v>276</v>
      </c>
      <c r="L222">
        <v>14.4</v>
      </c>
      <c r="M222">
        <v>298.84999999999997</v>
      </c>
      <c r="N222">
        <v>298.84999999999997</v>
      </c>
      <c r="O222">
        <v>30</v>
      </c>
      <c r="P222">
        <v>1231.2000000000003</v>
      </c>
      <c r="Q222" cm="1">
        <f t="array" ref="Q222">AVERAGE(
    IF(
        ('Individual data from NASA'!$B:$B=$B222) *
        ('Individual data from NASA'!$C:$C=$G222) *
        ('Individual data from NASA'!$K:$K=$O222) *
        ('Individual data from NASA'!$D:$D=3),
        'Individual data from NASA'!M:M
    )
)</f>
        <v>87000000000000</v>
      </c>
      <c r="R222" cm="1">
        <f t="array" ref="R222">AVERAGE(
    IF(
        ('Individual data from NASA'!$B:$B=$B222) *
        ('Individual data from NASA'!$C:$C=$G222) *
        ('Individual data from NASA'!$K:$K=$O222) *
        ('Individual data from NASA'!$D:$D=3),
        'Individual data from NASA'!N:N
    )
)</f>
        <v>3612500000000000</v>
      </c>
      <c r="S222" cm="1">
        <f t="array" ref="S222">AVERAGE(
    IF(
        ('Individual data from NASA'!$B:$B=$B222) *
        ('Individual data from NASA'!$C:$C=$G222) *
        ('Individual data from NASA'!$K:$K=$O222) *
        ('Individual data from NASA'!$D:$D=3),
        'Individual data from NASA'!O:O
    )
)</f>
        <v>3697500000000000</v>
      </c>
      <c r="T222" cm="1">
        <f t="array" ref="T222">AVERAGE(
    IF(
        ('Individual data from NASA'!$B:$B=$B222) *
        ('Individual data from NASA'!$C:$C=$G222) *
        ('Individual data from NASA'!$K:$K=$O222) *
        ('Individual data from NASA'!$D:$D=3),
        'Individual data from NASA'!P:P
    )
)</f>
        <v>4.5942499999999997</v>
      </c>
      <c r="U222" cm="1">
        <f t="array" ref="U222">AVERAGE(
    IF(
        ('Individual data from NASA'!$B:$B=$B222) *
        ('Individual data from NASA'!$C:$C=$G222) *
        ('Individual data from NASA'!$K:$K=$O222) *
        ('Individual data from NASA'!$D:$D=3),
        'Individual data from NASA'!Q:Q
    )
)</f>
        <v>0.78066666666666673</v>
      </c>
      <c r="V222" cm="1">
        <f t="array" ref="V222">AVERAGE(
    IF(
        ('Individual data from NASA'!$B:$B=$B222) *
        ('Individual data from NASA'!$C:$C=$G222) *
        ('Individual data from NASA'!$K:$K=$O222) *
        ('Individual data from NASA'!$D:$D=3),
        'Individual data from NASA'!R:R
    )
)</f>
        <v>0.21933333333333335</v>
      </c>
      <c r="W222" cm="1">
        <f t="array" ref="W222">AVERAGE(
    IF(
        ('Individual data from NASA'!$B:$B=$B222) *
        ('Individual data from NASA'!$C:$C=$G222) *
        ('Individual data from NASA'!$K:$K=$O222) *
        ('Individual data from NASA'!$D:$D=3),
        'Individual data from NASA'!S:S
    )
)</f>
        <v>6.7560617823333331</v>
      </c>
      <c r="X222" cm="1">
        <f t="array" ref="X222">AVERAGE(
    IF(
        ('Individual data from NASA'!$B:$B=$B222) *
        ('Individual data from NASA'!$C:$C=$G222) *
        ('Individual data from NASA'!$K:$K=$O222) *
        ('Individual data from NASA'!$D:$D=3),
        'Individual data from NASA'!T:T
    )
)</f>
        <v>1.9650342176666669</v>
      </c>
      <c r="Y222" cm="1">
        <f t="array" ref="Y222">AVERAGE(
    IF(
        ('Individual data from NASA'!$B:$B=$B222) *
        ('Individual data from NASA'!$C:$C=$G222) *
        ('Individual data from NASA'!$K:$K=$O222) *
        ('Individual data from NASA'!$D:$D=3),
        'Individual data from NASA'!U:U
    )
)</f>
        <v>10.405799999999999</v>
      </c>
      <c r="Z222" cm="1">
        <f t="array" ref="Z222">AVERAGE(
    IF(
        ('Individual data from NASA'!$B:$B=$B222) *
        ('Individual data from NASA'!$C:$C=$G222) *
        ('Individual data from NASA'!$K:$K=$O222) *
        ('Individual data from NASA'!$D:$D=3),
        'Individual data from NASA'!V:V
    )
)</f>
        <v>34.560766666666666</v>
      </c>
      <c r="AD222" t="str">
        <f t="shared" si="21"/>
        <v>Moore (2015)|AAFEX-II|Ground|CFM56-2C1|30|Eg no 3 Intermediate</v>
      </c>
      <c r="AE222" s="13" cm="1">
        <f t="array" ref="AE222">I222 / _xlfn.XLOOKUP($AD222 &amp; "|" &amp; $H222, $AD:$AD &amp; "|" &amp; $G:$G, I:I)</f>
        <v>0.4678899082568807</v>
      </c>
      <c r="AF222" s="13" cm="1">
        <f t="array" ref="AF222">J222 / _xlfn.XLOOKUP($AD222 &amp; "|" &amp; $H222, $AD:$AD &amp; "|" &amp; $G:$G, J:J)</f>
        <v>0.5</v>
      </c>
      <c r="AG222" s="13" cm="1">
        <f t="array" ref="AG222">K222 / _xlfn.XLOOKUP($AD222 &amp; "|" &amp; $H222, $AD:$AD &amp; "|" &amp; $G:$G, K:K)</f>
        <v>1.4680851063829787</v>
      </c>
      <c r="AH222" s="13" cm="1">
        <f t="array" ref="AH222">L222 / _xlfn.XLOOKUP($AD222 &amp; "|" &amp; $H222, $AD:$AD &amp; "|" &amp; $G:$G, L:L)</f>
        <v>1.0666666666666667</v>
      </c>
      <c r="AI222" s="13" cm="1">
        <f t="array" ref="AI222">M222 / _xlfn.XLOOKUP($AD222 &amp; "|" &amp; $H222, $AD:$AD &amp; "|" &amp; $G:$G, M:M)</f>
        <v>1.0244236866912333</v>
      </c>
      <c r="AJ222" s="13" cm="1">
        <f t="array" ref="AJ222">N222 / _xlfn.XLOOKUP($AD222 &amp; "|" &amp; $H222, $AD:$AD &amp; "|" &amp; $G:$G, N:N)</f>
        <v>1.0244236866912333</v>
      </c>
      <c r="AK222" s="13" cm="1">
        <f t="array" ref="AK222">O222 / _xlfn.XLOOKUP($AD222 &amp; "|" &amp; $H222, $AD:$AD &amp; "|" &amp; $G:$G, O:O)</f>
        <v>1</v>
      </c>
      <c r="AL222" s="13" cm="1">
        <f t="array" ref="AL222">P222 / _xlfn.XLOOKUP($AD222 &amp; "|" &amp; $H222, $AD:$AD &amp; "|" &amp; $G:$G, P:P)</f>
        <v>1</v>
      </c>
      <c r="AM222" s="13" cm="1">
        <f t="array" ref="AM222">Q222 / _xlfn.XLOOKUP($AD222 &amp; "|" &amp; $H222, $AD:$AD &amp; "|" &amp; $G:$G, Q:Q)</f>
        <v>0.30960854092526691</v>
      </c>
      <c r="AN222" s="13" cm="1">
        <f t="array" ref="AN222">R222 / _xlfn.XLOOKUP($AD222 &amp; "|" &amp; $H222, $AD:$AD &amp; "|" &amp; $G:$G, R:R)</f>
        <v>1.3369726128793487</v>
      </c>
      <c r="AO222" s="13" cm="1">
        <f t="array" ref="AO222">S222 / _xlfn.XLOOKUP($AD222 &amp; "|" &amp; $H222, $AD:$AD &amp; "|" &amp; $G:$G, S:S)</f>
        <v>1.2399396378269618</v>
      </c>
      <c r="AP222" s="13" cm="1">
        <f t="array" ref="AP222">T222 / _xlfn.XLOOKUP($AD222 &amp; "|" &amp; $H222, $AD:$AD &amp; "|" &amp; $G:$G, T:T)</f>
        <v>0.66365960766186105</v>
      </c>
      <c r="AQ222" s="13" cm="1">
        <f t="array" ref="AQ222">U222 / _xlfn.XLOOKUP($AD222 &amp; "|" &amp; $H222, $AD:$AD &amp; "|" &amp; $G:$G, U:U)</f>
        <v>1.0093957417464015</v>
      </c>
      <c r="AR222" s="13" cm="1">
        <f t="array" ref="AR222">V222 / _xlfn.XLOOKUP($AD222 &amp; "|" &amp; $H222, $AD:$AD &amp; "|" &amp; $G:$G, V:V)</f>
        <v>0.9679317446307738</v>
      </c>
      <c r="AS222" s="13" cm="1">
        <f t="array" ref="AS222">W222 / _xlfn.XLOOKUP($AD222 &amp; "|" &amp; $H222, $AD:$AD &amp; "|" &amp; $G:$G, W:W)</f>
        <v>1.1775413659798815</v>
      </c>
      <c r="AT222" s="13" cm="1">
        <f t="array" ref="AT222">X222 / _xlfn.XLOOKUP($AD222 &amp; "|" &amp; $H222, $AD:$AD &amp; "|" &amp; $G:$G, X:X)</f>
        <v>0.98152847850552172</v>
      </c>
      <c r="AU222" s="13" cm="1">
        <f t="array" ref="AU222">Y222 / _xlfn.XLOOKUP($AD222 &amp; "|" &amp; $H222, $AD:$AD &amp; "|" &amp; $G:$G, Y:Y)</f>
        <v>0.94382646175279727</v>
      </c>
      <c r="AV222" s="13" cm="1">
        <f t="array" ref="AV222">Z222 / _xlfn.XLOOKUP($AD222 &amp; "|" &amp; $H222, $AD:$AD &amp; "|" &amp; $G:$G, Z:Z)</f>
        <v>0.78954386272719812</v>
      </c>
      <c r="AW222" s="13" cm="1">
        <f t="array" ref="AW222">_xlfn.XLOOKUP($AD222 &amp; "|" &amp; $H222, $AD:$AD &amp; "|" &amp; $G:$G, L:L)</f>
        <v>13.5</v>
      </c>
      <c r="AY222" s="13"/>
      <c r="AZ222" t="s">
        <v>232</v>
      </c>
    </row>
    <row r="223" spans="1:52" x14ac:dyDescent="0.2">
      <c r="A223" t="s">
        <v>32</v>
      </c>
      <c r="B223" t="s">
        <v>3</v>
      </c>
      <c r="C223" t="s">
        <v>110</v>
      </c>
      <c r="D223" t="s">
        <v>112</v>
      </c>
      <c r="E223">
        <v>30</v>
      </c>
      <c r="F223" t="s">
        <v>216</v>
      </c>
      <c r="G223" t="s">
        <v>18</v>
      </c>
      <c r="H223" t="s">
        <v>8</v>
      </c>
      <c r="I223">
        <v>10.199999999999999</v>
      </c>
      <c r="J223">
        <v>0.65</v>
      </c>
      <c r="K223">
        <v>276</v>
      </c>
      <c r="L223">
        <v>14.4</v>
      </c>
      <c r="M223">
        <v>298.7</v>
      </c>
      <c r="N223">
        <v>298.7</v>
      </c>
      <c r="O223">
        <v>65</v>
      </c>
      <c r="P223">
        <v>2167.1999999999998</v>
      </c>
      <c r="Q223" cm="1">
        <f t="array" ref="Q223">AVERAGE(
    IF(
        ('Individual data from NASA'!$B:$B=$B223) *
        ('Individual data from NASA'!$C:$C=$G223) *
        ('Individual data from NASA'!$K:$K=$O223) *
        ('Individual data from NASA'!$D:$D=3),
        'Individual data from NASA'!M:M
    )
)</f>
        <v>236500000000000</v>
      </c>
      <c r="R223" cm="1">
        <f t="array" ref="R223">AVERAGE(
    IF(
        ('Individual data from NASA'!$B:$B=$B223) *
        ('Individual data from NASA'!$C:$C=$G223) *
        ('Individual data from NASA'!$K:$K=$O223) *
        ('Individual data from NASA'!$D:$D=3),
        'Individual data from NASA'!N:N
    )
)</f>
        <v>2625000000000000</v>
      </c>
      <c r="S223" cm="1">
        <f t="array" ref="S223">AVERAGE(
    IF(
        ('Individual data from NASA'!$B:$B=$B223) *
        ('Individual data from NASA'!$C:$C=$G223) *
        ('Individual data from NASA'!$K:$K=$O223) *
        ('Individual data from NASA'!$D:$D=3),
        'Individual data from NASA'!O:O
    )
)</f>
        <v>2865000000000000</v>
      </c>
      <c r="T223" cm="1">
        <f t="array" ref="T223">AVERAGE(
    IF(
        ('Individual data from NASA'!$B:$B=$B223) *
        ('Individual data from NASA'!$C:$C=$G223) *
        ('Individual data from NASA'!$K:$K=$O223) *
        ('Individual data from NASA'!$D:$D=3),
        'Individual data from NASA'!P:P
    )
)</f>
        <v>10.365</v>
      </c>
      <c r="U223" cm="1">
        <f t="array" ref="U223">AVERAGE(
    IF(
        ('Individual data from NASA'!$B:$B=$B223) *
        ('Individual data from NASA'!$C:$C=$G223) *
        ('Individual data from NASA'!$K:$K=$O223) *
        ('Individual data from NASA'!$D:$D=3),
        'Individual data from NASA'!Q:Q
    )
)</f>
        <v>0.82550000000000001</v>
      </c>
      <c r="V223" cm="1">
        <f t="array" ref="V223">AVERAGE(
    IF(
        ('Individual data from NASA'!$B:$B=$B223) *
        ('Individual data from NASA'!$C:$C=$G223) *
        ('Individual data from NASA'!$K:$K=$O223) *
        ('Individual data from NASA'!$D:$D=3),
        'Individual data from NASA'!R:R
    )
)</f>
        <v>0.17450000000000002</v>
      </c>
      <c r="W223" cm="1">
        <f t="array" ref="W223">AVERAGE(
    IF(
        ('Individual data from NASA'!$B:$B=$B223) *
        ('Individual data from NASA'!$C:$C=$G223) *
        ('Individual data from NASA'!$K:$K=$O223) *
        ('Individual data from NASA'!$D:$D=3),
        'Individual data from NASA'!S:S
    )
)</f>
        <v>10.372634907</v>
      </c>
      <c r="X223" cm="1">
        <f t="array" ref="X223">AVERAGE(
    IF(
        ('Individual data from NASA'!$B:$B=$B223) *
        ('Individual data from NASA'!$C:$C=$G223) *
        ('Individual data from NASA'!$K:$K=$O223) *
        ('Individual data from NASA'!$D:$D=3),
        'Individual data from NASA'!T:T
    )
)</f>
        <v>2.3020410930000001</v>
      </c>
      <c r="Y223" cm="1">
        <f t="array" ref="Y223">AVERAGE(
    IF(
        ('Individual data from NASA'!$B:$B=$B223) *
        ('Individual data from NASA'!$C:$C=$G223) *
        ('Individual data from NASA'!$K:$K=$O223) *
        ('Individual data from NASA'!$D:$D=3),
        'Individual data from NASA'!U:U
    )
)</f>
        <v>11.110799999999999</v>
      </c>
      <c r="Z223" cm="1">
        <f t="array" ref="Z223">AVERAGE(
    IF(
        ('Individual data from NASA'!$B:$B=$B223) *
        ('Individual data from NASA'!$C:$C=$G223) *
        ('Individual data from NASA'!$K:$K=$O223) *
        ('Individual data from NASA'!$D:$D=3),
        'Individual data from NASA'!V:V
    )
)</f>
        <v>43.259349999999998</v>
      </c>
      <c r="AD223" t="str">
        <f t="shared" si="21"/>
        <v>Moore (2015)|AAFEX-II|Ground|CFM56-2C1|30|Eg no 3 Mid power</v>
      </c>
      <c r="AE223" s="13" cm="1">
        <f t="array" ref="AE223">I223 / _xlfn.XLOOKUP($AD223 &amp; "|" &amp; $H223, $AD:$AD &amp; "|" &amp; $G:$G, I:I)</f>
        <v>0.4678899082568807</v>
      </c>
      <c r="AF223" s="13" cm="1">
        <f t="array" ref="AF223">J223 / _xlfn.XLOOKUP($AD223 &amp; "|" &amp; $H223, $AD:$AD &amp; "|" &amp; $G:$G, J:J)</f>
        <v>0.5</v>
      </c>
      <c r="AG223" s="13" cm="1">
        <f t="array" ref="AG223">K223 / _xlfn.XLOOKUP($AD223 &amp; "|" &amp; $H223, $AD:$AD &amp; "|" &amp; $G:$G, K:K)</f>
        <v>1.4680851063829787</v>
      </c>
      <c r="AH223" s="13" cm="1">
        <f t="array" ref="AH223">L223 / _xlfn.XLOOKUP($AD223 &amp; "|" &amp; $H223, $AD:$AD &amp; "|" &amp; $G:$G, L:L)</f>
        <v>1.0666666666666667</v>
      </c>
      <c r="AI223" s="13" cm="1">
        <f t="array" ref="AI223">M223 / _xlfn.XLOOKUP($AD223 &amp; "|" &amp; $H223, $AD:$AD &amp; "|" &amp; $G:$G, M:M)</f>
        <v>1.0279413905838442</v>
      </c>
      <c r="AJ223" s="13" cm="1">
        <f t="array" ref="AJ223">N223 / _xlfn.XLOOKUP($AD223 &amp; "|" &amp; $H223, $AD:$AD &amp; "|" &amp; $G:$G, N:N)</f>
        <v>1.0279413905838442</v>
      </c>
      <c r="AK223" s="13" cm="1">
        <f t="array" ref="AK223">O223 / _xlfn.XLOOKUP($AD223 &amp; "|" &amp; $H223, $AD:$AD &amp; "|" &amp; $G:$G, O:O)</f>
        <v>1</v>
      </c>
      <c r="AL223" s="13" cm="1">
        <f t="array" ref="AL223">P223 / _xlfn.XLOOKUP($AD223 &amp; "|" &amp; $H223, $AD:$AD &amp; "|" &amp; $G:$G, P:P)</f>
        <v>1</v>
      </c>
      <c r="AM223" s="13" cm="1">
        <f t="array" ref="AM223">Q223 / _xlfn.XLOOKUP($AD223 &amp; "|" &amp; $H223, $AD:$AD &amp; "|" &amp; $G:$G, Q:Q)</f>
        <v>0.68234275822273516</v>
      </c>
      <c r="AN223" s="13" cm="1">
        <f t="array" ref="AN223">R223 / _xlfn.XLOOKUP($AD223 &amp; "|" &amp; $H223, $AD:$AD &amp; "|" &amp; $G:$G, R:R)</f>
        <v>1.5998293515358362</v>
      </c>
      <c r="AO223" s="13" cm="1">
        <f t="array" ref="AO223">S223 / _xlfn.XLOOKUP($AD223 &amp; "|" &amp; $H223, $AD:$AD &amp; "|" &amp; $G:$G, S:S)</f>
        <v>1.4411468812877264</v>
      </c>
      <c r="AP223" s="13" cm="1">
        <f t="array" ref="AP223">T223 / _xlfn.XLOOKUP($AD223 &amp; "|" &amp; $H223, $AD:$AD &amp; "|" &amp; $G:$G, T:T)</f>
        <v>0.4744575666025817</v>
      </c>
      <c r="AQ223" s="13" cm="1">
        <f t="array" ref="AQ223">U223 / _xlfn.XLOOKUP($AD223 &amp; "|" &amp; $H223, $AD:$AD &amp; "|" &amp; $G:$G, U:U)</f>
        <v>1.0334251377065597</v>
      </c>
      <c r="AR223" s="13" cm="1">
        <f t="array" ref="AR223">V223 / _xlfn.XLOOKUP($AD223 &amp; "|" &amp; $H223, $AD:$AD &amp; "|" &amp; $G:$G, V:V)</f>
        <v>0.86729622266401607</v>
      </c>
      <c r="AS223" s="13" cm="1">
        <f t="array" ref="AS223">W223 / _xlfn.XLOOKUP($AD223 &amp; "|" &amp; $H223, $AD:$AD &amp; "|" &amp; $G:$G, W:W)</f>
        <v>0.91067615626374454</v>
      </c>
      <c r="AT223" s="13" cm="1">
        <f t="array" ref="AT223">X223 / _xlfn.XLOOKUP($AD223 &amp; "|" &amp; $H223, $AD:$AD &amp; "|" &amp; $G:$G, X:X)</f>
        <v>0.73034687229213469</v>
      </c>
      <c r="AU223" s="13" cm="1">
        <f t="array" ref="AU223">Y223 / _xlfn.XLOOKUP($AD223 &amp; "|" &amp; $H223, $AD:$AD &amp; "|" &amp; $G:$G, Y:Y)</f>
        <v>0.78418806736615065</v>
      </c>
      <c r="AV223" s="13" cm="1">
        <f t="array" ref="AV223">Z223 / _xlfn.XLOOKUP($AD223 &amp; "|" &amp; $H223, $AD:$AD &amp; "|" &amp; $G:$G, Z:Z)</f>
        <v>0.76872548162459053</v>
      </c>
      <c r="AW223" s="13" cm="1">
        <f t="array" ref="AW223">_xlfn.XLOOKUP($AD223 &amp; "|" &amp; $H223, $AD:$AD &amp; "|" &amp; $G:$G, L:L)</f>
        <v>13.5</v>
      </c>
      <c r="AY223" s="13"/>
      <c r="AZ223" t="s">
        <v>232</v>
      </c>
    </row>
    <row r="224" spans="1:52" x14ac:dyDescent="0.2">
      <c r="A224" t="s">
        <v>32</v>
      </c>
      <c r="B224" t="s">
        <v>3</v>
      </c>
      <c r="C224" t="s">
        <v>110</v>
      </c>
      <c r="D224" t="s">
        <v>112</v>
      </c>
      <c r="E224">
        <v>30</v>
      </c>
      <c r="F224" t="s">
        <v>217</v>
      </c>
      <c r="G224" t="s">
        <v>18</v>
      </c>
      <c r="H224" t="s">
        <v>8</v>
      </c>
      <c r="I224">
        <v>10.199999999999999</v>
      </c>
      <c r="J224">
        <v>0.65</v>
      </c>
      <c r="K224">
        <v>276</v>
      </c>
      <c r="L224">
        <v>14.4</v>
      </c>
      <c r="M224">
        <v>297.48333333333329</v>
      </c>
      <c r="N224">
        <v>297.48333333333329</v>
      </c>
      <c r="O224">
        <v>85</v>
      </c>
      <c r="P224">
        <v>3041.9999999999995</v>
      </c>
      <c r="Q224" cm="1">
        <f t="array" ref="Q224">AVERAGE(
    IF(
        ('Individual data from NASA'!$B:$B=$B224) *
        ('Individual data from NASA'!$C:$C=$G224) *
        ('Individual data from NASA'!$K:$K=$O224) *
        ('Individual data from NASA'!$D:$D=3),
        'Individual data from NASA'!M:M
    )
)</f>
        <v>438500000000000</v>
      </c>
      <c r="R224" cm="1">
        <f t="array" ref="R224">AVERAGE(
    IF(
        ('Individual data from NASA'!$B:$B=$B224) *
        ('Individual data from NASA'!$C:$C=$G224) *
        ('Individual data from NASA'!$K:$K=$O224) *
        ('Individual data from NASA'!$D:$D=3),
        'Individual data from NASA'!N:N
    )
)</f>
        <v>1225000000000000</v>
      </c>
      <c r="S224" cm="1">
        <f t="array" ref="S224">AVERAGE(
    IF(
        ('Individual data from NASA'!$B:$B=$B224) *
        ('Individual data from NASA'!$C:$C=$G224) *
        ('Individual data from NASA'!$K:$K=$O224) *
        ('Individual data from NASA'!$D:$D=3),
        'Individual data from NASA'!O:O
    )
)</f>
        <v>1665000000000000</v>
      </c>
      <c r="T224" cm="1">
        <f t="array" ref="T224">AVERAGE(
    IF(
        ('Individual data from NASA'!$B:$B=$B224) *
        ('Individual data from NASA'!$C:$C=$G224) *
        ('Individual data from NASA'!$K:$K=$O224) *
        ('Individual data from NASA'!$D:$D=3),
        'Individual data from NASA'!P:P
    )
)</f>
        <v>48.2</v>
      </c>
      <c r="U224" cm="1">
        <f t="array" ref="U224">AVERAGE(
    IF(
        ('Individual data from NASA'!$B:$B=$B224) *
        ('Individual data from NASA'!$C:$C=$G224) *
        ('Individual data from NASA'!$K:$K=$O224) *
        ('Individual data from NASA'!$D:$D=3),
        'Individual data from NASA'!Q:Q
    )
)</f>
        <v>0.74074074099999998</v>
      </c>
      <c r="V224" cm="1">
        <f t="array" ref="V224">AVERAGE(
    IF(
        ('Individual data from NASA'!$B:$B=$B224) *
        ('Individual data from NASA'!$C:$C=$G224) *
        ('Individual data from NASA'!$K:$K=$O224) *
        ('Individual data from NASA'!$D:$D=3),
        'Individual data from NASA'!R:R
    )
)</f>
        <v>0.25925925900000002</v>
      </c>
      <c r="W224" cm="1">
        <f t="array" ref="W224">AVERAGE(
    IF(
        ('Individual data from NASA'!$B:$B=$B224) *
        ('Individual data from NASA'!$C:$C=$G224) *
        ('Individual data from NASA'!$K:$K=$O224) *
        ('Individual data from NASA'!$D:$D=3),
        'Individual data from NASA'!S:S
    )
)</f>
        <v>17.84764444</v>
      </c>
      <c r="X224" cm="1">
        <f t="array" ref="X224">AVERAGE(
    IF(
        ('Individual data from NASA'!$B:$B=$B224) *
        ('Individual data from NASA'!$C:$C=$G224) *
        ('Individual data from NASA'!$K:$K=$O224) *
        ('Individual data from NASA'!$D:$D=3),
        'Individual data from NASA'!T:T
    )
)</f>
        <v>6.2466755559999996</v>
      </c>
      <c r="Y224" cm="1">
        <f t="array" ref="Y224">AVERAGE(
    IF(
        ('Individual data from NASA'!$B:$B=$B224) *
        ('Individual data from NASA'!$C:$C=$G224) *
        ('Individual data from NASA'!$K:$K=$O224) *
        ('Individual data from NASA'!$D:$D=3),
        'Individual data from NASA'!U:U
    )
)</f>
        <v>14.145150000000001</v>
      </c>
      <c r="Z224" cm="1">
        <f t="array" ref="Z224">AVERAGE(
    IF(
        ('Individual data from NASA'!$B:$B=$B224) *
        ('Individual data from NASA'!$C:$C=$G224) *
        ('Individual data from NASA'!$K:$K=$O224) *
        ('Individual data from NASA'!$D:$D=3),
        'Individual data from NASA'!V:V
    )
)</f>
        <v>68.61099999999999</v>
      </c>
      <c r="AD224" t="str">
        <f t="shared" si="21"/>
        <v>Moore (2015)|AAFEX-II|Ground|CFM56-2C1|30|Eg no 3 Climb</v>
      </c>
      <c r="AE224" s="13" cm="1">
        <f t="array" ref="AE224">I224 / _xlfn.XLOOKUP($AD224 &amp; "|" &amp; $H224, $AD:$AD &amp; "|" &amp; $G:$G, I:I)</f>
        <v>0.4678899082568807</v>
      </c>
      <c r="AF224" s="13" cm="1">
        <f t="array" ref="AF224">J224 / _xlfn.XLOOKUP($AD224 &amp; "|" &amp; $H224, $AD:$AD &amp; "|" &amp; $G:$G, J:J)</f>
        <v>0.5</v>
      </c>
      <c r="AG224" s="13" cm="1">
        <f t="array" ref="AG224">K224 / _xlfn.XLOOKUP($AD224 &amp; "|" &amp; $H224, $AD:$AD &amp; "|" &amp; $G:$G, K:K)</f>
        <v>1.4680851063829787</v>
      </c>
      <c r="AH224" s="13" cm="1">
        <f t="array" ref="AH224">L224 / _xlfn.XLOOKUP($AD224 &amp; "|" &amp; $H224, $AD:$AD &amp; "|" &amp; $G:$G, L:L)</f>
        <v>1.0666666666666667</v>
      </c>
      <c r="AI224" s="13" cm="1">
        <f t="array" ref="AI224">M224 / _xlfn.XLOOKUP($AD224 &amp; "|" &amp; $H224, $AD:$AD &amp; "|" &amp; $G:$G, M:M)</f>
        <v>1.0206741533494326</v>
      </c>
      <c r="AJ224" s="13" cm="1">
        <f t="array" ref="AJ224">N224 / _xlfn.XLOOKUP($AD224 &amp; "|" &amp; $H224, $AD:$AD &amp; "|" &amp; $G:$G, N:N)</f>
        <v>1.0206741533494326</v>
      </c>
      <c r="AK224" s="13" cm="1">
        <f t="array" ref="AK224">O224 / _xlfn.XLOOKUP($AD224 &amp; "|" &amp; $H224, $AD:$AD &amp; "|" &amp; $G:$G, O:O)</f>
        <v>1</v>
      </c>
      <c r="AL224" s="13" cm="1">
        <f t="array" ref="AL224">P224 / _xlfn.XLOOKUP($AD224 &amp; "|" &amp; $H224, $AD:$AD &amp; "|" &amp; $G:$G, P:P)</f>
        <v>1</v>
      </c>
      <c r="AM224" s="13" cm="1">
        <f t="array" ref="AM224">Q224 / _xlfn.XLOOKUP($AD224 &amp; "|" &amp; $H224, $AD:$AD &amp; "|" &amp; $G:$G, Q:Q)</f>
        <v>0.7833154698106467</v>
      </c>
      <c r="AN224" s="13" cm="1">
        <f t="array" ref="AN224">R224 / _xlfn.XLOOKUP($AD224 &amp; "|" &amp; $H224, $AD:$AD &amp; "|" &amp; $G:$G, R:R)</f>
        <v>1.4320785597381342</v>
      </c>
      <c r="AO224" s="13" cm="1">
        <f t="array" ref="AO224">S224 / _xlfn.XLOOKUP($AD224 &amp; "|" &amp; $H224, $AD:$AD &amp; "|" &amp; $G:$G, S:S)</f>
        <v>1.1775106082036775</v>
      </c>
      <c r="AP224" s="13" cm="1">
        <f t="array" ref="AP224">T224 / _xlfn.XLOOKUP($AD224 &amp; "|" &amp; $H224, $AD:$AD &amp; "|" &amp; $G:$G, T:T)</f>
        <v>0.63155136268343814</v>
      </c>
      <c r="AQ224" s="13" cm="1">
        <f t="array" ref="AQ224">U224 / _xlfn.XLOOKUP($AD224 &amp; "|" &amp; $H224, $AD:$AD &amp; "|" &amp; $G:$G, U:U)</f>
        <v>0.92443609048670305</v>
      </c>
      <c r="AR224" s="13" cm="1">
        <f t="array" ref="AR224">V224 / _xlfn.XLOOKUP($AD224 &amp; "|" &amp; $H224, $AD:$AD &amp; "|" &amp; $G:$G, V:V)</f>
        <v>1.3047070406634766</v>
      </c>
      <c r="AS224" s="13" cm="1">
        <f t="array" ref="AS224">W224 / _xlfn.XLOOKUP($AD224 &amp; "|" &amp; $H224, $AD:$AD &amp; "|" &amp; $G:$G, W:W)</f>
        <v>0.90030812645557967</v>
      </c>
      <c r="AT224" s="13" cm="1">
        <f t="array" ref="AT224">X224 / _xlfn.XLOOKUP($AD224 &amp; "|" &amp; $H224, $AD:$AD &amp; "|" &amp; $G:$G, X:X)</f>
        <v>1.1355793717676665</v>
      </c>
      <c r="AU224" s="13" cm="1">
        <f t="array" ref="AU224">Y224 / _xlfn.XLOOKUP($AD224 &amp; "|" &amp; $H224, $AD:$AD &amp; "|" &amp; $G:$G, Y:Y)</f>
        <v>0.55326373248994587</v>
      </c>
      <c r="AV224" s="13" cm="1">
        <f t="array" ref="AV224">Z224 / _xlfn.XLOOKUP($AD224 &amp; "|" &amp; $H224, $AD:$AD &amp; "|" &amp; $G:$G, Z:Z)</f>
        <v>0.91381569028372744</v>
      </c>
      <c r="AW224" s="13" cm="1">
        <f t="array" ref="AW224">_xlfn.XLOOKUP($AD224 &amp; "|" &amp; $H224, $AD:$AD &amp; "|" &amp; $G:$G, L:L)</f>
        <v>13.5</v>
      </c>
      <c r="AY224" s="13"/>
      <c r="AZ224" t="s">
        <v>232</v>
      </c>
    </row>
    <row r="225" spans="1:52" x14ac:dyDescent="0.2">
      <c r="A225" t="s">
        <v>32</v>
      </c>
      <c r="B225" t="s">
        <v>3</v>
      </c>
      <c r="C225" t="s">
        <v>110</v>
      </c>
      <c r="D225" t="s">
        <v>112</v>
      </c>
      <c r="E225">
        <v>30</v>
      </c>
      <c r="F225" t="s">
        <v>212</v>
      </c>
      <c r="G225" t="s">
        <v>18</v>
      </c>
      <c r="H225" t="s">
        <v>8</v>
      </c>
      <c r="I225">
        <v>10.199999999999999</v>
      </c>
      <c r="J225">
        <v>0.65</v>
      </c>
      <c r="K225">
        <v>276</v>
      </c>
      <c r="L225">
        <v>14.4</v>
      </c>
      <c r="M225">
        <v>298.14999999999998</v>
      </c>
      <c r="N225">
        <v>298.14999999999998</v>
      </c>
      <c r="O225">
        <v>100</v>
      </c>
      <c r="P225">
        <v>3218.4</v>
      </c>
      <c r="Q225" cm="1">
        <f t="array" ref="Q225">AVERAGE(
    IF(
        ('Individual data from NASA'!$B:$B=$B225) *
        ('Individual data from NASA'!$C:$C=$G225) *
        ('Individual data from NASA'!$K:$K=$O225) *
        ('Individual data from NASA'!$D:$D=3),
        'Individual data from NASA'!M:M
    )
)</f>
        <v>708000000000000</v>
      </c>
      <c r="R225" cm="1">
        <f t="array" ref="R225">AVERAGE(
    IF(
        ('Individual data from NASA'!$B:$B=$B225) *
        ('Individual data from NASA'!$C:$C=$G225) *
        ('Individual data from NASA'!$K:$K=$O225) *
        ('Individual data from NASA'!$D:$D=3),
        'Individual data from NASA'!N:N
    )
)</f>
        <v>1650000000000000</v>
      </c>
      <c r="S225" cm="1">
        <f t="array" ref="S225">AVERAGE(
    IF(
        ('Individual data from NASA'!$B:$B=$B225) *
        ('Individual data from NASA'!$C:$C=$G225) *
        ('Individual data from NASA'!$K:$K=$O225) *
        ('Individual data from NASA'!$D:$D=3),
        'Individual data from NASA'!O:O
    )
)</f>
        <v>2360000000000000</v>
      </c>
      <c r="T225" cm="1">
        <f t="array" ref="T225">AVERAGE(
    IF(
        ('Individual data from NASA'!$B:$B=$B225) *
        ('Individual data from NASA'!$C:$C=$G225) *
        ('Individual data from NASA'!$K:$K=$O225) *
        ('Individual data from NASA'!$D:$D=3),
        'Individual data from NASA'!P:P
    )
)</f>
        <v>116.8</v>
      </c>
      <c r="U225" t="e" cm="1">
        <f t="array" ref="U225">AVERAGE(
    IF(
        ('Individual data from NASA'!$B:$B=$B225) *
        ('Individual data from NASA'!$C:$C=$G225) *
        ('Individual data from NASA'!$K:$K=$O225) *
        ('Individual data from NASA'!$D:$D=3),
        'Individual data from NASA'!Q:Q
    )
)</f>
        <v>#DIV/0!</v>
      </c>
      <c r="V225" t="e" cm="1">
        <f t="array" ref="V225">AVERAGE(
    IF(
        ('Individual data from NASA'!$B:$B=$B225) *
        ('Individual data from NASA'!$C:$C=$G225) *
        ('Individual data from NASA'!$K:$K=$O225) *
        ('Individual data from NASA'!$D:$D=3),
        'Individual data from NASA'!R:R
    )
)</f>
        <v>#DIV/0!</v>
      </c>
      <c r="W225" t="e" cm="1">
        <f t="array" ref="W225">AVERAGE(
    IF(
        ('Individual data from NASA'!$B:$B=$B225) *
        ('Individual data from NASA'!$C:$C=$G225) *
        ('Individual data from NASA'!$K:$K=$O225) *
        ('Individual data from NASA'!$D:$D=3),
        'Individual data from NASA'!S:S
    )
)</f>
        <v>#DIV/0!</v>
      </c>
      <c r="X225" t="e" cm="1">
        <f t="array" ref="X225">AVERAGE(
    IF(
        ('Individual data from NASA'!$B:$B=$B225) *
        ('Individual data from NASA'!$C:$C=$G225) *
        ('Individual data from NASA'!$K:$K=$O225) *
        ('Individual data from NASA'!$D:$D=3),
        'Individual data from NASA'!T:T
    )
)</f>
        <v>#DIV/0!</v>
      </c>
      <c r="Y225" cm="1">
        <f t="array" ref="Y225">AVERAGE(
    IF(
        ('Individual data from NASA'!$B:$B=$B225) *
        ('Individual data from NASA'!$C:$C=$G225) *
        ('Individual data from NASA'!$K:$K=$O225) *
        ('Individual data from NASA'!$D:$D=3),
        'Individual data from NASA'!U:U
    )
)</f>
        <v>14.57</v>
      </c>
      <c r="Z225" cm="1">
        <f t="array" ref="Z225">AVERAGE(
    IF(
        ('Individual data from NASA'!$B:$B=$B225) *
        ('Individual data from NASA'!$C:$C=$G225) *
        ('Individual data from NASA'!$K:$K=$O225) *
        ('Individual data from NASA'!$D:$D=3),
        'Individual data from NASA'!V:V
    )
)</f>
        <v>75.0291</v>
      </c>
      <c r="AD225" t="str">
        <f t="shared" si="21"/>
        <v>Moore (2015)|AAFEX-II|Ground|CFM56-2C1|30|Eg no 3 Take-off</v>
      </c>
      <c r="AE225" s="13" cm="1">
        <f t="array" ref="AE225">I225 / _xlfn.XLOOKUP($AD225 &amp; "|" &amp; $H225, $AD:$AD &amp; "|" &amp; $G:$G, I:I)</f>
        <v>0.4678899082568807</v>
      </c>
      <c r="AF225" s="13" cm="1">
        <f t="array" ref="AF225">J225 / _xlfn.XLOOKUP($AD225 &amp; "|" &amp; $H225, $AD:$AD &amp; "|" &amp; $G:$G, J:J)</f>
        <v>0.5</v>
      </c>
      <c r="AG225" s="13" cm="1">
        <f t="array" ref="AG225">K225 / _xlfn.XLOOKUP($AD225 &amp; "|" &amp; $H225, $AD:$AD &amp; "|" &amp; $G:$G, K:K)</f>
        <v>1.4680851063829787</v>
      </c>
      <c r="AH225" s="13" cm="1">
        <f t="array" ref="AH225">L225 / _xlfn.XLOOKUP($AD225 &amp; "|" &amp; $H225, $AD:$AD &amp; "|" &amp; $G:$G, L:L)</f>
        <v>1.0666666666666667</v>
      </c>
      <c r="AI225" s="13" cm="1">
        <f t="array" ref="AI225">M225 / _xlfn.XLOOKUP($AD225 &amp; "|" &amp; $H225, $AD:$AD &amp; "|" &amp; $G:$G, M:M)</f>
        <v>1.0106208688774645</v>
      </c>
      <c r="AJ225" s="13" cm="1">
        <f t="array" ref="AJ225">N225 / _xlfn.XLOOKUP($AD225 &amp; "|" &amp; $H225, $AD:$AD &amp; "|" &amp; $G:$G, N:N)</f>
        <v>1.0106208688774645</v>
      </c>
      <c r="AK225" s="13" cm="1">
        <f t="array" ref="AK225">O225 / _xlfn.XLOOKUP($AD225 &amp; "|" &amp; $H225, $AD:$AD &amp; "|" &amp; $G:$G, O:O)</f>
        <v>1</v>
      </c>
      <c r="AL225" s="13" cm="1">
        <f t="array" ref="AL225">P225 / _xlfn.XLOOKUP($AD225 &amp; "|" &amp; $H225, $AD:$AD &amp; "|" &amp; $G:$G, P:P)</f>
        <v>1</v>
      </c>
      <c r="AM225" s="13" cm="1">
        <f t="array" ref="AM225">Q225 / _xlfn.XLOOKUP($AD225 &amp; "|" &amp; $H225, $AD:$AD &amp; "|" &amp; $G:$G, Q:Q)</f>
        <v>1.0360975609756098</v>
      </c>
      <c r="AN225" s="13" cm="1">
        <f t="array" ref="AN225">R225 / _xlfn.XLOOKUP($AD225 &amp; "|" &amp; $H225, $AD:$AD &amp; "|" &amp; $G:$G, R:R)</f>
        <v>1.8764215314632295</v>
      </c>
      <c r="AO225" s="13" cm="1">
        <f t="array" ref="AO225">S225 / _xlfn.XLOOKUP($AD225 &amp; "|" &amp; $H225, $AD:$AD &amp; "|" &amp; $G:$G, S:S)</f>
        <v>1.5095948827292112</v>
      </c>
      <c r="AP225" s="13" cm="1">
        <f t="array" ref="AP225">T225 / _xlfn.XLOOKUP($AD225 &amp; "|" &amp; $H225, $AD:$AD &amp; "|" &amp; $G:$G, T:T)</f>
        <v>0.8893401015228426</v>
      </c>
      <c r="AQ225" s="13" t="e" cm="1">
        <f t="array" ref="AQ225">U225 / _xlfn.XLOOKUP($AD225 &amp; "|" &amp; $H225, $AD:$AD &amp; "|" &amp; $G:$G, U:U)</f>
        <v>#DIV/0!</v>
      </c>
      <c r="AR225" s="13" t="e" cm="1">
        <f t="array" ref="AR225">V225 / _xlfn.XLOOKUP($AD225 &amp; "|" &amp; $H225, $AD:$AD &amp; "|" &amp; $G:$G, V:V)</f>
        <v>#DIV/0!</v>
      </c>
      <c r="AS225" s="13" t="e" cm="1">
        <f t="array" ref="AS225">W225 / _xlfn.XLOOKUP($AD225 &amp; "|" &amp; $H225, $AD:$AD &amp; "|" &amp; $G:$G, W:W)</f>
        <v>#DIV/0!</v>
      </c>
      <c r="AT225" s="13" t="e" cm="1">
        <f t="array" ref="AT225">X225 / _xlfn.XLOOKUP($AD225 &amp; "|" &amp; $H225, $AD:$AD &amp; "|" &amp; $G:$G, X:X)</f>
        <v>#DIV/0!</v>
      </c>
      <c r="AU225" s="13" cm="1">
        <f t="array" ref="AU225">Y225 / _xlfn.XLOOKUP($AD225 &amp; "|" &amp; $H225, $AD:$AD &amp; "|" &amp; $G:$G, Y:Y)</f>
        <v>0.48084909303126344</v>
      </c>
      <c r="AV225" s="13" cm="1">
        <f t="array" ref="AV225">Z225 / _xlfn.XLOOKUP($AD225 &amp; "|" &amp; $H225, $AD:$AD &amp; "|" &amp; $G:$G, Z:Z)</f>
        <v>0.85964763533912547</v>
      </c>
      <c r="AW225" s="13" cm="1">
        <f t="array" ref="AW225">_xlfn.XLOOKUP($AD225 &amp; "|" &amp; $H225, $AD:$AD &amp; "|" &amp; $G:$G, L:L)</f>
        <v>13.5</v>
      </c>
      <c r="AY225" s="13"/>
      <c r="AZ225" t="s">
        <v>232</v>
      </c>
    </row>
    <row r="226" spans="1:52" x14ac:dyDescent="0.2">
      <c r="A226" t="s">
        <v>32</v>
      </c>
      <c r="B226" t="s">
        <v>3</v>
      </c>
      <c r="C226" t="s">
        <v>110</v>
      </c>
      <c r="D226" t="s">
        <v>112</v>
      </c>
      <c r="E226">
        <v>30</v>
      </c>
      <c r="F226" t="s">
        <v>213</v>
      </c>
      <c r="G226" t="s">
        <v>17</v>
      </c>
      <c r="H226" t="s">
        <v>8</v>
      </c>
      <c r="I226">
        <v>1.4</v>
      </c>
      <c r="J226">
        <v>0</v>
      </c>
      <c r="K226">
        <v>4</v>
      </c>
      <c r="L226">
        <v>15</v>
      </c>
      <c r="M226">
        <v>285.95</v>
      </c>
      <c r="N226">
        <v>285.95</v>
      </c>
      <c r="O226">
        <v>4</v>
      </c>
      <c r="P226">
        <v>457.2</v>
      </c>
      <c r="Q226" t="e" cm="1">
        <f t="array" ref="Q226">AVERAGE(
    IF(
        ('Individual data from NASA'!$B:$B=$B226) *
        ('Individual data from NASA'!$C:$C=$G226) *
        ('Individual data from NASA'!$K:$K=$O226) *
        ('Individual data from NASA'!$D:$D=3),
        'Individual data from NASA'!M:M
    )
)</f>
        <v>#DIV/0!</v>
      </c>
      <c r="R226" t="e" cm="1">
        <f t="array" ref="R226">AVERAGE(
    IF(
        ('Individual data from NASA'!$B:$B=$B226) *
        ('Individual data from NASA'!$C:$C=$G226) *
        ('Individual data from NASA'!$K:$K=$O226) *
        ('Individual data from NASA'!$D:$D=3),
        'Individual data from NASA'!N:N
    )
)</f>
        <v>#DIV/0!</v>
      </c>
      <c r="S226" t="e" cm="1">
        <f t="array" ref="S226">AVERAGE(
    IF(
        ('Individual data from NASA'!$B:$B=$B226) *
        ('Individual data from NASA'!$C:$C=$G226) *
        ('Individual data from NASA'!$K:$K=$O226) *
        ('Individual data from NASA'!$D:$D=3),
        'Individual data from NASA'!O:O
    )
)</f>
        <v>#DIV/0!</v>
      </c>
      <c r="T226" t="e" cm="1">
        <f t="array" ref="T226">AVERAGE(
    IF(
        ('Individual data from NASA'!$B:$B=$B226) *
        ('Individual data from NASA'!$C:$C=$G226) *
        ('Individual data from NASA'!$K:$K=$O226) *
        ('Individual data from NASA'!$D:$D=3),
        'Individual data from NASA'!P:P
    )
)</f>
        <v>#DIV/0!</v>
      </c>
      <c r="U226" t="e" cm="1">
        <f t="array" ref="U226">AVERAGE(
    IF(
        ('Individual data from NASA'!$B:$B=$B226) *
        ('Individual data from NASA'!$C:$C=$G226) *
        ('Individual data from NASA'!$K:$K=$O226) *
        ('Individual data from NASA'!$D:$D=3),
        'Individual data from NASA'!Q:Q
    )
)</f>
        <v>#DIV/0!</v>
      </c>
      <c r="V226" t="e" cm="1">
        <f t="array" ref="V226">AVERAGE(
    IF(
        ('Individual data from NASA'!$B:$B=$B226) *
        ('Individual data from NASA'!$C:$C=$G226) *
        ('Individual data from NASA'!$K:$K=$O226) *
        ('Individual data from NASA'!$D:$D=3),
        'Individual data from NASA'!R:R
    )
)</f>
        <v>#DIV/0!</v>
      </c>
      <c r="W226" t="e" cm="1">
        <f t="array" ref="W226">AVERAGE(
    IF(
        ('Individual data from NASA'!$B:$B=$B226) *
        ('Individual data from NASA'!$C:$C=$G226) *
        ('Individual data from NASA'!$K:$K=$O226) *
        ('Individual data from NASA'!$D:$D=3),
        'Individual data from NASA'!S:S
    )
)</f>
        <v>#DIV/0!</v>
      </c>
      <c r="X226" t="e" cm="1">
        <f t="array" ref="X226">AVERAGE(
    IF(
        ('Individual data from NASA'!$B:$B=$B226) *
        ('Individual data from NASA'!$C:$C=$G226) *
        ('Individual data from NASA'!$K:$K=$O226) *
        ('Individual data from NASA'!$D:$D=3),
        'Individual data from NASA'!T:T
    )
)</f>
        <v>#DIV/0!</v>
      </c>
      <c r="Y226" t="e" cm="1">
        <f t="array" ref="Y226">AVERAGE(
    IF(
        ('Individual data from NASA'!$B:$B=$B226) *
        ('Individual data from NASA'!$C:$C=$G226) *
        ('Individual data from NASA'!$K:$K=$O226) *
        ('Individual data from NASA'!$D:$D=3),
        'Individual data from NASA'!U:U
    )
)</f>
        <v>#DIV/0!</v>
      </c>
      <c r="Z226" t="e" cm="1">
        <f t="array" ref="Z226">AVERAGE(
    IF(
        ('Individual data from NASA'!$B:$B=$B226) *
        ('Individual data from NASA'!$C:$C=$G226) *
        ('Individual data from NASA'!$K:$K=$O226) *
        ('Individual data from NASA'!$D:$D=3),
        'Individual data from NASA'!V:V
    )
)</f>
        <v>#DIV/0!</v>
      </c>
      <c r="AD226" t="str">
        <f t="shared" si="21"/>
        <v>Moore (2015)|AAFEX-II|Ground|CFM56-2C1|30|Eg no 3 Idle (min)</v>
      </c>
      <c r="AE226" s="13" cm="1">
        <f t="array" ref="AE226">I226 / _xlfn.XLOOKUP($AD226 &amp; "|" &amp; $H226, $AD:$AD &amp; "|" &amp; $G:$G, I:I)</f>
        <v>6.4220183486238522E-2</v>
      </c>
      <c r="AF226" s="13" cm="1">
        <f t="array" ref="AF226">J226 / _xlfn.XLOOKUP($AD226 &amp; "|" &amp; $H226, $AD:$AD &amp; "|" &amp; $G:$G, J:J)</f>
        <v>0</v>
      </c>
      <c r="AG226" s="13" cm="1">
        <f t="array" ref="AG226">K226 / _xlfn.XLOOKUP($AD226 &amp; "|" &amp; $H226, $AD:$AD &amp; "|" &amp; $G:$G, K:K)</f>
        <v>2.1276595744680851E-2</v>
      </c>
      <c r="AH226" s="13" cm="1">
        <f t="array" ref="AH226">L226 / _xlfn.XLOOKUP($AD226 &amp; "|" &amp; $H226, $AD:$AD &amp; "|" &amp; $G:$G, L:L)</f>
        <v>1.1111111111111112</v>
      </c>
      <c r="AI226" s="13" cm="1">
        <f t="array" ref="AI226">M226 / _xlfn.XLOOKUP($AD226 &amp; "|" &amp; $H226, $AD:$AD &amp; "|" &amp; $G:$G, M:M)</f>
        <v>0.98824952479695882</v>
      </c>
      <c r="AJ226" s="13" cm="1">
        <f t="array" ref="AJ226">N226 / _xlfn.XLOOKUP($AD226 &amp; "|" &amp; $H226, $AD:$AD &amp; "|" &amp; $G:$G, N:N)</f>
        <v>0.98824952479695882</v>
      </c>
      <c r="AK226" s="13" cm="1">
        <f t="array" ref="AK226">O226 / _xlfn.XLOOKUP($AD226 &amp; "|" &amp; $H226, $AD:$AD &amp; "|" &amp; $G:$G, O:O)</f>
        <v>1</v>
      </c>
      <c r="AL226" s="13" cm="1">
        <f t="array" ref="AL226">P226 / _xlfn.XLOOKUP($AD226 &amp; "|" &amp; $H226, $AD:$AD &amp; "|" &amp; $G:$G, P:P)</f>
        <v>1</v>
      </c>
      <c r="AM226" s="13" t="e" cm="1">
        <f t="array" ref="AM226">Q226 / _xlfn.XLOOKUP($AD226 &amp; "|" &amp; $H226, $AD:$AD &amp; "|" &amp; $G:$G, Q:Q)</f>
        <v>#DIV/0!</v>
      </c>
      <c r="AN226" s="13" t="e" cm="1">
        <f t="array" ref="AN226">R226 / _xlfn.XLOOKUP($AD226 &amp; "|" &amp; $H226, $AD:$AD &amp; "|" &amp; $G:$G, R:R)</f>
        <v>#DIV/0!</v>
      </c>
      <c r="AO226" s="13" t="e" cm="1">
        <f t="array" ref="AO226">S226 / _xlfn.XLOOKUP($AD226 &amp; "|" &amp; $H226, $AD:$AD &amp; "|" &amp; $G:$G, S:S)</f>
        <v>#DIV/0!</v>
      </c>
      <c r="AP226" s="13" t="e" cm="1">
        <f t="array" ref="AP226">T226 / _xlfn.XLOOKUP($AD226 &amp; "|" &amp; $H226, $AD:$AD &amp; "|" &amp; $G:$G, T:T)</f>
        <v>#DIV/0!</v>
      </c>
      <c r="AQ226" s="13" t="e" cm="1">
        <f t="array" ref="AQ226">U226 / _xlfn.XLOOKUP($AD226 &amp; "|" &amp; $H226, $AD:$AD &amp; "|" &amp; $G:$G, U:U)</f>
        <v>#DIV/0!</v>
      </c>
      <c r="AR226" s="13" t="e" cm="1">
        <f t="array" ref="AR226">V226 / _xlfn.XLOOKUP($AD226 &amp; "|" &amp; $H226, $AD:$AD &amp; "|" &amp; $G:$G, V:V)</f>
        <v>#DIV/0!</v>
      </c>
      <c r="AS226" s="13" t="e" cm="1">
        <f t="array" ref="AS226">W226 / _xlfn.XLOOKUP($AD226 &amp; "|" &amp; $H226, $AD:$AD &amp; "|" &amp; $G:$G, W:W)</f>
        <v>#DIV/0!</v>
      </c>
      <c r="AT226" s="13" t="e" cm="1">
        <f t="array" ref="AT226">X226 / _xlfn.XLOOKUP($AD226 &amp; "|" &amp; $H226, $AD:$AD &amp; "|" &amp; $G:$G, X:X)</f>
        <v>#DIV/0!</v>
      </c>
      <c r="AU226" s="13" t="e" cm="1">
        <f t="array" ref="AU226">Y226 / _xlfn.XLOOKUP($AD226 &amp; "|" &amp; $H226, $AD:$AD &amp; "|" &amp; $G:$G, Y:Y)</f>
        <v>#DIV/0!</v>
      </c>
      <c r="AV226" s="13" t="e" cm="1">
        <f t="array" ref="AV226">Z226 / _xlfn.XLOOKUP($AD226 &amp; "|" &amp; $H226, $AD:$AD &amp; "|" &amp; $G:$G, Z:Z)</f>
        <v>#DIV/0!</v>
      </c>
      <c r="AW226" s="13" cm="1">
        <f t="array" ref="AW226">_xlfn.XLOOKUP($AD226 &amp; "|" &amp; $H226, $AD:$AD &amp; "|" &amp; $G:$G, L:L)</f>
        <v>13.5</v>
      </c>
      <c r="AY226" s="13"/>
      <c r="AZ226" t="s">
        <v>232</v>
      </c>
    </row>
    <row r="227" spans="1:52" x14ac:dyDescent="0.2">
      <c r="A227" t="s">
        <v>32</v>
      </c>
      <c r="B227" t="s">
        <v>3</v>
      </c>
      <c r="C227" t="s">
        <v>110</v>
      </c>
      <c r="D227" t="s">
        <v>112</v>
      </c>
      <c r="E227">
        <v>30</v>
      </c>
      <c r="F227" t="s">
        <v>214</v>
      </c>
      <c r="G227" t="s">
        <v>17</v>
      </c>
      <c r="H227" t="s">
        <v>8</v>
      </c>
      <c r="I227">
        <v>1.4</v>
      </c>
      <c r="J227">
        <v>0</v>
      </c>
      <c r="K227">
        <v>4</v>
      </c>
      <c r="L227">
        <v>15</v>
      </c>
      <c r="M227">
        <v>286.48333333333329</v>
      </c>
      <c r="N227">
        <v>286.48333333333329</v>
      </c>
      <c r="O227">
        <v>7</v>
      </c>
      <c r="P227">
        <v>561.096</v>
      </c>
      <c r="Q227" cm="1">
        <f t="array" ref="Q227">AVERAGE(
    IF(
        ('Individual data from NASA'!$B:$B=$B227) *
        ('Individual data from NASA'!$C:$C=$G227) *
        ('Individual data from NASA'!$K:$K=$O227) *
        ('Individual data from NASA'!$D:$D=3),
        'Individual data from NASA'!M:M
    )
)</f>
        <v>32400000000000</v>
      </c>
      <c r="R227" cm="1">
        <f t="array" ref="R227">AVERAGE(
    IF(
        ('Individual data from NASA'!$B:$B=$B227) *
        ('Individual data from NASA'!$C:$C=$G227) *
        ('Individual data from NASA'!$K:$K=$O227) *
        ('Individual data from NASA'!$D:$D=3),
        'Individual data from NASA'!N:N
    )
)</f>
        <v>4160000000000000</v>
      </c>
      <c r="S227" cm="1">
        <f t="array" ref="S227">AVERAGE(
    IF(
        ('Individual data from NASA'!$B:$B=$B227) *
        ('Individual data from NASA'!$C:$C=$G227) *
        ('Individual data from NASA'!$K:$K=$O227) *
        ('Individual data from NASA'!$D:$D=3),
        'Individual data from NASA'!O:O
    )
)</f>
        <v>4196666666666666.5</v>
      </c>
      <c r="T227" cm="1">
        <f t="array" ref="T227">AVERAGE(
    IF(
        ('Individual data from NASA'!$B:$B=$B227) *
        ('Individual data from NASA'!$C:$C=$G227) *
        ('Individual data from NASA'!$K:$K=$O227) *
        ('Individual data from NASA'!$D:$D=3),
        'Individual data from NASA'!P:P
    )
)</f>
        <v>2.0133333333333332</v>
      </c>
      <c r="U227" cm="1">
        <f t="array" ref="U227">AVERAGE(
    IF(
        ('Individual data from NASA'!$B:$B=$B227) *
        ('Individual data from NASA'!$C:$C=$G227) *
        ('Individual data from NASA'!$K:$K=$O227) *
        ('Individual data from NASA'!$D:$D=3),
        'Individual data from NASA'!Q:Q
    )
)</f>
        <v>0.70050000000000001</v>
      </c>
      <c r="V227" cm="1">
        <f t="array" ref="V227">AVERAGE(
    IF(
        ('Individual data from NASA'!$B:$B=$B227) *
        ('Individual data from NASA'!$C:$C=$G227) *
        ('Individual data from NASA'!$K:$K=$O227) *
        ('Individual data from NASA'!$D:$D=3),
        'Individual data from NASA'!R:R
    )
)</f>
        <v>0.29949999999999999</v>
      </c>
      <c r="W227" cm="1">
        <f t="array" ref="W227">AVERAGE(
    IF(
        ('Individual data from NASA'!$B:$B=$B227) *
        ('Individual data from NASA'!$C:$C=$G227) *
        ('Individual data from NASA'!$K:$K=$O227) *
        ('Individual data from NASA'!$D:$D=3),
        'Individual data from NASA'!S:S
    )
)</f>
        <v>8.2334265089999992</v>
      </c>
      <c r="X227" cm="1">
        <f t="array" ref="X227">AVERAGE(
    IF(
        ('Individual data from NASA'!$B:$B=$B227) *
        ('Individual data from NASA'!$C:$C=$G227) *
        ('Individual data from NASA'!$K:$K=$O227) *
        ('Individual data from NASA'!$D:$D=3),
        'Individual data from NASA'!T:T
    )
)</f>
        <v>3.4930574910000001</v>
      </c>
      <c r="Y227" cm="1">
        <f t="array" ref="Y227">AVERAGE(
    IF(
        ('Individual data from NASA'!$B:$B=$B227) *
        ('Individual data from NASA'!$C:$C=$G227) *
        ('Individual data from NASA'!$K:$K=$O227) *
        ('Individual data from NASA'!$D:$D=3),
        'Individual data from NASA'!U:U
    )
)</f>
        <v>10.3302</v>
      </c>
      <c r="Z227" cm="1">
        <f t="array" ref="Z227">AVERAGE(
    IF(
        ('Individual data from NASA'!$B:$B=$B227) *
        ('Individual data from NASA'!$C:$C=$G227) *
        ('Individual data from NASA'!$K:$K=$O227) *
        ('Individual data from NASA'!$D:$D=3),
        'Individual data from NASA'!V:V
    )
)</f>
        <v>68.304500000000004</v>
      </c>
      <c r="AD227" t="str">
        <f t="shared" si="21"/>
        <v>Moore (2015)|AAFEX-II|Ground|CFM56-2C1|30|Eg no 3 Idle (approach)</v>
      </c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Y227" s="13"/>
      <c r="AZ227" t="s">
        <v>232</v>
      </c>
    </row>
    <row r="228" spans="1:52" x14ac:dyDescent="0.2">
      <c r="A228" t="s">
        <v>32</v>
      </c>
      <c r="B228" t="s">
        <v>3</v>
      </c>
      <c r="C228" t="s">
        <v>110</v>
      </c>
      <c r="D228" t="s">
        <v>112</v>
      </c>
      <c r="E228">
        <v>30</v>
      </c>
      <c r="F228" t="s">
        <v>215</v>
      </c>
      <c r="G228" t="s">
        <v>17</v>
      </c>
      <c r="H228" t="s">
        <v>8</v>
      </c>
      <c r="I228">
        <v>1.4</v>
      </c>
      <c r="J228">
        <v>0</v>
      </c>
      <c r="K228">
        <v>4</v>
      </c>
      <c r="L228">
        <v>15</v>
      </c>
      <c r="M228">
        <v>286.75</v>
      </c>
      <c r="N228">
        <v>286.75</v>
      </c>
      <c r="O228">
        <v>30</v>
      </c>
      <c r="P228">
        <v>1231.2000000000003</v>
      </c>
      <c r="Q228" cm="1">
        <f t="array" ref="Q228">AVERAGE(
    IF(
        ('Individual data from NASA'!$B:$B=$B228) *
        ('Individual data from NASA'!$C:$C=$G228) *
        ('Individual data from NASA'!$K:$K=$O228) *
        ('Individual data from NASA'!$D:$D=3),
        'Individual data from NASA'!M:M
    )
)</f>
        <v>22100000000000</v>
      </c>
      <c r="R228" cm="1">
        <f t="array" ref="R228">AVERAGE(
    IF(
        ('Individual data from NASA'!$B:$B=$B228) *
        ('Individual data from NASA'!$C:$C=$G228) *
        ('Individual data from NASA'!$K:$K=$O228) *
        ('Individual data from NASA'!$D:$D=3),
        'Individual data from NASA'!N:N
    )
)</f>
        <v>1372500000000000</v>
      </c>
      <c r="S228" cm="1">
        <f t="array" ref="S228">AVERAGE(
    IF(
        ('Individual data from NASA'!$B:$B=$B228) *
        ('Individual data from NASA'!$C:$C=$G228) *
        ('Individual data from NASA'!$K:$K=$O228) *
        ('Individual data from NASA'!$D:$D=3),
        'Individual data from NASA'!O:O
    )
)</f>
        <v>1394500000000000</v>
      </c>
      <c r="T228" cm="1">
        <f t="array" ref="T228">AVERAGE(
    IF(
        ('Individual data from NASA'!$B:$B=$B228) *
        ('Individual data from NASA'!$C:$C=$G228) *
        ('Individual data from NASA'!$K:$K=$O228) *
        ('Individual data from NASA'!$D:$D=3),
        'Individual data from NASA'!P:P
    )
)</f>
        <v>3.3194999999999997</v>
      </c>
      <c r="U228" cm="1">
        <f t="array" ref="U228">AVERAGE(
    IF(
        ('Individual data from NASA'!$B:$B=$B228) *
        ('Individual data from NASA'!$C:$C=$G228) *
        ('Individual data from NASA'!$K:$K=$O228) *
        ('Individual data from NASA'!$D:$D=3),
        'Individual data from NASA'!Q:Q
    )
)</f>
        <v>0.70700000000000007</v>
      </c>
      <c r="V228" cm="1">
        <f t="array" ref="V228">AVERAGE(
    IF(
        ('Individual data from NASA'!$B:$B=$B228) *
        ('Individual data from NASA'!$C:$C=$G228) *
        ('Individual data from NASA'!$K:$K=$O228) *
        ('Individual data from NASA'!$D:$D=3),
        'Individual data from NASA'!R:R
    )
)</f>
        <v>0.29300000000000004</v>
      </c>
      <c r="W228" cm="1">
        <f t="array" ref="W228">AVERAGE(
    IF(
        ('Individual data from NASA'!$B:$B=$B228) *
        ('Individual data from NASA'!$C:$C=$G228) *
        ('Individual data from NASA'!$K:$K=$O228) *
        ('Individual data from NASA'!$D:$D=3),
        'Individual data from NASA'!S:S
    )
)</f>
        <v>4.1980390204999996</v>
      </c>
      <c r="X228" cm="1">
        <f t="array" ref="X228">AVERAGE(
    IF(
        ('Individual data from NASA'!$B:$B=$B228) *
        ('Individual data from NASA'!$C:$C=$G228) *
        ('Individual data from NASA'!$K:$K=$O228) *
        ('Individual data from NASA'!$D:$D=3),
        'Individual data from NASA'!T:T
    )
)</f>
        <v>1.6832755795000001</v>
      </c>
      <c r="Y228" cm="1">
        <f t="array" ref="Y228">AVERAGE(
    IF(
        ('Individual data from NASA'!$B:$B=$B228) *
        ('Individual data from NASA'!$C:$C=$G228) *
        ('Individual data from NASA'!$K:$K=$O228) *
        ('Individual data from NASA'!$D:$D=3),
        'Individual data from NASA'!U:U
    )
)</f>
        <v>10.274149999999999</v>
      </c>
      <c r="Z228" cm="1">
        <f t="array" ref="Z228">AVERAGE(
    IF(
        ('Individual data from NASA'!$B:$B=$B228) *
        ('Individual data from NASA'!$C:$C=$G228) *
        ('Individual data from NASA'!$K:$K=$O228) *
        ('Individual data from NASA'!$D:$D=3),
        'Individual data from NASA'!V:V
    )
)</f>
        <v>152.72050000000002</v>
      </c>
      <c r="AD228" t="str">
        <f t="shared" si="21"/>
        <v>Moore (2015)|AAFEX-II|Ground|CFM56-2C1|30|Eg no 3 Intermediate</v>
      </c>
      <c r="AE228" s="13" cm="1">
        <f t="array" ref="AE228">I228 / _xlfn.XLOOKUP($AD228 &amp; "|" &amp; $H228, $AD:$AD &amp; "|" &amp; $G:$G, I:I)</f>
        <v>6.4220183486238522E-2</v>
      </c>
      <c r="AF228" s="13" cm="1">
        <f t="array" ref="AF228">J228 / _xlfn.XLOOKUP($AD228 &amp; "|" &amp; $H228, $AD:$AD &amp; "|" &amp; $G:$G, J:J)</f>
        <v>0</v>
      </c>
      <c r="AG228" s="13" cm="1">
        <f t="array" ref="AG228">K228 / _xlfn.XLOOKUP($AD228 &amp; "|" &amp; $H228, $AD:$AD &amp; "|" &amp; $G:$G, K:K)</f>
        <v>2.1276595744680851E-2</v>
      </c>
      <c r="AH228" s="13" cm="1">
        <f t="array" ref="AH228">L228 / _xlfn.XLOOKUP($AD228 &amp; "|" &amp; $H228, $AD:$AD &amp; "|" &amp; $G:$G, L:L)</f>
        <v>1.1111111111111112</v>
      </c>
      <c r="AI228" s="13" cm="1">
        <f t="array" ref="AI228">M228 / _xlfn.XLOOKUP($AD228 &amp; "|" &amp; $H228, $AD:$AD &amp; "|" &amp; $G:$G, M:M)</f>
        <v>0.98294626788927941</v>
      </c>
      <c r="AJ228" s="13" cm="1">
        <f t="array" ref="AJ228">N228 / _xlfn.XLOOKUP($AD228 &amp; "|" &amp; $H228, $AD:$AD &amp; "|" &amp; $G:$G, N:N)</f>
        <v>0.98294626788927941</v>
      </c>
      <c r="AK228" s="13" cm="1">
        <f t="array" ref="AK228">O228 / _xlfn.XLOOKUP($AD228 &amp; "|" &amp; $H228, $AD:$AD &amp; "|" &amp; $G:$G, O:O)</f>
        <v>1</v>
      </c>
      <c r="AL228" s="13" cm="1">
        <f t="array" ref="AL228">P228 / _xlfn.XLOOKUP($AD228 &amp; "|" &amp; $H228, $AD:$AD &amp; "|" &amp; $G:$G, P:P)</f>
        <v>1</v>
      </c>
      <c r="AM228" s="13" cm="1">
        <f t="array" ref="AM228">Q228 / _xlfn.XLOOKUP($AD228 &amp; "|" &amp; $H228, $AD:$AD &amp; "|" &amp; $G:$G, Q:Q)</f>
        <v>7.8647686832740218E-2</v>
      </c>
      <c r="AN228" s="13" cm="1">
        <f t="array" ref="AN228">R228 / _xlfn.XLOOKUP($AD228 &amp; "|" &amp; $H228, $AD:$AD &amp; "|" &amp; $G:$G, R:R)</f>
        <v>0.50795706883789782</v>
      </c>
      <c r="AO228" s="13" cm="1">
        <f t="array" ref="AO228">S228 / _xlfn.XLOOKUP($AD228 &amp; "|" &amp; $H228, $AD:$AD &amp; "|" &amp; $G:$G, S:S)</f>
        <v>0.4676391683433937</v>
      </c>
      <c r="AP228" s="13" cm="1">
        <f t="array" ref="AP228">T228 / _xlfn.XLOOKUP($AD228 &amp; "|" &amp; $H228, $AD:$AD &amp; "|" &amp; $G:$G, T:T)</f>
        <v>0.4795163666830381</v>
      </c>
      <c r="AQ228" s="13" cm="1">
        <f t="array" ref="AQ228">U228 / _xlfn.XLOOKUP($AD228 &amp; "|" &amp; $H228, $AD:$AD &amp; "|" &amp; $G:$G, U:U)</f>
        <v>0.91414533229894002</v>
      </c>
      <c r="AR228" s="13" cm="1">
        <f t="array" ref="AR228">V228 / _xlfn.XLOOKUP($AD228 &amp; "|" &amp; $H228, $AD:$AD &amp; "|" &amp; $G:$G, V:V)</f>
        <v>1.2930273609885263</v>
      </c>
      <c r="AS228" s="13" cm="1">
        <f t="array" ref="AS228">W228 / _xlfn.XLOOKUP($AD228 &amp; "|" &amp; $H228, $AD:$AD &amp; "|" &amp; $G:$G, W:W)</f>
        <v>0.73169322038513529</v>
      </c>
      <c r="AT228" s="13" cm="1">
        <f t="array" ref="AT228">X228 / _xlfn.XLOOKUP($AD228 &amp; "|" &amp; $H228, $AD:$AD &amp; "|" &amp; $G:$G, X:X)</f>
        <v>0.84079091529204042</v>
      </c>
      <c r="AU228" s="13" cm="1">
        <f t="array" ref="AU228">Y228 / _xlfn.XLOOKUP($AD228 &amp; "|" &amp; $H228, $AD:$AD &amp; "|" &amp; $G:$G, Y:Y)</f>
        <v>0.93188554863801931</v>
      </c>
      <c r="AV228" s="13" cm="1">
        <f t="array" ref="AV228">Z228 / _xlfn.XLOOKUP($AD228 &amp; "|" &amp; $H228, $AD:$AD &amp; "|" &amp; $G:$G, Z:Z)</f>
        <v>3.4889137341946235</v>
      </c>
      <c r="AW228" s="13" cm="1">
        <f t="array" ref="AW228">_xlfn.XLOOKUP($AD228 &amp; "|" &amp; $H228, $AD:$AD &amp; "|" &amp; $G:$G, L:L)</f>
        <v>13.5</v>
      </c>
      <c r="AY228" s="13"/>
      <c r="AZ228" t="s">
        <v>232</v>
      </c>
    </row>
    <row r="229" spans="1:52" x14ac:dyDescent="0.2">
      <c r="A229" t="s">
        <v>32</v>
      </c>
      <c r="B229" t="s">
        <v>3</v>
      </c>
      <c r="C229" t="s">
        <v>110</v>
      </c>
      <c r="D229" t="s">
        <v>112</v>
      </c>
      <c r="E229">
        <v>30</v>
      </c>
      <c r="F229" t="s">
        <v>216</v>
      </c>
      <c r="G229" t="s">
        <v>17</v>
      </c>
      <c r="H229" t="s">
        <v>8</v>
      </c>
      <c r="I229">
        <v>1.4</v>
      </c>
      <c r="J229">
        <v>0</v>
      </c>
      <c r="K229">
        <v>4</v>
      </c>
      <c r="L229">
        <v>15</v>
      </c>
      <c r="M229">
        <v>286.2</v>
      </c>
      <c r="N229">
        <v>286.2</v>
      </c>
      <c r="O229">
        <v>65</v>
      </c>
      <c r="P229">
        <v>2167.1999999999998</v>
      </c>
      <c r="Q229" cm="1">
        <f t="array" ref="Q229">AVERAGE(
    IF(
        ('Individual data from NASA'!$B:$B=$B229) *
        ('Individual data from NASA'!$C:$C=$G229) *
        ('Individual data from NASA'!$K:$K=$O229) *
        ('Individual data from NASA'!$D:$D=3),
        'Individual data from NASA'!M:M
    )
)</f>
        <v>98800000000000</v>
      </c>
      <c r="R229" cm="1">
        <f t="array" ref="R229">AVERAGE(
    IF(
        ('Individual data from NASA'!$B:$B=$B229) *
        ('Individual data from NASA'!$C:$C=$G229) *
        ('Individual data from NASA'!$K:$K=$O229) *
        ('Individual data from NASA'!$D:$D=3),
        'Individual data from NASA'!N:N
    )
)</f>
        <v>203250000000000</v>
      </c>
      <c r="S229" cm="1">
        <f t="array" ref="S229">AVERAGE(
    IF(
        ('Individual data from NASA'!$B:$B=$B229) *
        ('Individual data from NASA'!$C:$C=$G229) *
        ('Individual data from NASA'!$K:$K=$O229) *
        ('Individual data from NASA'!$D:$D=3),
        'Individual data from NASA'!O:O
    )
)</f>
        <v>301500000000000</v>
      </c>
      <c r="T229" cm="1">
        <f t="array" ref="T229">AVERAGE(
    IF(
        ('Individual data from NASA'!$B:$B=$B229) *
        ('Individual data from NASA'!$C:$C=$G229) *
        ('Individual data from NASA'!$K:$K=$O229) *
        ('Individual data from NASA'!$D:$D=3),
        'Individual data from NASA'!P:P
    )
)</f>
        <v>5.87</v>
      </c>
      <c r="U229" cm="1">
        <f t="array" ref="U229">AVERAGE(
    IF(
        ('Individual data from NASA'!$B:$B=$B229) *
        ('Individual data from NASA'!$C:$C=$G229) *
        ('Individual data from NASA'!$K:$K=$O229) *
        ('Individual data from NASA'!$D:$D=3),
        'Individual data from NASA'!Q:Q
    )
)</f>
        <v>0.72449999999999992</v>
      </c>
      <c r="V229" cm="1">
        <f t="array" ref="V229">AVERAGE(
    IF(
        ('Individual data from NASA'!$B:$B=$B229) *
        ('Individual data from NASA'!$C:$C=$G229) *
        ('Individual data from NASA'!$K:$K=$O229) *
        ('Individual data from NASA'!$D:$D=3),
        'Individual data from NASA'!R:R
    )
)</f>
        <v>0.27549999999999997</v>
      </c>
      <c r="W229" cm="1">
        <f t="array" ref="W229">AVERAGE(
    IF(
        ('Individual data from NASA'!$B:$B=$B229) *
        ('Individual data from NASA'!$C:$C=$G229) *
        ('Individual data from NASA'!$K:$K=$O229) *
        ('Individual data from NASA'!$D:$D=3),
        'Individual data from NASA'!S:S
    )
)</f>
        <v>2.3886771104999998</v>
      </c>
      <c r="X229" cm="1">
        <f t="array" ref="X229">AVERAGE(
    IF(
        ('Individual data from NASA'!$B:$B=$B229) *
        ('Individual data from NASA'!$C:$C=$G229) *
        ('Individual data from NASA'!$K:$K=$O229) *
        ('Individual data from NASA'!$D:$D=3),
        'Individual data from NASA'!T:T
    )
)</f>
        <v>0.88351888950000002</v>
      </c>
      <c r="Y229" cm="1">
        <f t="array" ref="Y229">AVERAGE(
    IF(
        ('Individual data from NASA'!$B:$B=$B229) *
        ('Individual data from NASA'!$C:$C=$G229) *
        ('Individual data from NASA'!$K:$K=$O229) *
        ('Individual data from NASA'!$D:$D=3),
        'Individual data from NASA'!U:U
    )
)</f>
        <v>18.593649999999997</v>
      </c>
      <c r="Z229" cm="1">
        <f t="array" ref="Z229">AVERAGE(
    IF(
        ('Individual data from NASA'!$B:$B=$B229) *
        ('Individual data from NASA'!$C:$C=$G229) *
        ('Individual data from NASA'!$K:$K=$O229) *
        ('Individual data from NASA'!$D:$D=3),
        'Individual data from NASA'!V:V
    )
)</f>
        <v>110.67505</v>
      </c>
      <c r="AD229" t="str">
        <f t="shared" si="21"/>
        <v>Moore (2015)|AAFEX-II|Ground|CFM56-2C1|30|Eg no 3 Mid power</v>
      </c>
      <c r="AE229" s="13" cm="1">
        <f t="array" ref="AE229">I229 / _xlfn.XLOOKUP($AD229 &amp; "|" &amp; $H229, $AD:$AD &amp; "|" &amp; $G:$G, I:I)</f>
        <v>6.4220183486238522E-2</v>
      </c>
      <c r="AF229" s="13" cm="1">
        <f t="array" ref="AF229">J229 / _xlfn.XLOOKUP($AD229 &amp; "|" &amp; $H229, $AD:$AD &amp; "|" &amp; $G:$G, J:J)</f>
        <v>0</v>
      </c>
      <c r="AG229" s="13" cm="1">
        <f t="array" ref="AG229">K229 / _xlfn.XLOOKUP($AD229 &amp; "|" &amp; $H229, $AD:$AD &amp; "|" &amp; $G:$G, K:K)</f>
        <v>2.1276595744680851E-2</v>
      </c>
      <c r="AH229" s="13" cm="1">
        <f t="array" ref="AH229">L229 / _xlfn.XLOOKUP($AD229 &amp; "|" &amp; $H229, $AD:$AD &amp; "|" &amp; $G:$G, L:L)</f>
        <v>1.1111111111111112</v>
      </c>
      <c r="AI229" s="13" cm="1">
        <f t="array" ref="AI229">M229 / _xlfn.XLOOKUP($AD229 &amp; "|" &amp; $H229, $AD:$AD &amp; "|" &amp; $G:$G, M:M)</f>
        <v>0.98492409101136991</v>
      </c>
      <c r="AJ229" s="13" cm="1">
        <f t="array" ref="AJ229">N229 / _xlfn.XLOOKUP($AD229 &amp; "|" &amp; $H229, $AD:$AD &amp; "|" &amp; $G:$G, N:N)</f>
        <v>0.98492409101136991</v>
      </c>
      <c r="AK229" s="13" cm="1">
        <f t="array" ref="AK229">O229 / _xlfn.XLOOKUP($AD229 &amp; "|" &amp; $H229, $AD:$AD &amp; "|" &amp; $G:$G, O:O)</f>
        <v>1</v>
      </c>
      <c r="AL229" s="13" cm="1">
        <f t="array" ref="AL229">P229 / _xlfn.XLOOKUP($AD229 &amp; "|" &amp; $H229, $AD:$AD &amp; "|" &amp; $G:$G, P:P)</f>
        <v>1</v>
      </c>
      <c r="AM229" s="13" cm="1">
        <f t="array" ref="AM229">Q229 / _xlfn.XLOOKUP($AD229 &amp; "|" &amp; $H229, $AD:$AD &amp; "|" &amp; $G:$G, Q:Q)</f>
        <v>0.28505481823427581</v>
      </c>
      <c r="AN229" s="13" cm="1">
        <f t="array" ref="AN229">R229 / _xlfn.XLOOKUP($AD229 &amp; "|" &amp; $H229, $AD:$AD &amp; "|" &amp; $G:$G, R:R)</f>
        <v>0.1238725012189176</v>
      </c>
      <c r="AO229" s="13" cm="1">
        <f t="array" ref="AO229">S229 / _xlfn.XLOOKUP($AD229 &amp; "|" &amp; $H229, $AD:$AD &amp; "|" &amp; $G:$G, S:S)</f>
        <v>0.15165995975855132</v>
      </c>
      <c r="AP229" s="13" cm="1">
        <f t="array" ref="AP229">T229 / _xlfn.XLOOKUP($AD229 &amp; "|" &amp; $H229, $AD:$AD &amp; "|" &amp; $G:$G, T:T)</f>
        <v>0.268699075345601</v>
      </c>
      <c r="AQ229" s="13" cm="1">
        <f t="array" ref="AQ229">U229 / _xlfn.XLOOKUP($AD229 &amp; "|" &amp; $H229, $AD:$AD &amp; "|" &amp; $G:$G, U:U)</f>
        <v>0.90698547821732578</v>
      </c>
      <c r="AR229" s="13" cm="1">
        <f t="array" ref="AR229">V229 / _xlfn.XLOOKUP($AD229 &amp; "|" &amp; $H229, $AD:$AD &amp; "|" &amp; $G:$G, V:V)</f>
        <v>1.3692842942345924</v>
      </c>
      <c r="AS229" s="13" cm="1">
        <f t="array" ref="AS229">W229 / _xlfn.XLOOKUP($AD229 &amp; "|" &amp; $H229, $AD:$AD &amp; "|" &amp; $G:$G, W:W)</f>
        <v>0.20971636513276998</v>
      </c>
      <c r="AT229" s="13" cm="1">
        <f t="array" ref="AT229">X229 / _xlfn.XLOOKUP($AD229 &amp; "|" &amp; $H229, $AD:$AD &amp; "|" &amp; $G:$G, X:X)</f>
        <v>0.28030570762593465</v>
      </c>
      <c r="AU229" s="13" cm="1">
        <f t="array" ref="AU229">Y229 / _xlfn.XLOOKUP($AD229 &amp; "|" &amp; $H229, $AD:$AD &amp; "|" &amp; $G:$G, Y:Y)</f>
        <v>1.3123194062338108</v>
      </c>
      <c r="AV229" s="13" cm="1">
        <f t="array" ref="AV229">Z229 / _xlfn.XLOOKUP($AD229 &amp; "|" &amp; $H229, $AD:$AD &amp; "|" &amp; $G:$G, Z:Z)</f>
        <v>1.9667131178595063</v>
      </c>
      <c r="AW229" s="13" cm="1">
        <f t="array" ref="AW229">_xlfn.XLOOKUP($AD229 &amp; "|" &amp; $H229, $AD:$AD &amp; "|" &amp; $G:$G, L:L)</f>
        <v>13.5</v>
      </c>
      <c r="AY229" s="13"/>
      <c r="AZ229" t="s">
        <v>232</v>
      </c>
    </row>
    <row r="230" spans="1:52" x14ac:dyDescent="0.2">
      <c r="A230" t="s">
        <v>32</v>
      </c>
      <c r="B230" t="s">
        <v>3</v>
      </c>
      <c r="C230" t="s">
        <v>110</v>
      </c>
      <c r="D230" t="s">
        <v>112</v>
      </c>
      <c r="E230">
        <v>30</v>
      </c>
      <c r="F230" t="s">
        <v>217</v>
      </c>
      <c r="G230" t="s">
        <v>17</v>
      </c>
      <c r="H230" t="s">
        <v>8</v>
      </c>
      <c r="I230">
        <v>1.4</v>
      </c>
      <c r="J230">
        <v>0</v>
      </c>
      <c r="K230">
        <v>4</v>
      </c>
      <c r="L230">
        <v>15</v>
      </c>
      <c r="M230">
        <v>287.14999999999998</v>
      </c>
      <c r="N230">
        <v>287.14999999999998</v>
      </c>
      <c r="O230">
        <v>85</v>
      </c>
      <c r="P230">
        <v>3041.9999999999995</v>
      </c>
      <c r="Q230" cm="1">
        <f t="array" ref="Q230">AVERAGE(
    IF(
        ('Individual data from NASA'!$B:$B=$B230) *
        ('Individual data from NASA'!$C:$C=$G230) *
        ('Individual data from NASA'!$K:$K=$O230) *
        ('Individual data from NASA'!$D:$D=3),
        'Individual data from NASA'!M:M
    )
)</f>
        <v>240000000000000</v>
      </c>
      <c r="R230" cm="1">
        <f t="array" ref="R230">AVERAGE(
    IF(
        ('Individual data from NASA'!$B:$B=$B230) *
        ('Individual data from NASA'!$C:$C=$G230) *
        ('Individual data from NASA'!$K:$K=$O230) *
        ('Individual data from NASA'!$D:$D=3),
        'Individual data from NASA'!N:N
    )
)</f>
        <v>234000000000000</v>
      </c>
      <c r="S230" cm="1">
        <f t="array" ref="S230">AVERAGE(
    IF(
        ('Individual data from NASA'!$B:$B=$B230) *
        ('Individual data from NASA'!$C:$C=$G230) *
        ('Individual data from NASA'!$K:$K=$O230) *
        ('Individual data from NASA'!$D:$D=3),
        'Individual data from NASA'!O:O
    )
)</f>
        <v>474000000000000</v>
      </c>
      <c r="T230" cm="1">
        <f t="array" ref="T230">AVERAGE(
    IF(
        ('Individual data from NASA'!$B:$B=$B230) *
        ('Individual data from NASA'!$C:$C=$G230) *
        ('Individual data from NASA'!$K:$K=$O230) *
        ('Individual data from NASA'!$D:$D=3),
        'Individual data from NASA'!P:P
    )
)</f>
        <v>17.25</v>
      </c>
      <c r="U230" cm="1">
        <f t="array" ref="U230">AVERAGE(
    IF(
        ('Individual data from NASA'!$B:$B=$B230) *
        ('Individual data from NASA'!$C:$C=$G230) *
        ('Individual data from NASA'!$K:$K=$O230) *
        ('Individual data from NASA'!$D:$D=3),
        'Individual data from NASA'!Q:Q
    )
)</f>
        <v>0.74213850650000002</v>
      </c>
      <c r="V230" cm="1">
        <f t="array" ref="V230">AVERAGE(
    IF(
        ('Individual data from NASA'!$B:$B=$B230) *
        ('Individual data from NASA'!$C:$C=$G230) *
        ('Individual data from NASA'!$K:$K=$O230) *
        ('Individual data from NASA'!$D:$D=3),
        'Individual data from NASA'!R:R
    )
)</f>
        <v>0.25786149349999998</v>
      </c>
      <c r="W230" cm="1">
        <f t="array" ref="W230">AVERAGE(
    IF(
        ('Individual data from NASA'!$B:$B=$B230) *
        ('Individual data from NASA'!$C:$C=$G230) *
        ('Individual data from NASA'!$K:$K=$O230) *
        ('Individual data from NASA'!$D:$D=3),
        'Individual data from NASA'!S:S
    )
)</f>
        <v>4.9009699644999998</v>
      </c>
      <c r="X230" cm="1">
        <f t="array" ref="X230">AVERAGE(
    IF(
        ('Individual data from NASA'!$B:$B=$B230) *
        ('Individual data from NASA'!$C:$C=$G230) *
        ('Individual data from NASA'!$K:$K=$O230) *
        ('Individual data from NASA'!$D:$D=3),
        'Individual data from NASA'!T:T
    )
)</f>
        <v>1.7052940355000001</v>
      </c>
      <c r="Y230" cm="1">
        <f t="array" ref="Y230">AVERAGE(
    IF(
        ('Individual data from NASA'!$B:$B=$B230) *
        ('Individual data from NASA'!$C:$C=$G230) *
        ('Individual data from NASA'!$K:$K=$O230) *
        ('Individual data from NASA'!$D:$D=3),
        'Individual data from NASA'!U:U
    )
)</f>
        <v>23.478999999999999</v>
      </c>
      <c r="Z230" cm="1">
        <f t="array" ref="Z230">AVERAGE(
    IF(
        ('Individual data from NASA'!$B:$B=$B230) *
        ('Individual data from NASA'!$C:$C=$G230) *
        ('Individual data from NASA'!$K:$K=$O230) *
        ('Individual data from NASA'!$D:$D=3),
        'Individual data from NASA'!V:V
    )
)</f>
        <v>72.875500000000002</v>
      </c>
      <c r="AD230" t="str">
        <f t="shared" si="21"/>
        <v>Moore (2015)|AAFEX-II|Ground|CFM56-2C1|30|Eg no 3 Climb</v>
      </c>
      <c r="AE230" s="13" cm="1">
        <f t="array" ref="AE230">I230 / _xlfn.XLOOKUP($AD230 &amp; "|" &amp; $H230, $AD:$AD &amp; "|" &amp; $G:$G, I:I)</f>
        <v>6.4220183486238522E-2</v>
      </c>
      <c r="AF230" s="13" cm="1">
        <f t="array" ref="AF230">J230 / _xlfn.XLOOKUP($AD230 &amp; "|" &amp; $H230, $AD:$AD &amp; "|" &amp; $G:$G, J:J)</f>
        <v>0</v>
      </c>
      <c r="AG230" s="13" cm="1">
        <f t="array" ref="AG230">K230 / _xlfn.XLOOKUP($AD230 &amp; "|" &amp; $H230, $AD:$AD &amp; "|" &amp; $G:$G, K:K)</f>
        <v>2.1276595744680851E-2</v>
      </c>
      <c r="AH230" s="13" cm="1">
        <f t="array" ref="AH230">L230 / _xlfn.XLOOKUP($AD230 &amp; "|" &amp; $H230, $AD:$AD &amp; "|" &amp; $G:$G, L:L)</f>
        <v>1.1111111111111112</v>
      </c>
      <c r="AI230" s="13" cm="1">
        <f t="array" ref="AI230">M230 / _xlfn.XLOOKUP($AD230 &amp; "|" &amp; $H230, $AD:$AD &amp; "|" &amp; $G:$G, M:M)</f>
        <v>0.98522017973317144</v>
      </c>
      <c r="AJ230" s="13" cm="1">
        <f t="array" ref="AJ230">N230 / _xlfn.XLOOKUP($AD230 &amp; "|" &amp; $H230, $AD:$AD &amp; "|" &amp; $G:$G, N:N)</f>
        <v>0.98522017973317144</v>
      </c>
      <c r="AK230" s="13" cm="1">
        <f t="array" ref="AK230">O230 / _xlfn.XLOOKUP($AD230 &amp; "|" &amp; $H230, $AD:$AD &amp; "|" &amp; $G:$G, O:O)</f>
        <v>1</v>
      </c>
      <c r="AL230" s="13" cm="1">
        <f t="array" ref="AL230">P230 / _xlfn.XLOOKUP($AD230 &amp; "|" &amp; $H230, $AD:$AD &amp; "|" &amp; $G:$G, P:P)</f>
        <v>1</v>
      </c>
      <c r="AM230" s="13" cm="1">
        <f t="array" ref="AM230">Q230 / _xlfn.XLOOKUP($AD230 &amp; "|" &amp; $H230, $AD:$AD &amp; "|" &amp; $G:$G, Q:Q)</f>
        <v>0.4287245444801715</v>
      </c>
      <c r="AN230" s="13" cm="1">
        <f t="array" ref="AN230">R230 / _xlfn.XLOOKUP($AD230 &amp; "|" &amp; $H230, $AD:$AD &amp; "|" &amp; $G:$G, R:R)</f>
        <v>0.2735562310030395</v>
      </c>
      <c r="AO230" s="13" cm="1">
        <f t="array" ref="AO230">S230 / _xlfn.XLOOKUP($AD230 &amp; "|" &amp; $H230, $AD:$AD &amp; "|" &amp; $G:$G, S:S)</f>
        <v>0.33521923620933519</v>
      </c>
      <c r="AP230" s="13" cm="1">
        <f t="array" ref="AP230">T230 / _xlfn.XLOOKUP($AD230 &amp; "|" &amp; $H230, $AD:$AD &amp; "|" &amp; $G:$G, T:T)</f>
        <v>0.22602201257861634</v>
      </c>
      <c r="AQ230" s="13" cm="1">
        <f t="array" ref="AQ230">U230 / _xlfn.XLOOKUP($AD230 &amp; "|" &amp; $H230, $AD:$AD &amp; "|" &amp; $G:$G, U:U)</f>
        <v>0.92618048606631276</v>
      </c>
      <c r="AR230" s="13" cm="1">
        <f t="array" ref="AR230">V230 / _xlfn.XLOOKUP($AD230 &amp; "|" &amp; $H230, $AD:$AD &amp; "|" &amp; $G:$G, V:V)</f>
        <v>1.2976728676272629</v>
      </c>
      <c r="AS230" s="13" cm="1">
        <f t="array" ref="AS230">W230 / _xlfn.XLOOKUP($AD230 &amp; "|" &amp; $H230, $AD:$AD &amp; "|" &amp; $G:$G, W:W)</f>
        <v>0.24722495460885949</v>
      </c>
      <c r="AT230" s="13" cm="1">
        <f t="array" ref="AT230">X230 / _xlfn.XLOOKUP($AD230 &amp; "|" &amp; $H230, $AD:$AD &amp; "|" &amp; $G:$G, X:X)</f>
        <v>0.3100043714695912</v>
      </c>
      <c r="AU230" s="13" cm="1">
        <f t="array" ref="AU230">Y230 / _xlfn.XLOOKUP($AD230 &amp; "|" &amp; $H230, $AD:$AD &amp; "|" &amp; $G:$G, Y:Y)</f>
        <v>0.91834156407895562</v>
      </c>
      <c r="AV230" s="13" cm="1">
        <f t="array" ref="AV230">Z230 / _xlfn.XLOOKUP($AD230 &amp; "|" &amp; $H230, $AD:$AD &amp; "|" &amp; $G:$G, Z:Z)</f>
        <v>0.97061368202287956</v>
      </c>
      <c r="AW230" s="13" cm="1">
        <f t="array" ref="AW230">_xlfn.XLOOKUP($AD230 &amp; "|" &amp; $H230, $AD:$AD &amp; "|" &amp; $G:$G, L:L)</f>
        <v>13.5</v>
      </c>
      <c r="AY230" s="13"/>
      <c r="AZ230" t="s">
        <v>232</v>
      </c>
    </row>
    <row r="231" spans="1:52" x14ac:dyDescent="0.2">
      <c r="A231" t="s">
        <v>32</v>
      </c>
      <c r="B231" t="s">
        <v>3</v>
      </c>
      <c r="C231" t="s">
        <v>110</v>
      </c>
      <c r="D231" t="s">
        <v>112</v>
      </c>
      <c r="E231">
        <v>30</v>
      </c>
      <c r="F231" t="s">
        <v>212</v>
      </c>
      <c r="G231" t="s">
        <v>17</v>
      </c>
      <c r="H231" t="s">
        <v>8</v>
      </c>
      <c r="I231">
        <v>1.4</v>
      </c>
      <c r="J231">
        <v>0</v>
      </c>
      <c r="K231">
        <v>4</v>
      </c>
      <c r="L231">
        <v>15</v>
      </c>
      <c r="M231">
        <v>286.45</v>
      </c>
      <c r="N231">
        <v>286.45</v>
      </c>
      <c r="O231">
        <v>100</v>
      </c>
      <c r="P231">
        <v>3218.4</v>
      </c>
      <c r="Q231" cm="1">
        <f t="array" ref="Q231">AVERAGE(
    IF(
        ('Individual data from NASA'!$B:$B=$B231) *
        ('Individual data from NASA'!$C:$C=$G231) *
        ('Individual data from NASA'!$K:$K=$O231) *
        ('Individual data from NASA'!$D:$D=3),
        'Individual data from NASA'!M:M
    )
)</f>
        <v>314000000000000</v>
      </c>
      <c r="R231" cm="1">
        <f t="array" ref="R231">AVERAGE(
    IF(
        ('Individual data from NASA'!$B:$B=$B231) *
        ('Individual data from NASA'!$C:$C=$G231) *
        ('Individual data from NASA'!$K:$K=$O231) *
        ('Individual data from NASA'!$D:$D=3),
        'Individual data from NASA'!N:N
    )
)</f>
        <v>346000000000000</v>
      </c>
      <c r="S231" cm="1">
        <f t="array" ref="S231">AVERAGE(
    IF(
        ('Individual data from NASA'!$B:$B=$B231) *
        ('Individual data from NASA'!$C:$C=$G231) *
        ('Individual data from NASA'!$K:$K=$O231) *
        ('Individual data from NASA'!$D:$D=3),
        'Individual data from NASA'!O:O
    )
)</f>
        <v>660000000000000</v>
      </c>
      <c r="T231" cm="1">
        <f t="array" ref="T231">AVERAGE(
    IF(
        ('Individual data from NASA'!$B:$B=$B231) *
        ('Individual data from NASA'!$C:$C=$G231) *
        ('Individual data from NASA'!$K:$K=$O231) *
        ('Individual data from NASA'!$D:$D=3),
        'Individual data from NASA'!P:P
    )
)</f>
        <v>32.700000000000003</v>
      </c>
      <c r="U231" cm="1">
        <f t="array" ref="U231">AVERAGE(
    IF(
        ('Individual data from NASA'!$B:$B=$B231) *
        ('Individual data from NASA'!$C:$C=$G231) *
        ('Individual data from NASA'!$K:$K=$O231) *
        ('Individual data from NASA'!$D:$D=3),
        'Individual data from NASA'!Q:Q
    )
)</f>
        <v>0.77900000000000003</v>
      </c>
      <c r="V231" cm="1">
        <f t="array" ref="V231">AVERAGE(
    IF(
        ('Individual data from NASA'!$B:$B=$B231) *
        ('Individual data from NASA'!$C:$C=$G231) *
        ('Individual data from NASA'!$K:$K=$O231) *
        ('Individual data from NASA'!$D:$D=3),
        'Individual data from NASA'!R:R
    )
)</f>
        <v>0.221</v>
      </c>
      <c r="W231" cm="1">
        <f t="array" ref="W231">AVERAGE(
    IF(
        ('Individual data from NASA'!$B:$B=$B231) *
        ('Individual data from NASA'!$C:$C=$G231) *
        ('Individual data from NASA'!$K:$K=$O231) *
        ('Individual data from NASA'!$D:$D=3),
        'Individual data from NASA'!S:S
    )
)</f>
        <v>7.7503348970000001</v>
      </c>
      <c r="X231" cm="1">
        <f t="array" ref="X231">AVERAGE(
    IF(
        ('Individual data from NASA'!$B:$B=$B231) *
        ('Individual data from NASA'!$C:$C=$G231) *
        ('Individual data from NASA'!$K:$K=$O231) *
        ('Individual data from NASA'!$D:$D=3),
        'Individual data from NASA'!T:T
    )
)</f>
        <v>2.1947851030000001</v>
      </c>
      <c r="Y231" cm="1">
        <f t="array" ref="Y231">AVERAGE(
    IF(
        ('Individual data from NASA'!$B:$B=$B231) *
        ('Individual data from NASA'!$C:$C=$G231) *
        ('Individual data from NASA'!$K:$K=$O231) *
        ('Individual data from NASA'!$D:$D=3),
        'Individual data from NASA'!U:U
    )
)</f>
        <v>25.617899999999999</v>
      </c>
      <c r="Z231" cm="1">
        <f t="array" ref="Z231">AVERAGE(
    IF(
        ('Individual data from NASA'!$B:$B=$B231) *
        ('Individual data from NASA'!$C:$C=$G231) *
        ('Individual data from NASA'!$K:$K=$O231) *
        ('Individual data from NASA'!$D:$D=3),
        'Individual data from NASA'!V:V
    )
)</f>
        <v>70.797499999999999</v>
      </c>
      <c r="AD231" t="str">
        <f t="shared" si="21"/>
        <v>Moore (2015)|AAFEX-II|Ground|CFM56-2C1|30|Eg no 3 Take-off</v>
      </c>
      <c r="AE231" s="13" cm="1">
        <f t="array" ref="AE231">I231 / _xlfn.XLOOKUP($AD231 &amp; "|" &amp; $H231, $AD:$AD &amp; "|" &amp; $G:$G, I:I)</f>
        <v>6.4220183486238522E-2</v>
      </c>
      <c r="AF231" s="13" cm="1">
        <f t="array" ref="AF231">J231 / _xlfn.XLOOKUP($AD231 &amp; "|" &amp; $H231, $AD:$AD &amp; "|" &amp; $G:$G, J:J)</f>
        <v>0</v>
      </c>
      <c r="AG231" s="13" cm="1">
        <f t="array" ref="AG231">K231 / _xlfn.XLOOKUP($AD231 &amp; "|" &amp; $H231, $AD:$AD &amp; "|" &amp; $G:$G, K:K)</f>
        <v>2.1276595744680851E-2</v>
      </c>
      <c r="AH231" s="13" cm="1">
        <f t="array" ref="AH231">L231 / _xlfn.XLOOKUP($AD231 &amp; "|" &amp; $H231, $AD:$AD &amp; "|" &amp; $G:$G, L:L)</f>
        <v>1.1111111111111112</v>
      </c>
      <c r="AI231" s="13" cm="1">
        <f t="array" ref="AI231">M231 / _xlfn.XLOOKUP($AD231 &amp; "|" &amp; $H231, $AD:$AD &amp; "|" &amp; $G:$G, M:M)</f>
        <v>0.97096209253714483</v>
      </c>
      <c r="AJ231" s="13" cm="1">
        <f t="array" ref="AJ231">N231 / _xlfn.XLOOKUP($AD231 &amp; "|" &amp; $H231, $AD:$AD &amp; "|" &amp; $G:$G, N:N)</f>
        <v>0.97096209253714483</v>
      </c>
      <c r="AK231" s="13" cm="1">
        <f t="array" ref="AK231">O231 / _xlfn.XLOOKUP($AD231 &amp; "|" &amp; $H231, $AD:$AD &amp; "|" &amp; $G:$G, O:O)</f>
        <v>1</v>
      </c>
      <c r="AL231" s="13" cm="1">
        <f t="array" ref="AL231">P231 / _xlfn.XLOOKUP($AD231 &amp; "|" &amp; $H231, $AD:$AD &amp; "|" &amp; $G:$G, P:P)</f>
        <v>1</v>
      </c>
      <c r="AM231" s="13" cm="1">
        <f t="array" ref="AM231">Q231 / _xlfn.XLOOKUP($AD231 &amp; "|" &amp; $H231, $AD:$AD &amp; "|" &amp; $G:$G, Q:Q)</f>
        <v>0.45951219512195118</v>
      </c>
      <c r="AN231" s="13" cm="1">
        <f t="array" ref="AN231">R231 / _xlfn.XLOOKUP($AD231 &amp; "|" &amp; $H231, $AD:$AD &amp; "|" &amp; $G:$G, R:R)</f>
        <v>0.39347990902198632</v>
      </c>
      <c r="AO231" s="13" cm="1">
        <f t="array" ref="AO231">S231 / _xlfn.XLOOKUP($AD231 &amp; "|" &amp; $H231, $AD:$AD &amp; "|" &amp; $G:$G, S:S)</f>
        <v>0.42217484008528788</v>
      </c>
      <c r="AP231" s="13" cm="1">
        <f t="array" ref="AP231">T231 / _xlfn.XLOOKUP($AD231 &amp; "|" &amp; $H231, $AD:$AD &amp; "|" &amp; $G:$G, T:T)</f>
        <v>0.24898477157360407</v>
      </c>
      <c r="AQ231" s="13" cm="1">
        <f t="array" ref="AQ231">U231 / _xlfn.XLOOKUP($AD231 &amp; "|" &amp; $H231, $AD:$AD &amp; "|" &amp; $G:$G, U:U)</f>
        <v>0.93855421686746987</v>
      </c>
      <c r="AR231" s="13" cm="1">
        <f t="array" ref="AR231">V231 / _xlfn.XLOOKUP($AD231 &amp; "|" &amp; $H231, $AD:$AD &amp; "|" &amp; $G:$G, V:V)</f>
        <v>1.2999999999999998</v>
      </c>
      <c r="AS231" s="13" cm="1">
        <f t="array" ref="AS231">W231 / _xlfn.XLOOKUP($AD231 &amp; "|" &amp; $H231, $AD:$AD &amp; "|" &amp; $G:$G, W:W)</f>
        <v>0.19686803411332215</v>
      </c>
      <c r="AT231" s="13" cm="1">
        <f t="array" ref="AT231">X231 / _xlfn.XLOOKUP($AD231 &amp; "|" &amp; $H231, $AD:$AD &amp; "|" &amp; $G:$G, X:X)</f>
        <v>0.23589372644387852</v>
      </c>
      <c r="AU231" s="13" cm="1">
        <f t="array" ref="AU231">Y231 / _xlfn.XLOOKUP($AD231 &amp; "|" &amp; $H231, $AD:$AD &amp; "|" &amp; $G:$G, Y:Y)</f>
        <v>0.84545943585213468</v>
      </c>
      <c r="AV231" s="13" cm="1">
        <f t="array" ref="AV231">Z231 / _xlfn.XLOOKUP($AD231 &amp; "|" &amp; $H231, $AD:$AD &amp; "|" &amp; $G:$G, Z:Z)</f>
        <v>0.81116398121424527</v>
      </c>
      <c r="AW231" s="13" cm="1">
        <f t="array" ref="AW231">_xlfn.XLOOKUP($AD231 &amp; "|" &amp; $H231, $AD:$AD &amp; "|" &amp; $G:$G, L:L)</f>
        <v>13.5</v>
      </c>
      <c r="AY231" s="13"/>
      <c r="AZ231" t="s">
        <v>232</v>
      </c>
    </row>
    <row r="232" spans="1:52" x14ac:dyDescent="0.2">
      <c r="A232" t="s">
        <v>32</v>
      </c>
      <c r="B232" t="s">
        <v>3</v>
      </c>
      <c r="C232" t="s">
        <v>110</v>
      </c>
      <c r="D232" t="s">
        <v>112</v>
      </c>
      <c r="E232">
        <v>30</v>
      </c>
      <c r="F232" t="s">
        <v>213</v>
      </c>
      <c r="G232" t="s">
        <v>16</v>
      </c>
      <c r="H232" t="s">
        <v>8</v>
      </c>
      <c r="I232">
        <v>2.1</v>
      </c>
      <c r="J232">
        <v>0</v>
      </c>
      <c r="K232">
        <v>1083</v>
      </c>
      <c r="L232">
        <v>15</v>
      </c>
      <c r="M232">
        <v>286.45</v>
      </c>
      <c r="N232">
        <v>286.45</v>
      </c>
      <c r="O232">
        <v>4</v>
      </c>
      <c r="P232">
        <v>457.2</v>
      </c>
      <c r="Q232" t="e" cm="1">
        <f t="array" ref="Q232">AVERAGE(
    IF(
        ('Individual data from NASA'!$B:$B=$B232) *
        ('Individual data from NASA'!$C:$C=$G232) *
        ('Individual data from NASA'!$K:$K=$O232) *
        ('Individual data from NASA'!$D:$D=3),
        'Individual data from NASA'!M:M
    )
)</f>
        <v>#DIV/0!</v>
      </c>
      <c r="R232" t="e" cm="1">
        <f t="array" ref="R232">AVERAGE(
    IF(
        ('Individual data from NASA'!$B:$B=$B232) *
        ('Individual data from NASA'!$C:$C=$G232) *
        ('Individual data from NASA'!$K:$K=$O232) *
        ('Individual data from NASA'!$D:$D=3),
        'Individual data from NASA'!N:N
    )
)</f>
        <v>#DIV/0!</v>
      </c>
      <c r="S232" t="e" cm="1">
        <f t="array" ref="S232">AVERAGE(
    IF(
        ('Individual data from NASA'!$B:$B=$B232) *
        ('Individual data from NASA'!$C:$C=$G232) *
        ('Individual data from NASA'!$K:$K=$O232) *
        ('Individual data from NASA'!$D:$D=3),
        'Individual data from NASA'!O:O
    )
)</f>
        <v>#DIV/0!</v>
      </c>
      <c r="T232" t="e" cm="1">
        <f t="array" ref="T232">AVERAGE(
    IF(
        ('Individual data from NASA'!$B:$B=$B232) *
        ('Individual data from NASA'!$C:$C=$G232) *
        ('Individual data from NASA'!$K:$K=$O232) *
        ('Individual data from NASA'!$D:$D=3),
        'Individual data from NASA'!P:P
    )
)</f>
        <v>#DIV/0!</v>
      </c>
      <c r="U232" t="e" cm="1">
        <f t="array" ref="U232">AVERAGE(
    IF(
        ('Individual data from NASA'!$B:$B=$B232) *
        ('Individual data from NASA'!$C:$C=$G232) *
        ('Individual data from NASA'!$K:$K=$O232) *
        ('Individual data from NASA'!$D:$D=3),
        'Individual data from NASA'!Q:Q
    )
)</f>
        <v>#DIV/0!</v>
      </c>
      <c r="V232" t="e" cm="1">
        <f t="array" ref="V232">AVERAGE(
    IF(
        ('Individual data from NASA'!$B:$B=$B232) *
        ('Individual data from NASA'!$C:$C=$G232) *
        ('Individual data from NASA'!$K:$K=$O232) *
        ('Individual data from NASA'!$D:$D=3),
        'Individual data from NASA'!R:R
    )
)</f>
        <v>#DIV/0!</v>
      </c>
      <c r="W232" t="e" cm="1">
        <f t="array" ref="W232">AVERAGE(
    IF(
        ('Individual data from NASA'!$B:$B=$B232) *
        ('Individual data from NASA'!$C:$C=$G232) *
        ('Individual data from NASA'!$K:$K=$O232) *
        ('Individual data from NASA'!$D:$D=3),
        'Individual data from NASA'!S:S
    )
)</f>
        <v>#DIV/0!</v>
      </c>
      <c r="X232" t="e" cm="1">
        <f t="array" ref="X232">AVERAGE(
    IF(
        ('Individual data from NASA'!$B:$B=$B232) *
        ('Individual data from NASA'!$C:$C=$G232) *
        ('Individual data from NASA'!$K:$K=$O232) *
        ('Individual data from NASA'!$D:$D=3),
        'Individual data from NASA'!T:T
    )
)</f>
        <v>#DIV/0!</v>
      </c>
      <c r="Y232" t="e" cm="1">
        <f t="array" ref="Y232">AVERAGE(
    IF(
        ('Individual data from NASA'!$B:$B=$B232) *
        ('Individual data from NASA'!$C:$C=$G232) *
        ('Individual data from NASA'!$K:$K=$O232) *
        ('Individual data from NASA'!$D:$D=3),
        'Individual data from NASA'!U:U
    )
)</f>
        <v>#DIV/0!</v>
      </c>
      <c r="Z232" t="e" cm="1">
        <f t="array" ref="Z232">AVERAGE(
    IF(
        ('Individual data from NASA'!$B:$B=$B232) *
        ('Individual data from NASA'!$C:$C=$G232) *
        ('Individual data from NASA'!$K:$K=$O232) *
        ('Individual data from NASA'!$D:$D=3),
        'Individual data from NASA'!V:V
    )
)</f>
        <v>#DIV/0!</v>
      </c>
      <c r="AD232" t="str">
        <f t="shared" si="21"/>
        <v>Moore (2015)|AAFEX-II|Ground|CFM56-2C1|30|Eg no 3 Idle (min)</v>
      </c>
      <c r="AE232" s="13" cm="1">
        <f t="array" ref="AE232">I232 / _xlfn.XLOOKUP($AD232 &amp; "|" &amp; $H232, $AD:$AD &amp; "|" &amp; $G:$G, I:I)</f>
        <v>9.6330275229357804E-2</v>
      </c>
      <c r="AF232" s="13" cm="1">
        <f t="array" ref="AF232">J232 / _xlfn.XLOOKUP($AD232 &amp; "|" &amp; $H232, $AD:$AD &amp; "|" &amp; $G:$G, J:J)</f>
        <v>0</v>
      </c>
      <c r="AG232" s="13" cm="1">
        <f t="array" ref="AG232">K232 / _xlfn.XLOOKUP($AD232 &amp; "|" &amp; $H232, $AD:$AD &amp; "|" &amp; $G:$G, K:K)</f>
        <v>5.7606382978723403</v>
      </c>
      <c r="AH232" s="13" cm="1">
        <f t="array" ref="AH232">L232 / _xlfn.XLOOKUP($AD232 &amp; "|" &amp; $H232, $AD:$AD &amp; "|" &amp; $G:$G, L:L)</f>
        <v>1.1111111111111112</v>
      </c>
      <c r="AI232" s="13" cm="1">
        <f t="array" ref="AI232">M232 / _xlfn.XLOOKUP($AD232 &amp; "|" &amp; $H232, $AD:$AD &amp; "|" &amp; $G:$G, M:M)</f>
        <v>0.98997753585622961</v>
      </c>
      <c r="AJ232" s="13" cm="1">
        <f t="array" ref="AJ232">N232 / _xlfn.XLOOKUP($AD232 &amp; "|" &amp; $H232, $AD:$AD &amp; "|" &amp; $G:$G, N:N)</f>
        <v>0.98997753585622961</v>
      </c>
      <c r="AK232" s="13" cm="1">
        <f t="array" ref="AK232">O232 / _xlfn.XLOOKUP($AD232 &amp; "|" &amp; $H232, $AD:$AD &amp; "|" &amp; $G:$G, O:O)</f>
        <v>1</v>
      </c>
      <c r="AL232" s="13" cm="1">
        <f t="array" ref="AL232">P232 / _xlfn.XLOOKUP($AD232 &amp; "|" &amp; $H232, $AD:$AD &amp; "|" &amp; $G:$G, P:P)</f>
        <v>1</v>
      </c>
      <c r="AM232" s="13" t="e" cm="1">
        <f t="array" ref="AM232">Q232 / _xlfn.XLOOKUP($AD232 &amp; "|" &amp; $H232, $AD:$AD &amp; "|" &amp; $G:$G, Q:Q)</f>
        <v>#DIV/0!</v>
      </c>
      <c r="AN232" s="13" t="e" cm="1">
        <f t="array" ref="AN232">R232 / _xlfn.XLOOKUP($AD232 &amp; "|" &amp; $H232, $AD:$AD &amp; "|" &amp; $G:$G, R:R)</f>
        <v>#DIV/0!</v>
      </c>
      <c r="AO232" s="13" t="e" cm="1">
        <f t="array" ref="AO232">S232 / _xlfn.XLOOKUP($AD232 &amp; "|" &amp; $H232, $AD:$AD &amp; "|" &amp; $G:$G, S:S)</f>
        <v>#DIV/0!</v>
      </c>
      <c r="AP232" s="13" t="e" cm="1">
        <f t="array" ref="AP232">T232 / _xlfn.XLOOKUP($AD232 &amp; "|" &amp; $H232, $AD:$AD &amp; "|" &amp; $G:$G, T:T)</f>
        <v>#DIV/0!</v>
      </c>
      <c r="AQ232" s="13" t="e" cm="1">
        <f t="array" ref="AQ232">U232 / _xlfn.XLOOKUP($AD232 &amp; "|" &amp; $H232, $AD:$AD &amp; "|" &amp; $G:$G, U:U)</f>
        <v>#DIV/0!</v>
      </c>
      <c r="AR232" s="13" t="e" cm="1">
        <f t="array" ref="AR232">V232 / _xlfn.XLOOKUP($AD232 &amp; "|" &amp; $H232, $AD:$AD &amp; "|" &amp; $G:$G, V:V)</f>
        <v>#DIV/0!</v>
      </c>
      <c r="AS232" s="13" t="e" cm="1">
        <f t="array" ref="AS232">W232 / _xlfn.XLOOKUP($AD232 &amp; "|" &amp; $H232, $AD:$AD &amp; "|" &amp; $G:$G, W:W)</f>
        <v>#DIV/0!</v>
      </c>
      <c r="AT232" s="13" t="e" cm="1">
        <f t="array" ref="AT232">X232 / _xlfn.XLOOKUP($AD232 &amp; "|" &amp; $H232, $AD:$AD &amp; "|" &amp; $G:$G, X:X)</f>
        <v>#DIV/0!</v>
      </c>
      <c r="AU232" s="13" t="e" cm="1">
        <f t="array" ref="AU232">Y232 / _xlfn.XLOOKUP($AD232 &amp; "|" &amp; $H232, $AD:$AD &amp; "|" &amp; $G:$G, Y:Y)</f>
        <v>#DIV/0!</v>
      </c>
      <c r="AV232" s="13" t="e" cm="1">
        <f t="array" ref="AV232">Z232 / _xlfn.XLOOKUP($AD232 &amp; "|" &amp; $H232, $AD:$AD &amp; "|" &amp; $G:$G, Z:Z)</f>
        <v>#DIV/0!</v>
      </c>
      <c r="AW232" s="13" cm="1">
        <f t="array" ref="AW232">_xlfn.XLOOKUP($AD232 &amp; "|" &amp; $H232, $AD:$AD &amp; "|" &amp; $G:$G, L:L)</f>
        <v>13.5</v>
      </c>
      <c r="AY232" s="13"/>
      <c r="AZ232" t="s">
        <v>232</v>
      </c>
    </row>
    <row r="233" spans="1:52" x14ac:dyDescent="0.2">
      <c r="A233" t="s">
        <v>32</v>
      </c>
      <c r="B233" t="s">
        <v>3</v>
      </c>
      <c r="C233" t="s">
        <v>110</v>
      </c>
      <c r="D233" t="s">
        <v>112</v>
      </c>
      <c r="E233">
        <v>30</v>
      </c>
      <c r="F233" t="s">
        <v>214</v>
      </c>
      <c r="G233" t="s">
        <v>16</v>
      </c>
      <c r="H233" t="s">
        <v>8</v>
      </c>
      <c r="I233">
        <v>2.1</v>
      </c>
      <c r="J233">
        <v>0</v>
      </c>
      <c r="K233">
        <v>1083</v>
      </c>
      <c r="L233">
        <v>15</v>
      </c>
      <c r="M233">
        <v>287.01666666666665</v>
      </c>
      <c r="N233">
        <v>287.01666666666665</v>
      </c>
      <c r="O233">
        <v>7</v>
      </c>
      <c r="P233">
        <v>561.096</v>
      </c>
      <c r="Q233" cm="1">
        <f t="array" ref="Q233">AVERAGE(
    IF(
        ('Individual data from NASA'!$B:$B=$B233) *
        ('Individual data from NASA'!$C:$C=$G233) *
        ('Individual data from NASA'!$K:$K=$O233) *
        ('Individual data from NASA'!$D:$D=3),
        'Individual data from NASA'!M:M
    )
)</f>
        <v>304333333333333.31</v>
      </c>
      <c r="R233" cm="1">
        <f t="array" ref="R233">AVERAGE(
    IF(
        ('Individual data from NASA'!$B:$B=$B233) *
        ('Individual data from NASA'!$C:$C=$G233) *
        ('Individual data from NASA'!$K:$K=$O233) *
        ('Individual data from NASA'!$D:$D=3),
        'Individual data from NASA'!N:N
    )
)</f>
        <v>2.02E+16</v>
      </c>
      <c r="S233" cm="1">
        <f t="array" ref="S233">AVERAGE(
    IF(
        ('Individual data from NASA'!$B:$B=$B233) *
        ('Individual data from NASA'!$C:$C=$G233) *
        ('Individual data from NASA'!$K:$K=$O233) *
        ('Individual data from NASA'!$D:$D=3),
        'Individual data from NASA'!O:O
    )
)</f>
        <v>2.05E+16</v>
      </c>
      <c r="T233" cm="1">
        <f t="array" ref="T233">AVERAGE(
    IF(
        ('Individual data from NASA'!$B:$B=$B233) *
        ('Individual data from NASA'!$C:$C=$G233) *
        ('Individual data from NASA'!$K:$K=$O233) *
        ('Individual data from NASA'!$D:$D=3),
        'Individual data from NASA'!P:P
    )
)</f>
        <v>8.3633333333333333</v>
      </c>
      <c r="U233" cm="1">
        <f t="array" ref="U233">AVERAGE(
    IF(
        ('Individual data from NASA'!$B:$B=$B233) *
        ('Individual data from NASA'!$C:$C=$G233) *
        ('Individual data from NASA'!$K:$K=$O233) *
        ('Individual data from NASA'!$D:$D=3),
        'Individual data from NASA'!Q:Q
    )
)</f>
        <v>0.8613333333333334</v>
      </c>
      <c r="V233" cm="1">
        <f t="array" ref="V233">AVERAGE(
    IF(
        ('Individual data from NASA'!$B:$B=$B233) *
        ('Individual data from NASA'!$C:$C=$G233) *
        ('Individual data from NASA'!$K:$K=$O233) *
        ('Individual data from NASA'!$D:$D=3),
        'Individual data from NASA'!R:R
    )
)</f>
        <v>0.13866666666666669</v>
      </c>
      <c r="W233" cm="1">
        <f t="array" ref="W233">AVERAGE(
    IF(
        ('Individual data from NASA'!$B:$B=$B233) *
        ('Individual data from NASA'!$C:$C=$G233) *
        ('Individual data from NASA'!$K:$K=$O233) *
        ('Individual data from NASA'!$D:$D=3),
        'Individual data from NASA'!S:S
    )
)</f>
        <v>36.036477243333337</v>
      </c>
      <c r="X233" cm="1">
        <f t="array" ref="X233">AVERAGE(
    IF(
        ('Individual data from NASA'!$B:$B=$B233) *
        ('Individual data from NASA'!$C:$C=$G233) *
        ('Individual data from NASA'!$K:$K=$O233) *
        ('Individual data from NASA'!$D:$D=3),
        'Individual data from NASA'!T:T
    )
)</f>
        <v>5.8074827576666666</v>
      </c>
      <c r="Y233" cm="1">
        <f t="array" ref="Y233">AVERAGE(
    IF(
        ('Individual data from NASA'!$B:$B=$B233) *
        ('Individual data from NASA'!$C:$C=$G233) *
        ('Individual data from NASA'!$K:$K=$O233) *
        ('Individual data from NASA'!$D:$D=3),
        'Individual data from NASA'!U:U
    )
)</f>
        <v>13.173933333333332</v>
      </c>
      <c r="Z233" cm="1">
        <f t="array" ref="Z233">AVERAGE(
    IF(
        ('Individual data from NASA'!$B:$B=$B233) *
        ('Individual data from NASA'!$C:$C=$G233) *
        ('Individual data from NASA'!$K:$K=$O233) *
        ('Individual data from NASA'!$D:$D=3),
        'Individual data from NASA'!V:V
    )
)</f>
        <v>22.343033333333334</v>
      </c>
      <c r="AD233" t="str">
        <f t="shared" si="21"/>
        <v>Moore (2015)|AAFEX-II|Ground|CFM56-2C1|30|Eg no 3 Idle (approach)</v>
      </c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Y233" s="13"/>
      <c r="AZ233" t="s">
        <v>232</v>
      </c>
    </row>
    <row r="234" spans="1:52" x14ac:dyDescent="0.2">
      <c r="A234" t="s">
        <v>32</v>
      </c>
      <c r="B234" t="s">
        <v>3</v>
      </c>
      <c r="C234" t="s">
        <v>110</v>
      </c>
      <c r="D234" t="s">
        <v>112</v>
      </c>
      <c r="E234">
        <v>30</v>
      </c>
      <c r="F234" t="s">
        <v>215</v>
      </c>
      <c r="G234" t="s">
        <v>16</v>
      </c>
      <c r="H234" t="s">
        <v>8</v>
      </c>
      <c r="I234">
        <v>2.1</v>
      </c>
      <c r="J234">
        <v>0</v>
      </c>
      <c r="K234">
        <v>1083</v>
      </c>
      <c r="L234">
        <v>15</v>
      </c>
      <c r="M234">
        <v>287.04999999999995</v>
      </c>
      <c r="N234">
        <v>287.04999999999995</v>
      </c>
      <c r="O234">
        <v>30</v>
      </c>
      <c r="P234">
        <v>1231.2000000000003</v>
      </c>
      <c r="Q234" cm="1">
        <f t="array" ref="Q234">AVERAGE(
    IF(
        ('Individual data from NASA'!$B:$B=$B234) *
        ('Individual data from NASA'!$C:$C=$G234) *
        ('Individual data from NASA'!$K:$K=$O234) *
        ('Individual data from NASA'!$D:$D=3),
        'Individual data from NASA'!M:M
    )
)</f>
        <v>64050000000000</v>
      </c>
      <c r="R234" cm="1">
        <f t="array" ref="R234">AVERAGE(
    IF(
        ('Individual data from NASA'!$B:$B=$B234) *
        ('Individual data from NASA'!$C:$C=$G234) *
        ('Individual data from NASA'!$K:$K=$O234) *
        ('Individual data from NASA'!$D:$D=3),
        'Individual data from NASA'!N:N
    )
)</f>
        <v>1.555E+16</v>
      </c>
      <c r="S234" cm="1">
        <f t="array" ref="S234">AVERAGE(
    IF(
        ('Individual data from NASA'!$B:$B=$B234) *
        ('Individual data from NASA'!$C:$C=$G234) *
        ('Individual data from NASA'!$K:$K=$O234) *
        ('Individual data from NASA'!$D:$D=3),
        'Individual data from NASA'!O:O
    )
)</f>
        <v>1.56E+16</v>
      </c>
      <c r="T234" cm="1">
        <f t="array" ref="T234">AVERAGE(
    IF(
        ('Individual data from NASA'!$B:$B=$B234) *
        ('Individual data from NASA'!$C:$C=$G234) *
        ('Individual data from NASA'!$K:$K=$O234) *
        ('Individual data from NASA'!$D:$D=3),
        'Individual data from NASA'!P:P
    )
)</f>
        <v>5.4035000000000002</v>
      </c>
      <c r="U234" cm="1">
        <f t="array" ref="U234">AVERAGE(
    IF(
        ('Individual data from NASA'!$B:$B=$B234) *
        ('Individual data from NASA'!$C:$C=$G234) *
        ('Individual data from NASA'!$K:$K=$O234) *
        ('Individual data from NASA'!$D:$D=3),
        'Individual data from NASA'!Q:Q
    )
)</f>
        <v>0.78400000000000003</v>
      </c>
      <c r="V234" cm="1">
        <f t="array" ref="V234">AVERAGE(
    IF(
        ('Individual data from NASA'!$B:$B=$B234) *
        ('Individual data from NASA'!$C:$C=$G234) *
        ('Individual data from NASA'!$K:$K=$O234) *
        ('Individual data from NASA'!$D:$D=3),
        'Individual data from NASA'!R:R
    )
)</f>
        <v>0.216</v>
      </c>
      <c r="W234" cm="1">
        <f t="array" ref="W234">AVERAGE(
    IF(
        ('Individual data from NASA'!$B:$B=$B234) *
        ('Individual data from NASA'!$C:$C=$G234) *
        ('Individual data from NASA'!$K:$K=$O234) *
        ('Individual data from NASA'!$D:$D=3),
        'Individual data from NASA'!S:S
    )
)</f>
        <v>45.468815495000001</v>
      </c>
      <c r="X234" cm="1">
        <f t="array" ref="X234">AVERAGE(
    IF(
        ('Individual data from NASA'!$B:$B=$B234) *
        ('Individual data from NASA'!$C:$C=$G234) *
        ('Individual data from NASA'!$K:$K=$O234) *
        ('Individual data from NASA'!$D:$D=3),
        'Individual data from NASA'!T:T
    )
)</f>
        <v>12.348043104999999</v>
      </c>
      <c r="Y234" cm="1">
        <f t="array" ref="Y234">AVERAGE(
    IF(
        ('Individual data from NASA'!$B:$B=$B234) *
        ('Individual data from NASA'!$C:$C=$G234) *
        ('Individual data from NASA'!$K:$K=$O234) *
        ('Individual data from NASA'!$D:$D=3),
        'Individual data from NASA'!U:U
    )
)</f>
        <v>13.766449999999999</v>
      </c>
      <c r="Z234" cm="1">
        <f t="array" ref="Z234">AVERAGE(
    IF(
        ('Individual data from NASA'!$B:$B=$B234) *
        ('Individual data from NASA'!$C:$C=$G234) *
        ('Individual data from NASA'!$K:$K=$O234) *
        ('Individual data from NASA'!$D:$D=3),
        'Individual data from NASA'!V:V
    )
)</f>
        <v>21.20825</v>
      </c>
      <c r="AD234" t="str">
        <f t="shared" si="21"/>
        <v>Moore (2015)|AAFEX-II|Ground|CFM56-2C1|30|Eg no 3 Intermediate</v>
      </c>
      <c r="AE234" s="13" cm="1">
        <f t="array" ref="AE234">I234 / _xlfn.XLOOKUP($AD234 &amp; "|" &amp; $H234, $AD:$AD &amp; "|" &amp; $G:$G, I:I)</f>
        <v>9.6330275229357804E-2</v>
      </c>
      <c r="AF234" s="13" cm="1">
        <f t="array" ref="AF234">J234 / _xlfn.XLOOKUP($AD234 &amp; "|" &amp; $H234, $AD:$AD &amp; "|" &amp; $G:$G, J:J)</f>
        <v>0</v>
      </c>
      <c r="AG234" s="13" cm="1">
        <f t="array" ref="AG234">K234 / _xlfn.XLOOKUP($AD234 &amp; "|" &amp; $H234, $AD:$AD &amp; "|" &amp; $G:$G, K:K)</f>
        <v>5.7606382978723403</v>
      </c>
      <c r="AH234" s="13" cm="1">
        <f t="array" ref="AH234">L234 / _xlfn.XLOOKUP($AD234 &amp; "|" &amp; $H234, $AD:$AD &amp; "|" &amp; $G:$G, L:L)</f>
        <v>1.1111111111111112</v>
      </c>
      <c r="AI234" s="13" cm="1">
        <f t="array" ref="AI234">M234 / _xlfn.XLOOKUP($AD234 &amp; "|" &amp; $H234, $AD:$AD &amp; "|" &amp; $G:$G, M:M)</f>
        <v>0.98397463364469961</v>
      </c>
      <c r="AJ234" s="13" cm="1">
        <f t="array" ref="AJ234">N234 / _xlfn.XLOOKUP($AD234 &amp; "|" &amp; $H234, $AD:$AD &amp; "|" &amp; $G:$G, N:N)</f>
        <v>0.98397463364469961</v>
      </c>
      <c r="AK234" s="13" cm="1">
        <f t="array" ref="AK234">O234 / _xlfn.XLOOKUP($AD234 &amp; "|" &amp; $H234, $AD:$AD &amp; "|" &amp; $G:$G, O:O)</f>
        <v>1</v>
      </c>
      <c r="AL234" s="13" cm="1">
        <f t="array" ref="AL234">P234 / _xlfn.XLOOKUP($AD234 &amp; "|" &amp; $H234, $AD:$AD &amp; "|" &amp; $G:$G, P:P)</f>
        <v>1</v>
      </c>
      <c r="AM234" s="13" cm="1">
        <f t="array" ref="AM234">Q234 / _xlfn.XLOOKUP($AD234 &amp; "|" &amp; $H234, $AD:$AD &amp; "|" &amp; $G:$G, Q:Q)</f>
        <v>0.22793594306049822</v>
      </c>
      <c r="AN234" s="13" cm="1">
        <f t="array" ref="AN234">R234 / _xlfn.XLOOKUP($AD234 &amp; "|" &amp; $H234, $AD:$AD &amp; "|" &amp; $G:$G, R:R)</f>
        <v>5.7549962990377495</v>
      </c>
      <c r="AO234" s="13" cm="1">
        <f t="array" ref="AO234">S234 / _xlfn.XLOOKUP($AD234 &amp; "|" &amp; $H234, $AD:$AD &amp; "|" &amp; $G:$G, S:S)</f>
        <v>5.2313883299798789</v>
      </c>
      <c r="AP234" s="13" cm="1">
        <f t="array" ref="AP234">T234 / _xlfn.XLOOKUP($AD234 &amp; "|" &amp; $H234, $AD:$AD &amp; "|" &amp; $G:$G, T:T)</f>
        <v>0.7805593274203334</v>
      </c>
      <c r="AQ234" s="13" cm="1">
        <f t="array" ref="AQ234">U234 / _xlfn.XLOOKUP($AD234 &amp; "|" &amp; $H234, $AD:$AD &amp; "|" &amp; $G:$G, U:U)</f>
        <v>1.013705715024567</v>
      </c>
      <c r="AR234" s="13" cm="1">
        <f t="array" ref="AR234">V234 / _xlfn.XLOOKUP($AD234 &amp; "|" &amp; $H234, $AD:$AD &amp; "|" &amp; $G:$G, V:V)</f>
        <v>0.95322153574580759</v>
      </c>
      <c r="AS234" s="13" cm="1">
        <f t="array" ref="AS234">W234 / _xlfn.XLOOKUP($AD234 &amp; "|" &amp; $H234, $AD:$AD &amp; "|" &amp; $G:$G, W:W)</f>
        <v>7.9249439736440612</v>
      </c>
      <c r="AT234" s="13" cm="1">
        <f t="array" ref="AT234">X234 / _xlfn.XLOOKUP($AD234 &amp; "|" &amp; $H234, $AD:$AD &amp; "|" &amp; $G:$G, X:X)</f>
        <v>6.1678091162009387</v>
      </c>
      <c r="AU234" s="13" cm="1">
        <f t="array" ref="AU234">Y234 / _xlfn.XLOOKUP($AD234 &amp; "|" &amp; $H234, $AD:$AD &amp; "|" &amp; $G:$G, Y:Y)</f>
        <v>1.2486440056888271</v>
      </c>
      <c r="AV234" s="13" cm="1">
        <f t="array" ref="AV234">Z234 / _xlfn.XLOOKUP($AD234 &amp; "|" &amp; $H234, $AD:$AD &amp; "|" &amp; $G:$G, Z:Z)</f>
        <v>0.48450440316285709</v>
      </c>
      <c r="AW234" s="13" cm="1">
        <f t="array" ref="AW234">_xlfn.XLOOKUP($AD234 &amp; "|" &amp; $H234, $AD:$AD &amp; "|" &amp; $G:$G, L:L)</f>
        <v>13.5</v>
      </c>
      <c r="AY234" s="13"/>
      <c r="AZ234" t="s">
        <v>232</v>
      </c>
    </row>
    <row r="235" spans="1:52" x14ac:dyDescent="0.2">
      <c r="A235" t="s">
        <v>32</v>
      </c>
      <c r="B235" t="s">
        <v>3</v>
      </c>
      <c r="C235" t="s">
        <v>110</v>
      </c>
      <c r="D235" t="s">
        <v>112</v>
      </c>
      <c r="E235">
        <v>30</v>
      </c>
      <c r="F235" t="s">
        <v>216</v>
      </c>
      <c r="G235" t="s">
        <v>16</v>
      </c>
      <c r="H235" t="s">
        <v>8</v>
      </c>
      <c r="I235">
        <v>2.1</v>
      </c>
      <c r="J235">
        <v>0</v>
      </c>
      <c r="K235">
        <v>1083</v>
      </c>
      <c r="L235">
        <v>15</v>
      </c>
      <c r="M235">
        <v>287.29999999999995</v>
      </c>
      <c r="N235">
        <v>287.29999999999995</v>
      </c>
      <c r="O235">
        <v>65</v>
      </c>
      <c r="P235">
        <v>2167.1999999999998</v>
      </c>
      <c r="Q235" cm="1">
        <f t="array" ref="Q235">AVERAGE(
    IF(
        ('Individual data from NASA'!$B:$B=$B235) *
        ('Individual data from NASA'!$C:$C=$G235) *
        ('Individual data from NASA'!$K:$K=$O235) *
        ('Individual data from NASA'!$D:$D=3),
        'Individual data from NASA'!M:M
    )
)</f>
        <v>127000000000000</v>
      </c>
      <c r="R235" cm="1">
        <f t="array" ref="R235">AVERAGE(
    IF(
        ('Individual data from NASA'!$B:$B=$B235) *
        ('Individual data from NASA'!$C:$C=$G235) *
        ('Individual data from NASA'!$K:$K=$O235) *
        ('Individual data from NASA'!$D:$D=3),
        'Individual data from NASA'!N:N
    )
)</f>
        <v>1.255E+16</v>
      </c>
      <c r="S235" cm="1">
        <f t="array" ref="S235">AVERAGE(
    IF(
        ('Individual data from NASA'!$B:$B=$B235) *
        ('Individual data from NASA'!$C:$C=$G235) *
        ('Individual data from NASA'!$K:$K=$O235) *
        ('Individual data from NASA'!$D:$D=3),
        'Individual data from NASA'!O:O
    )
)</f>
        <v>1.265E+16</v>
      </c>
      <c r="T235" cm="1">
        <f t="array" ref="T235">AVERAGE(
    IF(
        ('Individual data from NASA'!$B:$B=$B235) *
        ('Individual data from NASA'!$C:$C=$G235) *
        ('Individual data from NASA'!$K:$K=$O235) *
        ('Individual data from NASA'!$D:$D=3),
        'Individual data from NASA'!P:P
    )
)</f>
        <v>6.4649999999999999</v>
      </c>
      <c r="U235" cm="1">
        <f t="array" ref="U235">AVERAGE(
    IF(
        ('Individual data from NASA'!$B:$B=$B235) *
        ('Individual data from NASA'!$C:$C=$G235) *
        ('Individual data from NASA'!$K:$K=$O235) *
        ('Individual data from NASA'!$D:$D=3),
        'Individual data from NASA'!Q:Q
    )
)</f>
        <v>0.73049999999999993</v>
      </c>
      <c r="V235" cm="1">
        <f t="array" ref="V235">AVERAGE(
    IF(
        ('Individual data from NASA'!$B:$B=$B235) *
        ('Individual data from NASA'!$C:$C=$G235) *
        ('Individual data from NASA'!$K:$K=$O235) *
        ('Individual data from NASA'!$D:$D=3),
        'Individual data from NASA'!R:R
    )
)</f>
        <v>0.26949999999999996</v>
      </c>
      <c r="W235" cm="1">
        <f t="array" ref="W235">AVERAGE(
    IF(
        ('Individual data from NASA'!$B:$B=$B235) *
        ('Individual data from NASA'!$C:$C=$G235) *
        ('Individual data from NASA'!$K:$K=$O235) *
        ('Individual data from NASA'!$D:$D=3),
        'Individual data from NASA'!S:S
    )
)</f>
        <v>62.390438204999995</v>
      </c>
      <c r="X235" cm="1">
        <f t="array" ref="X235">AVERAGE(
    IF(
        ('Individual data from NASA'!$B:$B=$B235) *
        ('Individual data from NASA'!$C:$C=$G235) *
        ('Individual data from NASA'!$K:$K=$O235) *
        ('Individual data from NASA'!$D:$D=3),
        'Individual data from NASA'!T:T
    )
)</f>
        <v>22.640589795</v>
      </c>
      <c r="Y235" cm="1">
        <f t="array" ref="Y235">AVERAGE(
    IF(
        ('Individual data from NASA'!$B:$B=$B235) *
        ('Individual data from NASA'!$C:$C=$G235) *
        ('Individual data from NASA'!$K:$K=$O235) *
        ('Individual data from NASA'!$D:$D=3),
        'Individual data from NASA'!U:U
    )
)</f>
        <v>15.579599999999999</v>
      </c>
      <c r="Z235" cm="1">
        <f t="array" ref="Z235">AVERAGE(
    IF(
        ('Individual data from NASA'!$B:$B=$B235) *
        ('Individual data from NASA'!$C:$C=$G235) *
        ('Individual data from NASA'!$K:$K=$O235) *
        ('Individual data from NASA'!$D:$D=3),
        'Individual data from NASA'!V:V
    )
)</f>
        <v>21.960049999999999</v>
      </c>
      <c r="AD235" t="str">
        <f t="shared" si="21"/>
        <v>Moore (2015)|AAFEX-II|Ground|CFM56-2C1|30|Eg no 3 Mid power</v>
      </c>
      <c r="AE235" s="13" cm="1">
        <f t="array" ref="AE235">I235 / _xlfn.XLOOKUP($AD235 &amp; "|" &amp; $H235, $AD:$AD &amp; "|" &amp; $G:$G, I:I)</f>
        <v>9.6330275229357804E-2</v>
      </c>
      <c r="AF235" s="13" cm="1">
        <f t="array" ref="AF235">J235 / _xlfn.XLOOKUP($AD235 &amp; "|" &amp; $H235, $AD:$AD &amp; "|" &amp; $G:$G, J:J)</f>
        <v>0</v>
      </c>
      <c r="AG235" s="13" cm="1">
        <f t="array" ref="AG235">K235 / _xlfn.XLOOKUP($AD235 &amp; "|" &amp; $H235, $AD:$AD &amp; "|" &amp; $G:$G, K:K)</f>
        <v>5.7606382978723403</v>
      </c>
      <c r="AH235" s="13" cm="1">
        <f t="array" ref="AH235">L235 / _xlfn.XLOOKUP($AD235 &amp; "|" &amp; $H235, $AD:$AD &amp; "|" &amp; $G:$G, L:L)</f>
        <v>1.1111111111111112</v>
      </c>
      <c r="AI235" s="13" cm="1">
        <f t="array" ref="AI235">M235 / _xlfn.XLOOKUP($AD235 &amp; "|" &amp; $H235, $AD:$AD &amp; "|" &amp; $G:$G, M:M)</f>
        <v>0.98870961337374752</v>
      </c>
      <c r="AJ235" s="13" cm="1">
        <f t="array" ref="AJ235">N235 / _xlfn.XLOOKUP($AD235 &amp; "|" &amp; $H235, $AD:$AD &amp; "|" &amp; $G:$G, N:N)</f>
        <v>0.98870961337374752</v>
      </c>
      <c r="AK235" s="13" cm="1">
        <f t="array" ref="AK235">O235 / _xlfn.XLOOKUP($AD235 &amp; "|" &amp; $H235, $AD:$AD &amp; "|" &amp; $G:$G, O:O)</f>
        <v>1</v>
      </c>
      <c r="AL235" s="13" cm="1">
        <f t="array" ref="AL235">P235 / _xlfn.XLOOKUP($AD235 &amp; "|" &amp; $H235, $AD:$AD &amp; "|" &amp; $G:$G, P:P)</f>
        <v>1</v>
      </c>
      <c r="AM235" s="13" cm="1">
        <f t="array" ref="AM235">Q235 / _xlfn.XLOOKUP($AD235 &amp; "|" &amp; $H235, $AD:$AD &amp; "|" &amp; $G:$G, Q:Q)</f>
        <v>0.36641661858049623</v>
      </c>
      <c r="AN235" s="13" cm="1">
        <f t="array" ref="AN235">R235 / _xlfn.XLOOKUP($AD235 &amp; "|" &amp; $H235, $AD:$AD &amp; "|" &amp; $G:$G, R:R)</f>
        <v>7.6487079473427597</v>
      </c>
      <c r="AO235" s="13" cm="1">
        <f t="array" ref="AO235">S235 / _xlfn.XLOOKUP($AD235 &amp; "|" &amp; $H235, $AD:$AD &amp; "|" &amp; $G:$G, S:S)</f>
        <v>6.3631790744466805</v>
      </c>
      <c r="AP235" s="13" cm="1">
        <f t="array" ref="AP235">T235 / _xlfn.XLOOKUP($AD235 &amp; "|" &amp; $H235, $AD:$AD &amp; "|" &amp; $G:$G, T:T)</f>
        <v>0.29593518264213126</v>
      </c>
      <c r="AQ235" s="13" cm="1">
        <f t="array" ref="AQ235">U235 / _xlfn.XLOOKUP($AD235 &amp; "|" &amp; $H235, $AD:$AD &amp; "|" &amp; $G:$G, U:U)</f>
        <v>0.91449674511767631</v>
      </c>
      <c r="AR235" s="13" cm="1">
        <f t="array" ref="AR235">V235 / _xlfn.XLOOKUP($AD235 &amp; "|" &amp; $H235, $AD:$AD &amp; "|" &amp; $G:$G, V:V)</f>
        <v>1.3394632206759443</v>
      </c>
      <c r="AS235" s="13" cm="1">
        <f t="array" ref="AS235">W235 / _xlfn.XLOOKUP($AD235 &amp; "|" &amp; $H235, $AD:$AD &amp; "|" &amp; $G:$G, W:W)</f>
        <v>5.4776327289603763</v>
      </c>
      <c r="AT235" s="13" cm="1">
        <f t="array" ref="AT235">X235 / _xlfn.XLOOKUP($AD235 &amp; "|" &amp; $H235, $AD:$AD &amp; "|" &amp; $G:$G, X:X)</f>
        <v>7.1829664526442363</v>
      </c>
      <c r="AU235" s="13" cm="1">
        <f t="array" ref="AU235">Y235 / _xlfn.XLOOKUP($AD235 &amp; "|" &amp; $H235, $AD:$AD &amp; "|" &amp; $G:$G, Y:Y)</f>
        <v>1.0995910658402348</v>
      </c>
      <c r="AV235" s="13" cm="1">
        <f t="array" ref="AV235">Z235 / _xlfn.XLOOKUP($AD235 &amp; "|" &amp; $H235, $AD:$AD &amp; "|" &amp; $G:$G, Z:Z)</f>
        <v>0.3902335567397589</v>
      </c>
      <c r="AW235" s="13" cm="1">
        <f t="array" ref="AW235">_xlfn.XLOOKUP($AD235 &amp; "|" &amp; $H235, $AD:$AD &amp; "|" &amp; $G:$G, L:L)</f>
        <v>13.5</v>
      </c>
      <c r="AY235" s="13"/>
      <c r="AZ235" t="s">
        <v>232</v>
      </c>
    </row>
    <row r="236" spans="1:52" x14ac:dyDescent="0.2">
      <c r="A236" t="s">
        <v>32</v>
      </c>
      <c r="B236" t="s">
        <v>3</v>
      </c>
      <c r="C236" t="s">
        <v>110</v>
      </c>
      <c r="D236" t="s">
        <v>112</v>
      </c>
      <c r="E236">
        <v>30</v>
      </c>
      <c r="F236" t="s">
        <v>217</v>
      </c>
      <c r="G236" t="s">
        <v>16</v>
      </c>
      <c r="H236" t="s">
        <v>8</v>
      </c>
      <c r="I236">
        <v>2.1</v>
      </c>
      <c r="J236">
        <v>0</v>
      </c>
      <c r="K236">
        <v>1083</v>
      </c>
      <c r="L236">
        <v>15</v>
      </c>
      <c r="M236">
        <v>288.14999999999998</v>
      </c>
      <c r="N236">
        <v>288.14999999999998</v>
      </c>
      <c r="O236">
        <v>85</v>
      </c>
      <c r="P236">
        <v>3041.9999999999995</v>
      </c>
      <c r="Q236" cm="1">
        <f t="array" ref="Q236">AVERAGE(
    IF(
        ('Individual data from NASA'!$B:$B=$B236) *
        ('Individual data from NASA'!$C:$C=$G236) *
        ('Individual data from NASA'!$K:$K=$O236) *
        ('Individual data from NASA'!$D:$D=3),
        'Individual data from NASA'!M:M
    )
)</f>
        <v>253000000000000</v>
      </c>
      <c r="R236" cm="1">
        <f t="array" ref="R236">AVERAGE(
    IF(
        ('Individual data from NASA'!$B:$B=$B236) *
        ('Individual data from NASA'!$C:$C=$G236) *
        ('Individual data from NASA'!$K:$K=$O236) *
        ('Individual data from NASA'!$D:$D=3),
        'Individual data from NASA'!N:N
    )
)</f>
        <v>1.019E+16</v>
      </c>
      <c r="S236" cm="1">
        <f t="array" ref="S236">AVERAGE(
    IF(
        ('Individual data from NASA'!$B:$B=$B236) *
        ('Individual data from NASA'!$C:$C=$G236) *
        ('Individual data from NASA'!$K:$K=$O236) *
        ('Individual data from NASA'!$D:$D=3),
        'Individual data from NASA'!O:O
    )
)</f>
        <v>1.04E+16</v>
      </c>
      <c r="T236" cm="1">
        <f t="array" ref="T236">AVERAGE(
    IF(
        ('Individual data from NASA'!$B:$B=$B236) *
        ('Individual data from NASA'!$C:$C=$G236) *
        ('Individual data from NASA'!$K:$K=$O236) *
        ('Individual data from NASA'!$D:$D=3),
        'Individual data from NASA'!P:P
    )
)</f>
        <v>16.3</v>
      </c>
      <c r="U236" cm="1">
        <f t="array" ref="U236">AVERAGE(
    IF(
        ('Individual data from NASA'!$B:$B=$B236) *
        ('Individual data from NASA'!$C:$C=$G236) *
        ('Individual data from NASA'!$K:$K=$O236) *
        ('Individual data from NASA'!$D:$D=3),
        'Individual data from NASA'!Q:Q
    )
)</f>
        <v>0.70021851300000004</v>
      </c>
      <c r="V236" cm="1">
        <f t="array" ref="V236">AVERAGE(
    IF(
        ('Individual data from NASA'!$B:$B=$B236) *
        ('Individual data from NASA'!$C:$C=$G236) *
        ('Individual data from NASA'!$K:$K=$O236) *
        ('Individual data from NASA'!$D:$D=3),
        'Individual data from NASA'!R:R
    )
)</f>
        <v>0.29978148699999996</v>
      </c>
      <c r="W236" cm="1">
        <f t="array" ref="W236">AVERAGE(
    IF(
        ('Individual data from NASA'!$B:$B=$B236) *
        ('Individual data from NASA'!$C:$C=$G236) *
        ('Individual data from NASA'!$K:$K=$O236) *
        ('Individual data from NASA'!$D:$D=3),
        'Individual data from NASA'!S:S
    )
)</f>
        <v>40.746954389999999</v>
      </c>
      <c r="X236" cm="1">
        <f t="array" ref="X236">AVERAGE(
    IF(
        ('Individual data from NASA'!$B:$B=$B236) *
        ('Individual data from NASA'!$C:$C=$G236) *
        ('Individual data from NASA'!$K:$K=$O236) *
        ('Individual data from NASA'!$D:$D=3),
        'Individual data from NASA'!T:T
    )
)</f>
        <v>17.406707609999998</v>
      </c>
      <c r="Y236" cm="1">
        <f t="array" ref="Y236">AVERAGE(
    IF(
        ('Individual data from NASA'!$B:$B=$B236) *
        ('Individual data from NASA'!$C:$C=$G236) *
        ('Individual data from NASA'!$K:$K=$O236) *
        ('Individual data from NASA'!$D:$D=3),
        'Individual data from NASA'!U:U
    )
)</f>
        <v>14.592449999999999</v>
      </c>
      <c r="Z236" cm="1">
        <f t="array" ref="Z236">AVERAGE(
    IF(
        ('Individual data from NASA'!$B:$B=$B236) *
        ('Individual data from NASA'!$C:$C=$G236) *
        ('Individual data from NASA'!$K:$K=$O236) *
        ('Individual data from NASA'!$D:$D=3),
        'Individual data from NASA'!V:V
    )
)</f>
        <v>27.871949999999998</v>
      </c>
      <c r="AD236" t="str">
        <f t="shared" si="21"/>
        <v>Moore (2015)|AAFEX-II|Ground|CFM56-2C1|30|Eg no 3 Climb</v>
      </c>
      <c r="AE236" s="13" cm="1">
        <f t="array" ref="AE236">I236 / _xlfn.XLOOKUP($AD236 &amp; "|" &amp; $H236, $AD:$AD &amp; "|" &amp; $G:$G, I:I)</f>
        <v>9.6330275229357804E-2</v>
      </c>
      <c r="AF236" s="13" cm="1">
        <f t="array" ref="AF236">J236 / _xlfn.XLOOKUP($AD236 &amp; "|" &amp; $H236, $AD:$AD &amp; "|" &amp; $G:$G, J:J)</f>
        <v>0</v>
      </c>
      <c r="AG236" s="13" cm="1">
        <f t="array" ref="AG236">K236 / _xlfn.XLOOKUP($AD236 &amp; "|" &amp; $H236, $AD:$AD &amp; "|" &amp; $G:$G, K:K)</f>
        <v>5.7606382978723403</v>
      </c>
      <c r="AH236" s="13" cm="1">
        <f t="array" ref="AH236">L236 / _xlfn.XLOOKUP($AD236 &amp; "|" &amp; $H236, $AD:$AD &amp; "|" &amp; $G:$G, L:L)</f>
        <v>1.1111111111111112</v>
      </c>
      <c r="AI236" s="13" cm="1">
        <f t="array" ref="AI236">M236 / _xlfn.XLOOKUP($AD236 &amp; "|" &amp; $H236, $AD:$AD &amp; "|" &amp; $G:$G, M:M)</f>
        <v>0.98865120943797091</v>
      </c>
      <c r="AJ236" s="13" cm="1">
        <f t="array" ref="AJ236">N236 / _xlfn.XLOOKUP($AD236 &amp; "|" &amp; $H236, $AD:$AD &amp; "|" &amp; $G:$G, N:N)</f>
        <v>0.98865120943797091</v>
      </c>
      <c r="AK236" s="13" cm="1">
        <f t="array" ref="AK236">O236 / _xlfn.XLOOKUP($AD236 &amp; "|" &amp; $H236, $AD:$AD &amp; "|" &amp; $G:$G, O:O)</f>
        <v>1</v>
      </c>
      <c r="AL236" s="13" cm="1">
        <f t="array" ref="AL236">P236 / _xlfn.XLOOKUP($AD236 &amp; "|" &amp; $H236, $AD:$AD &amp; "|" &amp; $G:$G, P:P)</f>
        <v>1</v>
      </c>
      <c r="AM236" s="13" cm="1">
        <f t="array" ref="AM236">Q236 / _xlfn.XLOOKUP($AD236 &amp; "|" &amp; $H236, $AD:$AD &amp; "|" &amp; $G:$G, Q:Q)</f>
        <v>0.45194712397284742</v>
      </c>
      <c r="AN236" s="13" cm="1">
        <f t="array" ref="AN236">R236 / _xlfn.XLOOKUP($AD236 &amp; "|" &amp; $H236, $AD:$AD &amp; "|" &amp; $G:$G, R:R)</f>
        <v>11.912555529576807</v>
      </c>
      <c r="AO236" s="13" cm="1">
        <f t="array" ref="AO236">S236 / _xlfn.XLOOKUP($AD236 &amp; "|" &amp; $H236, $AD:$AD &amp; "|" &amp; $G:$G, S:S)</f>
        <v>7.355021216407355</v>
      </c>
      <c r="AP236" s="13" cm="1">
        <f t="array" ref="AP236">T236 / _xlfn.XLOOKUP($AD236 &amp; "|" &amp; $H236, $AD:$AD &amp; "|" &amp; $G:$G, T:T)</f>
        <v>0.21357442348008385</v>
      </c>
      <c r="AQ236" s="13" cm="1">
        <f t="array" ref="AQ236">U236 / _xlfn.XLOOKUP($AD236 &amp; "|" &amp; $H236, $AD:$AD &amp; "|" &amp; $G:$G, U:U)</f>
        <v>0.87386480696372648</v>
      </c>
      <c r="AR236" s="13" cm="1">
        <f t="array" ref="AR236">V236 / _xlfn.XLOOKUP($AD236 &amp; "|" &amp; $H236, $AD:$AD &amp; "|" &amp; $G:$G, V:V)</f>
        <v>1.5086327803994317</v>
      </c>
      <c r="AS236" s="13" cm="1">
        <f t="array" ref="AS236">W236 / _xlfn.XLOOKUP($AD236 &amp; "|" &amp; $H236, $AD:$AD &amp; "|" &amp; $G:$G, W:W)</f>
        <v>2.055442906707293</v>
      </c>
      <c r="AT236" s="13" cm="1">
        <f t="array" ref="AT236">X236 / _xlfn.XLOOKUP($AD236 &amp; "|" &amp; $H236, $AD:$AD &amp; "|" &amp; $G:$G, X:X)</f>
        <v>3.1643548500483796</v>
      </c>
      <c r="AU236" s="13" cm="1">
        <f t="array" ref="AU236">Y236 / _xlfn.XLOOKUP($AD236 &amp; "|" &amp; $H236, $AD:$AD &amp; "|" &amp; $G:$G, Y:Y)</f>
        <v>0.5707591190742346</v>
      </c>
      <c r="AV236" s="13" cm="1">
        <f t="array" ref="AV236">Z236 / _xlfn.XLOOKUP($AD236 &amp; "|" &amp; $H236, $AD:$AD &amp; "|" &amp; $G:$G, Z:Z)</f>
        <v>0.37122072595944589</v>
      </c>
      <c r="AW236" s="13" cm="1">
        <f t="array" ref="AW236">_xlfn.XLOOKUP($AD236 &amp; "|" &amp; $H236, $AD:$AD &amp; "|" &amp; $G:$G, L:L)</f>
        <v>13.5</v>
      </c>
      <c r="AY236" s="13"/>
      <c r="AZ236" t="s">
        <v>232</v>
      </c>
    </row>
    <row r="237" spans="1:52" x14ac:dyDescent="0.2">
      <c r="A237" t="s">
        <v>32</v>
      </c>
      <c r="B237" t="s">
        <v>3</v>
      </c>
      <c r="C237" t="s">
        <v>110</v>
      </c>
      <c r="D237" t="s">
        <v>112</v>
      </c>
      <c r="E237">
        <v>30</v>
      </c>
      <c r="F237" t="s">
        <v>212</v>
      </c>
      <c r="G237" t="s">
        <v>16</v>
      </c>
      <c r="H237" t="s">
        <v>8</v>
      </c>
      <c r="I237">
        <v>2.1</v>
      </c>
      <c r="J237">
        <v>0</v>
      </c>
      <c r="K237">
        <v>1083</v>
      </c>
      <c r="L237">
        <v>15</v>
      </c>
      <c r="M237">
        <v>287.04999999999995</v>
      </c>
      <c r="N237">
        <v>287.04999999999995</v>
      </c>
      <c r="O237">
        <v>100</v>
      </c>
      <c r="P237">
        <v>3218.4</v>
      </c>
      <c r="Q237" cm="1">
        <f t="array" ref="Q237">AVERAGE(
    IF(
        ('Individual data from NASA'!$B:$B=$B237) *
        ('Individual data from NASA'!$C:$C=$G237) *
        ('Individual data from NASA'!$K:$K=$O237) *
        ('Individual data from NASA'!$D:$D=3),
        'Individual data from NASA'!M:M
    )
)</f>
        <v>332000000000000</v>
      </c>
      <c r="R237" cm="1">
        <f t="array" ref="R237">AVERAGE(
    IF(
        ('Individual data from NASA'!$B:$B=$B237) *
        ('Individual data from NASA'!$C:$C=$G237) *
        ('Individual data from NASA'!$K:$K=$O237) *
        ('Individual data from NASA'!$D:$D=3),
        'Individual data from NASA'!N:N
    )
)</f>
        <v>9010000000000000</v>
      </c>
      <c r="S237" cm="1">
        <f t="array" ref="S237">AVERAGE(
    IF(
        ('Individual data from NASA'!$B:$B=$B237) *
        ('Individual data from NASA'!$C:$C=$G237) *
        ('Individual data from NASA'!$K:$K=$O237) *
        ('Individual data from NASA'!$D:$D=3),
        'Individual data from NASA'!O:O
    )
)</f>
        <v>9340000000000000</v>
      </c>
      <c r="T237" cm="1">
        <f t="array" ref="T237">AVERAGE(
    IF(
        ('Individual data from NASA'!$B:$B=$B237) *
        ('Individual data from NASA'!$C:$C=$G237) *
        ('Individual data from NASA'!$K:$K=$O237) *
        ('Individual data from NASA'!$D:$D=3),
        'Individual data from NASA'!P:P
    )
)</f>
        <v>27.6</v>
      </c>
      <c r="U237" cm="1">
        <f t="array" ref="U237">AVERAGE(
    IF(
        ('Individual data from NASA'!$B:$B=$B237) *
        ('Individual data from NASA'!$C:$C=$G237) *
        ('Individual data from NASA'!$K:$K=$O237) *
        ('Individual data from NASA'!$D:$D=3),
        'Individual data from NASA'!Q:Q
    )
)</f>
        <v>0.66700000000000004</v>
      </c>
      <c r="V237" cm="1">
        <f t="array" ref="V237">AVERAGE(
    IF(
        ('Individual data from NASA'!$B:$B=$B237) *
        ('Individual data from NASA'!$C:$C=$G237) *
        ('Individual data from NASA'!$K:$K=$O237) *
        ('Individual data from NASA'!$D:$D=3),
        'Individual data from NASA'!R:R
    )
)</f>
        <v>0.33300000000000002</v>
      </c>
      <c r="W237" cm="1">
        <f t="array" ref="W237">AVERAGE(
    IF(
        ('Individual data from NASA'!$B:$B=$B237) *
        ('Individual data from NASA'!$C:$C=$G237) *
        ('Individual data from NASA'!$K:$K=$O237) *
        ('Individual data from NASA'!$D:$D=3),
        'Individual data from NASA'!S:S
    )
)</f>
        <v>44.713039999999999</v>
      </c>
      <c r="X237" cm="1">
        <f t="array" ref="X237">AVERAGE(
    IF(
        ('Individual data from NASA'!$B:$B=$B237) *
        ('Individual data from NASA'!$C:$C=$G237) *
        ('Individual data from NASA'!$K:$K=$O237) *
        ('Individual data from NASA'!$D:$D=3),
        'Individual data from NASA'!T:T
    )
)</f>
        <v>22.35652</v>
      </c>
      <c r="Y237" cm="1">
        <f t="array" ref="Y237">AVERAGE(
    IF(
        ('Individual data from NASA'!$B:$B=$B237) *
        ('Individual data from NASA'!$C:$C=$G237) *
        ('Individual data from NASA'!$K:$K=$O237) *
        ('Individual data from NASA'!$D:$D=3),
        'Individual data from NASA'!U:U
    )
)</f>
        <v>15.1591</v>
      </c>
      <c r="Z237" cm="1">
        <f t="array" ref="Z237">AVERAGE(
    IF(
        ('Individual data from NASA'!$B:$B=$B237) *
        ('Individual data from NASA'!$C:$C=$G237) *
        ('Individual data from NASA'!$K:$K=$O237) *
        ('Individual data from NASA'!$D:$D=3),
        'Individual data from NASA'!V:V
    )
)</f>
        <v>33.906199999999998</v>
      </c>
      <c r="AD237" t="str">
        <f t="shared" si="21"/>
        <v>Moore (2015)|AAFEX-II|Ground|CFM56-2C1|30|Eg no 3 Take-off</v>
      </c>
      <c r="AE237" s="13" cm="1">
        <f t="array" ref="AE237">I237 / _xlfn.XLOOKUP($AD237 &amp; "|" &amp; $H237, $AD:$AD &amp; "|" &amp; $G:$G, I:I)</f>
        <v>9.6330275229357804E-2</v>
      </c>
      <c r="AF237" s="13" cm="1">
        <f t="array" ref="AF237">J237 / _xlfn.XLOOKUP($AD237 &amp; "|" &amp; $H237, $AD:$AD &amp; "|" &amp; $G:$G, J:J)</f>
        <v>0</v>
      </c>
      <c r="AG237" s="13" cm="1">
        <f t="array" ref="AG237">K237 / _xlfn.XLOOKUP($AD237 &amp; "|" &amp; $H237, $AD:$AD &amp; "|" &amp; $G:$G, K:K)</f>
        <v>5.7606382978723403</v>
      </c>
      <c r="AH237" s="13" cm="1">
        <f t="array" ref="AH237">L237 / _xlfn.XLOOKUP($AD237 &amp; "|" &amp; $H237, $AD:$AD &amp; "|" &amp; $G:$G, L:L)</f>
        <v>1.1111111111111112</v>
      </c>
      <c r="AI237" s="13" cm="1">
        <f t="array" ref="AI237">M237 / _xlfn.XLOOKUP($AD237 &amp; "|" &amp; $H237, $AD:$AD &amp; "|" &amp; $G:$G, M:M)</f>
        <v>0.97299587593921233</v>
      </c>
      <c r="AJ237" s="13" cm="1">
        <f t="array" ref="AJ237">N237 / _xlfn.XLOOKUP($AD237 &amp; "|" &amp; $H237, $AD:$AD &amp; "|" &amp; $G:$G, N:N)</f>
        <v>0.97299587593921233</v>
      </c>
      <c r="AK237" s="13" cm="1">
        <f t="array" ref="AK237">O237 / _xlfn.XLOOKUP($AD237 &amp; "|" &amp; $H237, $AD:$AD &amp; "|" &amp; $G:$G, O:O)</f>
        <v>1</v>
      </c>
      <c r="AL237" s="13" cm="1">
        <f t="array" ref="AL237">P237 / _xlfn.XLOOKUP($AD237 &amp; "|" &amp; $H237, $AD:$AD &amp; "|" &amp; $G:$G, P:P)</f>
        <v>1</v>
      </c>
      <c r="AM237" s="13" cm="1">
        <f t="array" ref="AM237">Q237 / _xlfn.XLOOKUP($AD237 &amp; "|" &amp; $H237, $AD:$AD &amp; "|" &amp; $G:$G, Q:Q)</f>
        <v>0.48585365853658535</v>
      </c>
      <c r="AN237" s="13" cm="1">
        <f t="array" ref="AN237">R237 / _xlfn.XLOOKUP($AD237 &amp; "|" &amp; $H237, $AD:$AD &amp; "|" &amp; $G:$G, R:R)</f>
        <v>10.246398786959817</v>
      </c>
      <c r="AO237" s="13" cm="1">
        <f t="array" ref="AO237">S237 / _xlfn.XLOOKUP($AD237 &amp; "|" &amp; $H237, $AD:$AD &amp; "|" &amp; $G:$G, S:S)</f>
        <v>5.9744136460554378</v>
      </c>
      <c r="AP237" s="13" cm="1">
        <f t="array" ref="AP237">T237 / _xlfn.XLOOKUP($AD237 &amp; "|" &amp; $H237, $AD:$AD &amp; "|" &amp; $G:$G, T:T)</f>
        <v>0.21015228426395938</v>
      </c>
      <c r="AQ237" s="13" cm="1">
        <f t="array" ref="AQ237">U237 / _xlfn.XLOOKUP($AD237 &amp; "|" &amp; $H237, $AD:$AD &amp; "|" &amp; $G:$G, U:U)</f>
        <v>0.80361445783132524</v>
      </c>
      <c r="AR237" s="13" cm="1">
        <f t="array" ref="AR237">V237 / _xlfn.XLOOKUP($AD237 &amp; "|" &amp; $H237, $AD:$AD &amp; "|" &amp; $G:$G, V:V)</f>
        <v>1.9588235294117646</v>
      </c>
      <c r="AS237" s="13" cm="1">
        <f t="array" ref="AS237">W237 / _xlfn.XLOOKUP($AD237 &amp; "|" &amp; $H237, $AD:$AD &amp; "|" &amp; $G:$G, W:W)</f>
        <v>1.1357661831410197</v>
      </c>
      <c r="AT237" s="13" cm="1">
        <f t="array" ref="AT237">X237 / _xlfn.XLOOKUP($AD237 &amp; "|" &amp; $H237, $AD:$AD &amp; "|" &amp; $G:$G, X:X)</f>
        <v>2.4028606745637724</v>
      </c>
      <c r="AU237" s="13" cm="1">
        <f t="array" ref="AU237">Y237 / _xlfn.XLOOKUP($AD237 &amp; "|" &amp; $H237, $AD:$AD &amp; "|" &amp; $G:$G, Y:Y)</f>
        <v>0.50029097365615827</v>
      </c>
      <c r="AV237" s="13" cm="1">
        <f t="array" ref="AV237">Z237 / _xlfn.XLOOKUP($AD237 &amp; "|" &amp; $H237, $AD:$AD &amp; "|" &amp; $G:$G, Z:Z)</f>
        <v>0.38848106472469285</v>
      </c>
      <c r="AW237" s="13" cm="1">
        <f t="array" ref="AW237">_xlfn.XLOOKUP($AD237 &amp; "|" &amp; $H237, $AD:$AD &amp; "|" &amp; $G:$G, L:L)</f>
        <v>13.5</v>
      </c>
      <c r="AY237" s="13"/>
      <c r="AZ237" t="s">
        <v>232</v>
      </c>
    </row>
    <row r="238" spans="1:52" x14ac:dyDescent="0.2">
      <c r="A238" t="s">
        <v>32</v>
      </c>
      <c r="B238" t="s">
        <v>4</v>
      </c>
      <c r="C238" t="s">
        <v>36</v>
      </c>
      <c r="D238" t="s">
        <v>112</v>
      </c>
      <c r="E238">
        <v>30</v>
      </c>
      <c r="F238" t="s">
        <v>207</v>
      </c>
      <c r="G238" t="s">
        <v>8</v>
      </c>
      <c r="I238">
        <v>16</v>
      </c>
      <c r="J238">
        <v>1.4</v>
      </c>
      <c r="K238">
        <v>800</v>
      </c>
      <c r="L238">
        <v>13.9</v>
      </c>
      <c r="M238">
        <v>286.54999999999995</v>
      </c>
      <c r="N238">
        <v>286.54999999999995</v>
      </c>
      <c r="O238">
        <v>4</v>
      </c>
      <c r="P238">
        <v>457.2</v>
      </c>
      <c r="Q238" t="e" cm="1">
        <f t="array" ref="Q238">AVERAGE(
    IF(
        ('Individual data from NASA'!$B:$B=$B238) *
        ('Individual data from NASA'!$C:$C=$G238) *
        ('Individual data from NASA'!$K:$K=$O238) *
        ('Individual data from NASA'!$D:$D=2),
        'Individual data from NASA'!M:M
    )
)</f>
        <v>#DIV/0!</v>
      </c>
      <c r="R238" t="e" cm="1">
        <f t="array" ref="R238">AVERAGE(
    IF(
        ('Individual data from NASA'!$B:$B=$B238) *
        ('Individual data from NASA'!$C:$C=$G238) *
        ('Individual data from NASA'!$K:$K=$O238) *
        ('Individual data from NASA'!$D:$D=2),
        'Individual data from NASA'!N:N
    )
)</f>
        <v>#DIV/0!</v>
      </c>
      <c r="S238" t="e" cm="1">
        <f t="array" ref="S238">AVERAGE(
    IF(
        ('Individual data from NASA'!$B:$B=$B238) *
        ('Individual data from NASA'!$C:$C=$G238) *
        ('Individual data from NASA'!$K:$K=$O238) *
        ('Individual data from NASA'!$D:$D=2),
        'Individual data from NASA'!O:O
    )
)</f>
        <v>#DIV/0!</v>
      </c>
      <c r="T238" t="e" cm="1">
        <f t="array" ref="T238">AVERAGE(
    IF(
        ('Individual data from NASA'!$B:$B=$B238) *
        ('Individual data from NASA'!$C:$C=$G238) *
        ('Individual data from NASA'!$K:$K=$O238) *
        ('Individual data from NASA'!$D:$D=2),
        'Individual data from NASA'!P:P
    )
)</f>
        <v>#DIV/0!</v>
      </c>
      <c r="U238" t="e" cm="1">
        <f t="array" ref="U238">AVERAGE(
    IF(
        ('Individual data from NASA'!$B:$B=$B238) *
        ('Individual data from NASA'!$C:$C=$G238) *
        ('Individual data from NASA'!$K:$K=$O238) *
        ('Individual data from NASA'!$D:$D=2),
        'Individual data from NASA'!Q:Q
    )
)</f>
        <v>#DIV/0!</v>
      </c>
      <c r="V238" t="e" cm="1">
        <f t="array" ref="V238">AVERAGE(
    IF(
        ('Individual data from NASA'!$B:$B=$B238) *
        ('Individual data from NASA'!$C:$C=$G238) *
        ('Individual data from NASA'!$K:$K=$O238) *
        ('Individual data from NASA'!$D:$D=2),
        'Individual data from NASA'!R:R
    )
)</f>
        <v>#DIV/0!</v>
      </c>
      <c r="W238" t="e" cm="1">
        <f t="array" ref="W238">AVERAGE(
    IF(
        ('Individual data from NASA'!$B:$B=$B238) *
        ('Individual data from NASA'!$C:$C=$G238) *
        ('Individual data from NASA'!$K:$K=$O238) *
        ('Individual data from NASA'!$D:$D=2),
        'Individual data from NASA'!S:S
    )
)</f>
        <v>#DIV/0!</v>
      </c>
      <c r="X238" t="e" cm="1">
        <f t="array" ref="X238">AVERAGE(
    IF(
        ('Individual data from NASA'!$B:$B=$B238) *
        ('Individual data from NASA'!$C:$C=$G238) *
        ('Individual data from NASA'!$K:$K=$O238) *
        ('Individual data from NASA'!$D:$D=2),
        'Individual data from NASA'!T:T
    )
)</f>
        <v>#DIV/0!</v>
      </c>
      <c r="Y238" t="e" cm="1">
        <f t="array" ref="Y238">AVERAGE(
    IF(
        ('Individual data from NASA'!$B:$B=$B238) *
        ('Individual data from NASA'!$C:$C=$G238) *
        ('Individual data from NASA'!$K:$K=$O238) *
        ('Individual data from NASA'!$D:$D=2),
        'Individual data from NASA'!U:U
    )
)</f>
        <v>#DIV/0!</v>
      </c>
      <c r="Z238" t="e" cm="1">
        <f t="array" ref="Z238">AVERAGE(
    IF(
        ('Individual data from NASA'!$B:$B=$B238) *
        ('Individual data from NASA'!$C:$C=$G238) *
        ('Individual data from NASA'!$K:$K=$O238) *
        ('Individual data from NASA'!$D:$D=2),
        'Individual data from NASA'!V:V
    )
)</f>
        <v>#DIV/0!</v>
      </c>
      <c r="AD238" t="str">
        <f t="shared" si="21"/>
        <v>Moore (2015)|ACCESS-I|Cruise|CFM56-2C1|30|Eg no 2 Idle (min)</v>
      </c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Y238" s="13"/>
      <c r="AZ238" t="s">
        <v>232</v>
      </c>
    </row>
    <row r="239" spans="1:52" x14ac:dyDescent="0.2">
      <c r="A239" t="s">
        <v>32</v>
      </c>
      <c r="B239" t="s">
        <v>4</v>
      </c>
      <c r="C239" t="s">
        <v>36</v>
      </c>
      <c r="D239" t="s">
        <v>112</v>
      </c>
      <c r="E239">
        <v>30</v>
      </c>
      <c r="F239" t="s">
        <v>208</v>
      </c>
      <c r="G239" t="s">
        <v>8</v>
      </c>
      <c r="I239">
        <v>16</v>
      </c>
      <c r="J239">
        <v>1.4</v>
      </c>
      <c r="K239">
        <v>800</v>
      </c>
      <c r="L239">
        <v>13.9</v>
      </c>
      <c r="M239">
        <v>286.84999999999997</v>
      </c>
      <c r="N239">
        <v>286.84999999999997</v>
      </c>
      <c r="O239">
        <v>7</v>
      </c>
      <c r="P239">
        <v>561.096</v>
      </c>
      <c r="Q239" cm="1">
        <f t="array" ref="Q239">AVERAGE(
    IF(
        ('Individual data from NASA'!$B:$B=$B239) *
        ('Individual data from NASA'!$C:$C=$G239) *
        ('Individual data from NASA'!$K:$K=$O239) *
        ('Individual data from NASA'!$D:$D=2),
        'Individual data from NASA'!M:M
    )
)</f>
        <v>1.19E+16</v>
      </c>
      <c r="R239" cm="1">
        <f t="array" ref="R239">AVERAGE(
    IF(
        ('Individual data from NASA'!$B:$B=$B239) *
        ('Individual data from NASA'!$C:$C=$G239) *
        ('Individual data from NASA'!$K:$K=$O239) *
        ('Individual data from NASA'!$D:$D=2),
        'Individual data from NASA'!N:N
    )
)</f>
        <v>8.53E+16</v>
      </c>
      <c r="S239" cm="1">
        <f t="array" ref="S239">AVERAGE(
    IF(
        ('Individual data from NASA'!$B:$B=$B239) *
        ('Individual data from NASA'!$C:$C=$G239) *
        ('Individual data from NASA'!$K:$K=$O239) *
        ('Individual data from NASA'!$D:$D=2),
        'Individual data from NASA'!O:O
    )
)</f>
        <v>9.71E+16</v>
      </c>
      <c r="T239" cm="1">
        <f t="array" ref="T239">AVERAGE(
    IF(
        ('Individual data from NASA'!$B:$B=$B239) *
        ('Individual data from NASA'!$C:$C=$G239) *
        ('Individual data from NASA'!$K:$K=$O239) *
        ('Individual data from NASA'!$D:$D=2),
        'Individual data from NASA'!P:P
    )
)</f>
        <v>15.85</v>
      </c>
      <c r="U239" cm="1">
        <f t="array" ref="U239">AVERAGE(
    IF(
        ('Individual data from NASA'!$B:$B=$B239) *
        ('Individual data from NASA'!$C:$C=$G239) *
        ('Individual data from NASA'!$K:$K=$O239) *
        ('Individual data from NASA'!$D:$D=2),
        'Individual data from NASA'!Q:Q
    )
)</f>
        <v>0.86399999999999999</v>
      </c>
      <c r="V239" cm="1">
        <f t="array" ref="V239">AVERAGE(
    IF(
        ('Individual data from NASA'!$B:$B=$B239) *
        ('Individual data from NASA'!$C:$C=$G239) *
        ('Individual data from NASA'!$K:$K=$O239) *
        ('Individual data from NASA'!$D:$D=2),
        'Individual data from NASA'!R:R
    )
)</f>
        <v>0.13600000000000001</v>
      </c>
      <c r="W239" cm="1">
        <f t="array" ref="W239">AVERAGE(
    IF(
        ('Individual data from NASA'!$B:$B=$B239) *
        ('Individual data from NASA'!$C:$C=$G239) *
        ('Individual data from NASA'!$K:$K=$O239) *
        ('Individual data from NASA'!$D:$D=2),
        'Individual data from NASA'!S:S
    )
)</f>
        <v>73.406431299999994</v>
      </c>
      <c r="X239" cm="1">
        <f t="array" ref="X239">AVERAGE(
    IF(
        ('Individual data from NASA'!$B:$B=$B239) *
        ('Individual data from NASA'!$C:$C=$G239) *
        ('Individual data from NASA'!$K:$K=$O239) *
        ('Individual data from NASA'!$D:$D=2),
        'Individual data from NASA'!T:T
    )
)</f>
        <v>11.521288699999999</v>
      </c>
      <c r="Y239" cm="1">
        <f t="array" ref="Y239">AVERAGE(
    IF(
        ('Individual data from NASA'!$B:$B=$B239) *
        ('Individual data from NASA'!$C:$C=$G239) *
        ('Individual data from NASA'!$K:$K=$O239) *
        ('Individual data from NASA'!$D:$D=2),
        'Individual data from NASA'!U:U
    )
)</f>
        <v>15.2432</v>
      </c>
      <c r="Z239" cm="1">
        <f t="array" ref="Z239">AVERAGE(
    IF(
        ('Individual data from NASA'!$B:$B=$B239) *
        ('Individual data from NASA'!$C:$C=$G239) *
        ('Individual data from NASA'!$K:$K=$O239) *
        ('Individual data from NASA'!$D:$D=2),
        'Individual data from NASA'!V:V
    )
)</f>
        <v>21.511500000000002</v>
      </c>
      <c r="AD239" t="str">
        <f t="shared" si="21"/>
        <v>Moore (2015)|ACCESS-I|Cruise|CFM56-2C1|30|Eg no 2 Idle (approach)</v>
      </c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Y239" s="13"/>
      <c r="AZ239" t="s">
        <v>232</v>
      </c>
    </row>
    <row r="240" spans="1:52" x14ac:dyDescent="0.2">
      <c r="A240" t="s">
        <v>32</v>
      </c>
      <c r="B240" t="s">
        <v>4</v>
      </c>
      <c r="C240" t="s">
        <v>36</v>
      </c>
      <c r="D240" t="s">
        <v>112</v>
      </c>
      <c r="E240">
        <v>30</v>
      </c>
      <c r="F240" t="s">
        <v>209</v>
      </c>
      <c r="G240" t="s">
        <v>8</v>
      </c>
      <c r="I240">
        <v>16</v>
      </c>
      <c r="J240">
        <v>1.4</v>
      </c>
      <c r="K240">
        <v>800</v>
      </c>
      <c r="L240">
        <v>13.9</v>
      </c>
      <c r="M240">
        <v>287.84999999999997</v>
      </c>
      <c r="N240">
        <v>287.84999999999997</v>
      </c>
      <c r="O240">
        <v>30</v>
      </c>
      <c r="P240">
        <v>1231.2000000000003</v>
      </c>
      <c r="Q240" cm="1">
        <f t="array" ref="Q240">AVERAGE(
    IF(
        ('Individual data from NASA'!$B:$B=$B240) *
        ('Individual data from NASA'!$C:$C=$G240) *
        ('Individual data from NASA'!$K:$K=$O240) *
        ('Individual data from NASA'!$D:$D=2),
        'Individual data from NASA'!M:M
    )
)</f>
        <v>3180000000000000</v>
      </c>
      <c r="R240" cm="1">
        <f t="array" ref="R240">AVERAGE(
    IF(
        ('Individual data from NASA'!$B:$B=$B240) *
        ('Individual data from NASA'!$C:$C=$G240) *
        ('Individual data from NASA'!$K:$K=$O240) *
        ('Individual data from NASA'!$D:$D=2),
        'Individual data from NASA'!N:N
    )
)</f>
        <v>4.81E+16</v>
      </c>
      <c r="S240" cm="1">
        <f t="array" ref="S240">AVERAGE(
    IF(
        ('Individual data from NASA'!$B:$B=$B240) *
        ('Individual data from NASA'!$C:$C=$G240) *
        ('Individual data from NASA'!$K:$K=$O240) *
        ('Individual data from NASA'!$D:$D=2),
        'Individual data from NASA'!O:O
    )
)</f>
        <v>5.12E+16</v>
      </c>
      <c r="T240" cm="1">
        <f t="array" ref="T240">AVERAGE(
    IF(
        ('Individual data from NASA'!$B:$B=$B240) *
        ('Individual data from NASA'!$C:$C=$G240) *
        ('Individual data from NASA'!$K:$K=$O240) *
        ('Individual data from NASA'!$D:$D=2),
        'Individual data from NASA'!P:P
    )
)</f>
        <v>15.41</v>
      </c>
      <c r="U240" cm="1">
        <f t="array" ref="U240">AVERAGE(
    IF(
        ('Individual data from NASA'!$B:$B=$B240) *
        ('Individual data from NASA'!$C:$C=$G240) *
        ('Individual data from NASA'!$K:$K=$O240) *
        ('Individual data from NASA'!$D:$D=2),
        'Individual data from NASA'!Q:Q
    )
)</f>
        <v>0.68799999999999994</v>
      </c>
      <c r="V240" cm="1">
        <f t="array" ref="V240">AVERAGE(
    IF(
        ('Individual data from NASA'!$B:$B=$B240) *
        ('Individual data from NASA'!$C:$C=$G240) *
        ('Individual data from NASA'!$K:$K=$O240) *
        ('Individual data from NASA'!$D:$D=2),
        'Individual data from NASA'!R:R
    )
)</f>
        <v>0.312</v>
      </c>
      <c r="W240" cm="1">
        <f t="array" ref="W240">AVERAGE(
    IF(
        ('Individual data from NASA'!$B:$B=$B240) *
        ('Individual data from NASA'!$C:$C=$G240) *
        ('Individual data from NASA'!$K:$K=$O240) *
        ('Individual data from NASA'!$D:$D=2),
        'Individual data from NASA'!S:S
    )
)</f>
        <v>16.076268859999999</v>
      </c>
      <c r="X240" cm="1">
        <f t="array" ref="X240">AVERAGE(
    IF(
        ('Individual data from NASA'!$B:$B=$B240) *
        ('Individual data from NASA'!$C:$C=$G240) *
        ('Individual data from NASA'!$K:$K=$O240) *
        ('Individual data from NASA'!$D:$D=2),
        'Individual data from NASA'!T:T
    )
)</f>
        <v>7.2823311359999998</v>
      </c>
      <c r="Y240" cm="1">
        <f t="array" ref="Y240">AVERAGE(
    IF(
        ('Individual data from NASA'!$B:$B=$B240) *
        ('Individual data from NASA'!$C:$C=$G240) *
        ('Individual data from NASA'!$K:$K=$O240) *
        ('Individual data from NASA'!$D:$D=2),
        'Individual data from NASA'!U:U
    )
)</f>
        <v>13.9773</v>
      </c>
      <c r="Z240" cm="1">
        <f t="array" ref="Z240">AVERAGE(
    IF(
        ('Individual data from NASA'!$B:$B=$B240) *
        ('Individual data from NASA'!$C:$C=$G240) *
        ('Individual data from NASA'!$K:$K=$O240) *
        ('Individual data from NASA'!$D:$D=2),
        'Individual data from NASA'!V:V
    )
)</f>
        <v>20.566199999999998</v>
      </c>
      <c r="AD240" t="str">
        <f t="shared" si="21"/>
        <v>Moore (2015)|ACCESS-I|Cruise|CFM56-2C1|30|Eg no 2 Intermediate</v>
      </c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Y240" s="13"/>
      <c r="AZ240" t="s">
        <v>232</v>
      </c>
    </row>
    <row r="241" spans="1:52" x14ac:dyDescent="0.2">
      <c r="A241" t="s">
        <v>32</v>
      </c>
      <c r="B241" t="s">
        <v>4</v>
      </c>
      <c r="C241" t="s">
        <v>36</v>
      </c>
      <c r="D241" t="s">
        <v>112</v>
      </c>
      <c r="E241">
        <v>30</v>
      </c>
      <c r="F241" t="s">
        <v>210</v>
      </c>
      <c r="G241" t="s">
        <v>8</v>
      </c>
      <c r="I241">
        <v>16</v>
      </c>
      <c r="J241">
        <v>1.4</v>
      </c>
      <c r="K241">
        <v>800</v>
      </c>
      <c r="L241">
        <v>13.9</v>
      </c>
      <c r="M241">
        <v>289.14999999999998</v>
      </c>
      <c r="N241">
        <v>289.14999999999998</v>
      </c>
      <c r="O241">
        <v>65</v>
      </c>
      <c r="P241">
        <v>2167.1999999999998</v>
      </c>
      <c r="Q241" cm="1">
        <f t="array" ref="Q241">AVERAGE(
    IF(
        ('Individual data from NASA'!$B:$B=$B241) *
        ('Individual data from NASA'!$C:$C=$G241) *
        ('Individual data from NASA'!$K:$K=$O241) *
        ('Individual data from NASA'!$D:$D=2),
        'Individual data from NASA'!M:M
    )
)</f>
        <v>534000000000000</v>
      </c>
      <c r="R241" cm="1">
        <f t="array" ref="R241">AVERAGE(
    IF(
        ('Individual data from NASA'!$B:$B=$B241) *
        ('Individual data from NASA'!$C:$C=$G241) *
        ('Individual data from NASA'!$K:$K=$O241) *
        ('Individual data from NASA'!$D:$D=2),
        'Individual data from NASA'!N:N
    )
)</f>
        <v>5020000000000000</v>
      </c>
      <c r="S241" cm="1">
        <f t="array" ref="S241">AVERAGE(
    IF(
        ('Individual data from NASA'!$B:$B=$B241) *
        ('Individual data from NASA'!$C:$C=$G241) *
        ('Individual data from NASA'!$K:$K=$O241) *
        ('Individual data from NASA'!$D:$D=2),
        'Individual data from NASA'!O:O
    )
)</f>
        <v>5560000000000000</v>
      </c>
      <c r="T241" cm="1">
        <f t="array" ref="T241">AVERAGE(
    IF(
        ('Individual data from NASA'!$B:$B=$B241) *
        ('Individual data from NASA'!$C:$C=$G241) *
        ('Individual data from NASA'!$K:$K=$O241) *
        ('Individual data from NASA'!$D:$D=2),
        'Individual data from NASA'!P:P
    )
)</f>
        <v>65.930000000000007</v>
      </c>
      <c r="U241" cm="1">
        <f t="array" ref="U241">AVERAGE(
    IF(
        ('Individual data from NASA'!$B:$B=$B241) *
        ('Individual data from NASA'!$C:$C=$G241) *
        ('Individual data from NASA'!$K:$K=$O241) *
        ('Individual data from NASA'!$D:$D=2),
        'Individual data from NASA'!Q:Q
    )
)</f>
        <v>0.69</v>
      </c>
      <c r="V241" cm="1">
        <f t="array" ref="V241">AVERAGE(
    IF(
        ('Individual data from NASA'!$B:$B=$B241) *
        ('Individual data from NASA'!$C:$C=$G241) *
        ('Individual data from NASA'!$K:$K=$O241) *
        ('Individual data from NASA'!$D:$D=2),
        'Individual data from NASA'!R:R
    )
)</f>
        <v>0.31</v>
      </c>
      <c r="W241" cm="1">
        <f t="array" ref="W241">AVERAGE(
    IF(
        ('Individual data from NASA'!$B:$B=$B241) *
        ('Individual data from NASA'!$C:$C=$G241) *
        ('Individual data from NASA'!$K:$K=$O241) *
        ('Individual data from NASA'!$D:$D=2),
        'Individual data from NASA'!S:S
    )
)</f>
        <v>10.880950110000001</v>
      </c>
      <c r="X241" cm="1">
        <f t="array" ref="X241">AVERAGE(
    IF(
        ('Individual data from NASA'!$B:$B=$B241) *
        ('Individual data from NASA'!$C:$C=$G241) *
        ('Individual data from NASA'!$K:$K=$O241) *
        ('Individual data from NASA'!$D:$D=2),
        'Individual data from NASA'!T:T
    )
)</f>
        <v>4.8845298899999996</v>
      </c>
      <c r="Y241" cm="1">
        <f t="array" ref="Y241">AVERAGE(
    IF(
        ('Individual data from NASA'!$B:$B=$B241) *
        ('Individual data from NASA'!$C:$C=$G241) *
        ('Individual data from NASA'!$K:$K=$O241) *
        ('Individual data from NASA'!$D:$D=2),
        'Individual data from NASA'!U:U
    )
)</f>
        <v>13.9634</v>
      </c>
      <c r="Z241" cm="1">
        <f t="array" ref="Z241">AVERAGE(
    IF(
        ('Individual data from NASA'!$B:$B=$B241) *
        ('Individual data from NASA'!$C:$C=$G241) *
        ('Individual data from NASA'!$K:$K=$O241) *
        ('Individual data from NASA'!$D:$D=2),
        'Individual data from NASA'!V:V
    )
)</f>
        <v>34.760800000000003</v>
      </c>
      <c r="AD241" t="str">
        <f t="shared" si="21"/>
        <v>Moore (2015)|ACCESS-I|Cruise|CFM56-2C1|30|Eg no 2 Mid power</v>
      </c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Y241" s="13"/>
      <c r="AZ241" t="s">
        <v>232</v>
      </c>
    </row>
    <row r="242" spans="1:52" x14ac:dyDescent="0.2">
      <c r="A242" t="s">
        <v>32</v>
      </c>
      <c r="B242" t="s">
        <v>4</v>
      </c>
      <c r="C242" t="s">
        <v>36</v>
      </c>
      <c r="D242" t="s">
        <v>112</v>
      </c>
      <c r="E242">
        <v>30</v>
      </c>
      <c r="F242" t="s">
        <v>211</v>
      </c>
      <c r="G242" t="s">
        <v>8</v>
      </c>
      <c r="I242">
        <v>16</v>
      </c>
      <c r="J242">
        <v>1.4</v>
      </c>
      <c r="K242">
        <v>800</v>
      </c>
      <c r="L242">
        <v>13.9</v>
      </c>
      <c r="M242">
        <v>289.95999999999998</v>
      </c>
      <c r="N242">
        <v>289.95999999999998</v>
      </c>
      <c r="O242">
        <v>85</v>
      </c>
      <c r="P242">
        <v>3041.9999999999995</v>
      </c>
      <c r="Q242" cm="1">
        <f t="array" ref="Q242">AVERAGE(
    IF(
        ('Individual data from NASA'!$B:$B=$B242) *
        ('Individual data from NASA'!$C:$C=$G242) *
        ('Individual data from NASA'!$K:$K=$O242) *
        ('Individual data from NASA'!$D:$D=2),
        'Individual data from NASA'!M:M
    )
)</f>
        <v>1210000000000000</v>
      </c>
      <c r="R242" cm="1">
        <f t="array" ref="R242">AVERAGE(
    IF(
        ('Individual data from NASA'!$B:$B=$B242) *
        ('Individual data from NASA'!$C:$C=$G242) *
        ('Individual data from NASA'!$K:$K=$O242) *
        ('Individual data from NASA'!$D:$D=2),
        'Individual data from NASA'!N:N
    )
)</f>
        <v>1.06E+16</v>
      </c>
      <c r="S242" cm="1">
        <f t="array" ref="S242">AVERAGE(
    IF(
        ('Individual data from NASA'!$B:$B=$B242) *
        ('Individual data from NASA'!$C:$C=$G242) *
        ('Individual data from NASA'!$K:$K=$O242) *
        ('Individual data from NASA'!$D:$D=2),
        'Individual data from NASA'!O:O
    )
)</f>
        <v>1.18E+16</v>
      </c>
      <c r="T242" cm="1">
        <f t="array" ref="T242">AVERAGE(
    IF(
        ('Individual data from NASA'!$B:$B=$B242) *
        ('Individual data from NASA'!$C:$C=$G242) *
        ('Individual data from NASA'!$K:$K=$O242) *
        ('Individual data from NASA'!$D:$D=2),
        'Individual data from NASA'!P:P
    )
)</f>
        <v>117.71</v>
      </c>
      <c r="U242" cm="1">
        <f t="array" ref="U242">AVERAGE(
    IF(
        ('Individual data from NASA'!$B:$B=$B242) *
        ('Individual data from NASA'!$C:$C=$G242) *
        ('Individual data from NASA'!$K:$K=$O242) *
        ('Individual data from NASA'!$D:$D=2),
        'Individual data from NASA'!Q:Q
    )
)</f>
        <v>0.71199727300000004</v>
      </c>
      <c r="V242" cm="1">
        <f t="array" ref="V242">AVERAGE(
    IF(
        ('Individual data from NASA'!$B:$B=$B242) *
        ('Individual data from NASA'!$C:$C=$G242) *
        ('Individual data from NASA'!$K:$K=$O242) *
        ('Individual data from NASA'!$D:$D=2),
        'Individual data from NASA'!R:R
    )
)</f>
        <v>0.28800272700000001</v>
      </c>
      <c r="W242" cm="1">
        <f t="array" ref="W242">AVERAGE(
    IF(
        ('Individual data from NASA'!$B:$B=$B242) *
        ('Individual data from NASA'!$C:$C=$G242) *
        ('Individual data from NASA'!$K:$K=$O242) *
        ('Individual data from NASA'!$D:$D=2),
        'Individual data from NASA'!S:S
    )
)</f>
        <v>44.458790059999998</v>
      </c>
      <c r="X242" cm="1">
        <f t="array" ref="X242">AVERAGE(
    IF(
        ('Individual data from NASA'!$B:$B=$B242) *
        ('Individual data from NASA'!$C:$C=$G242) *
        ('Individual data from NASA'!$K:$K=$O242) *
        ('Individual data from NASA'!$D:$D=2),
        'Individual data from NASA'!T:T
    )
)</f>
        <v>17.983569939999999</v>
      </c>
      <c r="Y242" cm="1">
        <f t="array" ref="Y242">AVERAGE(
    IF(
        ('Individual data from NASA'!$B:$B=$B242) *
        ('Individual data from NASA'!$C:$C=$G242) *
        ('Individual data from NASA'!$K:$K=$O242) *
        ('Individual data from NASA'!$D:$D=2),
        'Individual data from NASA'!U:U
    )
)</f>
        <v>13.6364</v>
      </c>
      <c r="Z242" cm="1">
        <f t="array" ref="Z242">AVERAGE(
    IF(
        ('Individual data from NASA'!$B:$B=$B242) *
        ('Individual data from NASA'!$C:$C=$G242) *
        ('Individual data from NASA'!$K:$K=$O242) *
        ('Individual data from NASA'!$D:$D=2),
        'Individual data from NASA'!V:V
    )
)</f>
        <v>51.158700000000003</v>
      </c>
      <c r="AD242" t="str">
        <f t="shared" si="21"/>
        <v>Moore (2015)|ACCESS-I|Cruise|CFM56-2C1|30|Eg no 2 Climb</v>
      </c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Y242" s="13"/>
      <c r="AZ242" t="s">
        <v>232</v>
      </c>
    </row>
    <row r="243" spans="1:52" x14ac:dyDescent="0.2">
      <c r="A243" t="s">
        <v>32</v>
      </c>
      <c r="B243" t="s">
        <v>4</v>
      </c>
      <c r="C243" t="s">
        <v>36</v>
      </c>
      <c r="D243" t="s">
        <v>112</v>
      </c>
      <c r="E243">
        <v>30</v>
      </c>
      <c r="F243" t="s">
        <v>207</v>
      </c>
      <c r="G243" t="s">
        <v>19</v>
      </c>
      <c r="H243" t="s">
        <v>8</v>
      </c>
      <c r="I243">
        <v>8</v>
      </c>
      <c r="J243">
        <v>0.9</v>
      </c>
      <c r="K243">
        <v>500</v>
      </c>
      <c r="L243">
        <v>14.4</v>
      </c>
      <c r="M243">
        <v>289.04999999999995</v>
      </c>
      <c r="N243">
        <v>289.04999999999995</v>
      </c>
      <c r="O243">
        <v>4</v>
      </c>
      <c r="P243">
        <v>457.2</v>
      </c>
      <c r="Q243" t="e" cm="1">
        <f t="array" ref="Q243">AVERAGE(
    IF(
        ('Individual data from NASA'!$B:$B=$B243) *
        ('Individual data from NASA'!$C:$C=$G243) *
        ('Individual data from NASA'!$K:$K=$O243) *
        ('Individual data from NASA'!$D:$D=2),
        'Individual data from NASA'!M:M
    )
)</f>
        <v>#DIV/0!</v>
      </c>
      <c r="R243" t="e" cm="1">
        <f t="array" ref="R243">AVERAGE(
    IF(
        ('Individual data from NASA'!$B:$B=$B243) *
        ('Individual data from NASA'!$C:$C=$G243) *
        ('Individual data from NASA'!$K:$K=$O243) *
        ('Individual data from NASA'!$D:$D=2),
        'Individual data from NASA'!N:N
    )
)</f>
        <v>#DIV/0!</v>
      </c>
      <c r="S243" t="e" cm="1">
        <f t="array" ref="S243">AVERAGE(
    IF(
        ('Individual data from NASA'!$B:$B=$B243) *
        ('Individual data from NASA'!$C:$C=$G243) *
        ('Individual data from NASA'!$K:$K=$O243) *
        ('Individual data from NASA'!$D:$D=2),
        'Individual data from NASA'!O:O
    )
)</f>
        <v>#DIV/0!</v>
      </c>
      <c r="T243" t="e" cm="1">
        <f t="array" ref="T243">AVERAGE(
    IF(
        ('Individual data from NASA'!$B:$B=$B243) *
        ('Individual data from NASA'!$C:$C=$G243) *
        ('Individual data from NASA'!$K:$K=$O243) *
        ('Individual data from NASA'!$D:$D=2),
        'Individual data from NASA'!P:P
    )
)</f>
        <v>#DIV/0!</v>
      </c>
      <c r="U243" t="e" cm="1">
        <f t="array" ref="U243">AVERAGE(
    IF(
        ('Individual data from NASA'!$B:$B=$B243) *
        ('Individual data from NASA'!$C:$C=$G243) *
        ('Individual data from NASA'!$K:$K=$O243) *
        ('Individual data from NASA'!$D:$D=2),
        'Individual data from NASA'!Q:Q
    )
)</f>
        <v>#DIV/0!</v>
      </c>
      <c r="V243" t="e" cm="1">
        <f t="array" ref="V243">AVERAGE(
    IF(
        ('Individual data from NASA'!$B:$B=$B243) *
        ('Individual data from NASA'!$C:$C=$G243) *
        ('Individual data from NASA'!$K:$K=$O243) *
        ('Individual data from NASA'!$D:$D=2),
        'Individual data from NASA'!R:R
    )
)</f>
        <v>#DIV/0!</v>
      </c>
      <c r="W243" t="e" cm="1">
        <f t="array" ref="W243">AVERAGE(
    IF(
        ('Individual data from NASA'!$B:$B=$B243) *
        ('Individual data from NASA'!$C:$C=$G243) *
        ('Individual data from NASA'!$K:$K=$O243) *
        ('Individual data from NASA'!$D:$D=2),
        'Individual data from NASA'!S:S
    )
)</f>
        <v>#DIV/0!</v>
      </c>
      <c r="X243" t="e" cm="1">
        <f t="array" ref="X243">AVERAGE(
    IF(
        ('Individual data from NASA'!$B:$B=$B243) *
        ('Individual data from NASA'!$C:$C=$G243) *
        ('Individual data from NASA'!$K:$K=$O243) *
        ('Individual data from NASA'!$D:$D=2),
        'Individual data from NASA'!T:T
    )
)</f>
        <v>#DIV/0!</v>
      </c>
      <c r="Y243" t="e" cm="1">
        <f t="array" ref="Y243">AVERAGE(
    IF(
        ('Individual data from NASA'!$B:$B=$B243) *
        ('Individual data from NASA'!$C:$C=$G243) *
        ('Individual data from NASA'!$K:$K=$O243) *
        ('Individual data from NASA'!$D:$D=2),
        'Individual data from NASA'!U:U
    )
)</f>
        <v>#DIV/0!</v>
      </c>
      <c r="Z243" t="e" cm="1">
        <f t="array" ref="Z243">AVERAGE(
    IF(
        ('Individual data from NASA'!$B:$B=$B243) *
        ('Individual data from NASA'!$C:$C=$G243) *
        ('Individual data from NASA'!$K:$K=$O243) *
        ('Individual data from NASA'!$D:$D=2),
        'Individual data from NASA'!V:V
    )
)</f>
        <v>#DIV/0!</v>
      </c>
      <c r="AD243" t="str">
        <f t="shared" si="21"/>
        <v>Moore (2015)|ACCESS-I|Cruise|CFM56-2C1|30|Eg no 2 Idle (min)</v>
      </c>
      <c r="AE243" s="13" cm="1">
        <f t="array" ref="AE243">I243 / _xlfn.XLOOKUP($AD243 &amp; "|" &amp; $H243, $AD:$AD &amp; "|" &amp; $G:$G, I:I)</f>
        <v>0.5</v>
      </c>
      <c r="AF243" s="13" cm="1">
        <f t="array" ref="AF243">J243 / _xlfn.XLOOKUP($AD243 &amp; "|" &amp; $H243, $AD:$AD &amp; "|" &amp; $G:$G, J:J)</f>
        <v>0.6428571428571429</v>
      </c>
      <c r="AG243" s="13" cm="1">
        <f t="array" ref="AG243">K243 / _xlfn.XLOOKUP($AD243 &amp; "|" &amp; $H243, $AD:$AD &amp; "|" &amp; $G:$G, K:K)</f>
        <v>0.625</v>
      </c>
      <c r="AH243" s="13" cm="1">
        <f t="array" ref="AH243">L243 / _xlfn.XLOOKUP($AD243 &amp; "|" &amp; $H243, $AD:$AD &amp; "|" &amp; $G:$G, L:L)</f>
        <v>1.0359712230215827</v>
      </c>
      <c r="AI243" s="13" cm="1">
        <f t="array" ref="AI243">M243 / _xlfn.XLOOKUP($AD243 &amp; "|" &amp; $H243, $AD:$AD &amp; "|" &amp; $G:$G, M:M)</f>
        <v>1.0087244808933868</v>
      </c>
      <c r="AJ243" s="13" cm="1">
        <f t="array" ref="AJ243">N243 / _xlfn.XLOOKUP($AD243 &amp; "|" &amp; $H243, $AD:$AD &amp; "|" &amp; $G:$G, N:N)</f>
        <v>1.0087244808933868</v>
      </c>
      <c r="AK243" s="13" cm="1">
        <f t="array" ref="AK243">O243 / _xlfn.XLOOKUP($AD243 &amp; "|" &amp; $H243, $AD:$AD &amp; "|" &amp; $G:$G, O:O)</f>
        <v>1</v>
      </c>
      <c r="AL243" s="13" cm="1">
        <f t="array" ref="AL243">P243 / _xlfn.XLOOKUP($AD243 &amp; "|" &amp; $H243, $AD:$AD &amp; "|" &amp; $G:$G, P:P)</f>
        <v>1</v>
      </c>
      <c r="AM243" s="13" t="e" cm="1">
        <f t="array" ref="AM243">Q243 / _xlfn.XLOOKUP($AD243 &amp; "|" &amp; $H243, $AD:$AD &amp; "|" &amp; $G:$G, Q:Q)</f>
        <v>#DIV/0!</v>
      </c>
      <c r="AN243" s="13" t="e" cm="1">
        <f t="array" ref="AN243">R243 / _xlfn.XLOOKUP($AD243 &amp; "|" &amp; $H243, $AD:$AD &amp; "|" &amp; $G:$G, R:R)</f>
        <v>#DIV/0!</v>
      </c>
      <c r="AO243" s="13" t="e" cm="1">
        <f t="array" ref="AO243">S243 / _xlfn.XLOOKUP($AD243 &amp; "|" &amp; $H243, $AD:$AD &amp; "|" &amp; $G:$G, S:S)</f>
        <v>#DIV/0!</v>
      </c>
      <c r="AP243" s="13" t="e" cm="1">
        <f t="array" ref="AP243">T243 / _xlfn.XLOOKUP($AD243 &amp; "|" &amp; $H243, $AD:$AD &amp; "|" &amp; $G:$G, T:T)</f>
        <v>#DIV/0!</v>
      </c>
      <c r="AQ243" s="13" t="e" cm="1">
        <f t="array" ref="AQ243">U243 / _xlfn.XLOOKUP($AD243 &amp; "|" &amp; $H243, $AD:$AD &amp; "|" &amp; $G:$G, U:U)</f>
        <v>#DIV/0!</v>
      </c>
      <c r="AR243" s="13" t="e" cm="1">
        <f t="array" ref="AR243">V243 / _xlfn.XLOOKUP($AD243 &amp; "|" &amp; $H243, $AD:$AD &amp; "|" &amp; $G:$G, V:V)</f>
        <v>#DIV/0!</v>
      </c>
      <c r="AS243" s="13" t="e" cm="1">
        <f t="array" ref="AS243">W243 / _xlfn.XLOOKUP($AD243 &amp; "|" &amp; $H243, $AD:$AD &amp; "|" &amp; $G:$G, W:W)</f>
        <v>#DIV/0!</v>
      </c>
      <c r="AT243" s="13" t="e" cm="1">
        <f t="array" ref="AT243">X243 / _xlfn.XLOOKUP($AD243 &amp; "|" &amp; $H243, $AD:$AD &amp; "|" &amp; $G:$G, X:X)</f>
        <v>#DIV/0!</v>
      </c>
      <c r="AU243" s="13" t="e" cm="1">
        <f t="array" ref="AU243">Y243 / _xlfn.XLOOKUP($AD243 &amp; "|" &amp; $H243, $AD:$AD &amp; "|" &amp; $G:$G, Y:Y)</f>
        <v>#DIV/0!</v>
      </c>
      <c r="AV243" s="13" t="e" cm="1">
        <f t="array" ref="AV243">Z243 / _xlfn.XLOOKUP($AD243 &amp; "|" &amp; $H243, $AD:$AD &amp; "|" &amp; $G:$G, Z:Z)</f>
        <v>#DIV/0!</v>
      </c>
      <c r="AW243" s="13" cm="1">
        <f t="array" ref="AW243">_xlfn.XLOOKUP($AD243 &amp; "|" &amp; $H243, $AD:$AD &amp; "|" &amp; $G:$G, L:L)</f>
        <v>13.9</v>
      </c>
      <c r="AY243" s="13"/>
      <c r="AZ243" t="s">
        <v>232</v>
      </c>
    </row>
    <row r="244" spans="1:52" x14ac:dyDescent="0.2">
      <c r="A244" t="s">
        <v>32</v>
      </c>
      <c r="B244" t="s">
        <v>4</v>
      </c>
      <c r="C244" t="s">
        <v>36</v>
      </c>
      <c r="D244" t="s">
        <v>112</v>
      </c>
      <c r="E244">
        <v>30</v>
      </c>
      <c r="F244" t="s">
        <v>208</v>
      </c>
      <c r="G244" t="s">
        <v>19</v>
      </c>
      <c r="H244" t="s">
        <v>8</v>
      </c>
      <c r="I244">
        <v>8</v>
      </c>
      <c r="J244">
        <v>0.9</v>
      </c>
      <c r="K244">
        <v>500</v>
      </c>
      <c r="L244">
        <v>14.4</v>
      </c>
      <c r="M244">
        <v>289.04999999999995</v>
      </c>
      <c r="N244">
        <v>289.04999999999995</v>
      </c>
      <c r="O244">
        <v>7</v>
      </c>
      <c r="P244">
        <v>561.096</v>
      </c>
      <c r="Q244" cm="1">
        <f t="array" ref="Q244">AVERAGE(
    IF(
        ('Individual data from NASA'!$B:$B=$B244) *
        ('Individual data from NASA'!$C:$C=$G244) *
        ('Individual data from NASA'!$K:$K=$O244) *
        ('Individual data from NASA'!$D:$D=2),
        'Individual data from NASA'!M:M
    )
)</f>
        <v>1.12E+16</v>
      </c>
      <c r="R244" cm="1">
        <f t="array" ref="R244">AVERAGE(
    IF(
        ('Individual data from NASA'!$B:$B=$B244) *
        ('Individual data from NASA'!$C:$C=$G244) *
        ('Individual data from NASA'!$K:$K=$O244) *
        ('Individual data from NASA'!$D:$D=2),
        'Individual data from NASA'!N:N
    )
)</f>
        <v>6.73E+16</v>
      </c>
      <c r="S244" cm="1">
        <f t="array" ref="S244">AVERAGE(
    IF(
        ('Individual data from NASA'!$B:$B=$B244) *
        ('Individual data from NASA'!$C:$C=$G244) *
        ('Individual data from NASA'!$K:$K=$O244) *
        ('Individual data from NASA'!$D:$D=2),
        'Individual data from NASA'!O:O
    )
)</f>
        <v>7.85E+16</v>
      </c>
      <c r="T244" cm="1">
        <f t="array" ref="T244">AVERAGE(
    IF(
        ('Individual data from NASA'!$B:$B=$B244) *
        ('Individual data from NASA'!$C:$C=$G244) *
        ('Individual data from NASA'!$K:$K=$O244) *
        ('Individual data from NASA'!$D:$D=2),
        'Individual data from NASA'!P:P
    )
)</f>
        <v>5.19</v>
      </c>
      <c r="U244" cm="1">
        <f t="array" ref="U244">AVERAGE(
    IF(
        ('Individual data from NASA'!$B:$B=$B244) *
        ('Individual data from NASA'!$C:$C=$G244) *
        ('Individual data from NASA'!$K:$K=$O244) *
        ('Individual data from NASA'!$D:$D=2),
        'Individual data from NASA'!Q:Q
    )
)</f>
        <v>0.878</v>
      </c>
      <c r="V244" cm="1">
        <f t="array" ref="V244">AVERAGE(
    IF(
        ('Individual data from NASA'!$B:$B=$B244) *
        ('Individual data from NASA'!$C:$C=$G244) *
        ('Individual data from NASA'!$K:$K=$O244) *
        ('Individual data from NASA'!$D:$D=2),
        'Individual data from NASA'!R:R
    )
)</f>
        <v>0.122</v>
      </c>
      <c r="W244" cm="1">
        <f t="array" ref="W244">AVERAGE(
    IF(
        ('Individual data from NASA'!$B:$B=$B244) *
        ('Individual data from NASA'!$C:$C=$G244) *
        ('Individual data from NASA'!$K:$K=$O244) *
        ('Individual data from NASA'!$D:$D=2),
        'Individual data from NASA'!S:S
    )
)</f>
        <v>71.135591719999994</v>
      </c>
      <c r="X244" cm="1">
        <f t="array" ref="X244">AVERAGE(
    IF(
        ('Individual data from NASA'!$B:$B=$B244) *
        ('Individual data from NASA'!$C:$C=$G244) *
        ('Individual data from NASA'!$K:$K=$O244) *
        ('Individual data from NASA'!$D:$D=2),
        'Individual data from NASA'!T:T
    )
)</f>
        <v>9.8750882850000004</v>
      </c>
      <c r="Y244" cm="1">
        <f t="array" ref="Y244">AVERAGE(
    IF(
        ('Individual data from NASA'!$B:$B=$B244) *
        ('Individual data from NASA'!$C:$C=$G244) *
        ('Individual data from NASA'!$K:$K=$O244) *
        ('Individual data from NASA'!$D:$D=2),
        'Individual data from NASA'!U:U
    )
)</f>
        <v>14.245100000000001</v>
      </c>
      <c r="Z244" cm="1">
        <f t="array" ref="Z244">AVERAGE(
    IF(
        ('Individual data from NASA'!$B:$B=$B244) *
        ('Individual data from NASA'!$C:$C=$G244) *
        ('Individual data from NASA'!$K:$K=$O244) *
        ('Individual data from NASA'!$D:$D=2),
        'Individual data from NASA'!V:V
    )
)</f>
        <v>18.678599999999999</v>
      </c>
      <c r="AD244" t="str">
        <f t="shared" si="21"/>
        <v>Moore (2015)|ACCESS-I|Cruise|CFM56-2C1|30|Eg no 2 Idle (approach)</v>
      </c>
      <c r="AE244" s="13" cm="1">
        <f t="array" ref="AE244">I244 / _xlfn.XLOOKUP($AD244 &amp; "|" &amp; $H244, $AD:$AD &amp; "|" &amp; $G:$G, I:I)</f>
        <v>0.5</v>
      </c>
      <c r="AF244" s="13" cm="1">
        <f t="array" ref="AF244">J244 / _xlfn.XLOOKUP($AD244 &amp; "|" &amp; $H244, $AD:$AD &amp; "|" &amp; $G:$G, J:J)</f>
        <v>0.6428571428571429</v>
      </c>
      <c r="AG244" s="13" cm="1">
        <f t="array" ref="AG244">K244 / _xlfn.XLOOKUP($AD244 &amp; "|" &amp; $H244, $AD:$AD &amp; "|" &amp; $G:$G, K:K)</f>
        <v>0.625</v>
      </c>
      <c r="AH244" s="13" cm="1">
        <f t="array" ref="AH244">L244 / _xlfn.XLOOKUP($AD244 &amp; "|" &amp; $H244, $AD:$AD &amp; "|" &amp; $G:$G, L:L)</f>
        <v>1.0359712230215827</v>
      </c>
      <c r="AI244" s="13" cm="1">
        <f t="array" ref="AI244">M244 / _xlfn.XLOOKUP($AD244 &amp; "|" &amp; $H244, $AD:$AD &amp; "|" &amp; $G:$G, M:M)</f>
        <v>1.0076695136831095</v>
      </c>
      <c r="AJ244" s="13" cm="1">
        <f t="array" ref="AJ244">N244 / _xlfn.XLOOKUP($AD244 &amp; "|" &amp; $H244, $AD:$AD &amp; "|" &amp; $G:$G, N:N)</f>
        <v>1.0076695136831095</v>
      </c>
      <c r="AK244" s="13" cm="1">
        <f t="array" ref="AK244">O244 / _xlfn.XLOOKUP($AD244 &amp; "|" &amp; $H244, $AD:$AD &amp; "|" &amp; $G:$G, O:O)</f>
        <v>1</v>
      </c>
      <c r="AL244" s="13" cm="1">
        <f t="array" ref="AL244">P244 / _xlfn.XLOOKUP($AD244 &amp; "|" &amp; $H244, $AD:$AD &amp; "|" &amp; $G:$G, P:P)</f>
        <v>1</v>
      </c>
      <c r="AM244" s="13" cm="1">
        <f t="array" ref="AM244">Q244 / _xlfn.XLOOKUP($AD244 &amp; "|" &amp; $H244, $AD:$AD &amp; "|" &amp; $G:$G, Q:Q)</f>
        <v>0.94117647058823528</v>
      </c>
      <c r="AN244" s="13" cm="1">
        <f t="array" ref="AN244">R244 / _xlfn.XLOOKUP($AD244 &amp; "|" &amp; $H244, $AD:$AD &amp; "|" &amp; $G:$G, R:R)</f>
        <v>0.78898007033997652</v>
      </c>
      <c r="AO244" s="13" cm="1">
        <f t="array" ref="AO244">S244 / _xlfn.XLOOKUP($AD244 &amp; "|" &amp; $H244, $AD:$AD &amp; "|" &amp; $G:$G, S:S)</f>
        <v>0.8084449021627188</v>
      </c>
      <c r="AP244" s="13" cm="1">
        <f t="array" ref="AP244">T244 / _xlfn.XLOOKUP($AD244 &amp; "|" &amp; $H244, $AD:$AD &amp; "|" &amp; $G:$G, T:T)</f>
        <v>0.32744479495268142</v>
      </c>
      <c r="AQ244" s="13" cm="1">
        <f t="array" ref="AQ244">U244 / _xlfn.XLOOKUP($AD244 &amp; "|" &amp; $H244, $AD:$AD &amp; "|" &amp; $G:$G, U:U)</f>
        <v>1.0162037037037037</v>
      </c>
      <c r="AR244" s="13" cm="1">
        <f t="array" ref="AR244">V244 / _xlfn.XLOOKUP($AD244 &amp; "|" &amp; $H244, $AD:$AD &amp; "|" &amp; $G:$G, V:V)</f>
        <v>0.89705882352941169</v>
      </c>
      <c r="AS244" s="13" cm="1">
        <f t="array" ref="AS244">W244 / _xlfn.XLOOKUP($AD244 &amp; "|" &amp; $H244, $AD:$AD &amp; "|" &amp; $G:$G, W:W)</f>
        <v>0.96906484159787776</v>
      </c>
      <c r="AT244" s="13" cm="1">
        <f t="array" ref="AT244">X244 / _xlfn.XLOOKUP($AD244 &amp; "|" &amp; $H244, $AD:$AD &amp; "|" &amp; $G:$G, X:X)</f>
        <v>0.85711664225547968</v>
      </c>
      <c r="AU244" s="13" cm="1">
        <f t="array" ref="AU244">Y244 / _xlfn.XLOOKUP($AD244 &amp; "|" &amp; $H244, $AD:$AD &amp; "|" &amp; $G:$G, Y:Y)</f>
        <v>0.93452162275637662</v>
      </c>
      <c r="AV244" s="13" cm="1">
        <f t="array" ref="AV244">Z244 / _xlfn.XLOOKUP($AD244 &amp; "|" &amp; $H244, $AD:$AD &amp; "|" &amp; $G:$G, Z:Z)</f>
        <v>0.86830764939683414</v>
      </c>
      <c r="AW244" s="13" cm="1">
        <f t="array" ref="AW244">_xlfn.XLOOKUP($AD244 &amp; "|" &amp; $H244, $AD:$AD &amp; "|" &amp; $G:$G, L:L)</f>
        <v>13.9</v>
      </c>
      <c r="AY244" s="13"/>
      <c r="AZ244" t="s">
        <v>232</v>
      </c>
    </row>
    <row r="245" spans="1:52" x14ac:dyDescent="0.2">
      <c r="A245" t="s">
        <v>32</v>
      </c>
      <c r="B245" t="s">
        <v>4</v>
      </c>
      <c r="C245" t="s">
        <v>36</v>
      </c>
      <c r="D245" t="s">
        <v>112</v>
      </c>
      <c r="E245">
        <v>30</v>
      </c>
      <c r="F245" t="s">
        <v>209</v>
      </c>
      <c r="G245" t="s">
        <v>19</v>
      </c>
      <c r="H245" t="s">
        <v>8</v>
      </c>
      <c r="I245">
        <v>8</v>
      </c>
      <c r="J245">
        <v>0.9</v>
      </c>
      <c r="K245">
        <v>500</v>
      </c>
      <c r="L245">
        <v>14.4</v>
      </c>
      <c r="M245">
        <v>290.2</v>
      </c>
      <c r="N245">
        <v>290.2</v>
      </c>
      <c r="O245">
        <v>30</v>
      </c>
      <c r="P245">
        <v>1231.2000000000003</v>
      </c>
      <c r="Q245" t="e" cm="1">
        <f t="array" ref="Q245">AVERAGE(
    IF(
        ('Individual data from NASA'!$B:$B=$B245) *
        ('Individual data from NASA'!$C:$C=$G245) *
        ('Individual data from NASA'!$K:$K=$O245) *
        ('Individual data from NASA'!$D:$D=2),
        'Individual data from NASA'!M:M
    )
)</f>
        <v>#DIV/0!</v>
      </c>
      <c r="R245" t="e" cm="1">
        <f t="array" ref="R245">AVERAGE(
    IF(
        ('Individual data from NASA'!$B:$B=$B245) *
        ('Individual data from NASA'!$C:$C=$G245) *
        ('Individual data from NASA'!$K:$K=$O245) *
        ('Individual data from NASA'!$D:$D=2),
        'Individual data from NASA'!N:N
    )
)</f>
        <v>#DIV/0!</v>
      </c>
      <c r="S245" cm="1">
        <f t="array" ref="S245">AVERAGE(
    IF(
        ('Individual data from NASA'!$B:$B=$B245) *
        ('Individual data from NASA'!$C:$C=$G245) *
        ('Individual data from NASA'!$K:$K=$O245) *
        ('Individual data from NASA'!$D:$D=2),
        'Individual data from NASA'!O:O
    )
)</f>
        <v>4.57E+16</v>
      </c>
      <c r="T245" cm="1">
        <f t="array" ref="T245">AVERAGE(
    IF(
        ('Individual data from NASA'!$B:$B=$B245) *
        ('Individual data from NASA'!$C:$C=$G245) *
        ('Individual data from NASA'!$K:$K=$O245) *
        ('Individual data from NASA'!$D:$D=2),
        'Individual data from NASA'!P:P
    )
)</f>
        <v>4.99</v>
      </c>
      <c r="U245" cm="1">
        <f t="array" ref="U245">AVERAGE(
    IF(
        ('Individual data from NASA'!$B:$B=$B245) *
        ('Individual data from NASA'!$C:$C=$G245) *
        ('Individual data from NASA'!$K:$K=$O245) *
        ('Individual data from NASA'!$D:$D=2),
        'Individual data from NASA'!Q:Q
    )
)</f>
        <v>0.78600000000000003</v>
      </c>
      <c r="V245" cm="1">
        <f t="array" ref="V245">AVERAGE(
    IF(
        ('Individual data from NASA'!$B:$B=$B245) *
        ('Individual data from NASA'!$C:$C=$G245) *
        ('Individual data from NASA'!$K:$K=$O245) *
        ('Individual data from NASA'!$D:$D=2),
        'Individual data from NASA'!R:R
    )
)</f>
        <v>0.214</v>
      </c>
      <c r="W245" cm="1">
        <f t="array" ref="W245">AVERAGE(
    IF(
        ('Individual data from NASA'!$B:$B=$B245) *
        ('Individual data from NASA'!$C:$C=$G245) *
        ('Individual data from NASA'!$K:$K=$O245) *
        ('Individual data from NASA'!$D:$D=2),
        'Individual data from NASA'!S:S
    )
)</f>
        <v>15.19550563</v>
      </c>
      <c r="X245" cm="1">
        <f t="array" ref="X245">AVERAGE(
    IF(
        ('Individual data from NASA'!$B:$B=$B245) *
        ('Individual data from NASA'!$C:$C=$G245) *
        ('Individual data from NASA'!$K:$K=$O245) *
        ('Individual data from NASA'!$D:$D=2),
        'Individual data from NASA'!T:T
    )
)</f>
        <v>4.1277343660000003</v>
      </c>
      <c r="Y245" cm="1">
        <f t="array" ref="Y245">AVERAGE(
    IF(
        ('Individual data from NASA'!$B:$B=$B245) *
        ('Individual data from NASA'!$C:$C=$G245) *
        ('Individual data from NASA'!$K:$K=$O245) *
        ('Individual data from NASA'!$D:$D=2),
        'Individual data from NASA'!U:U
    )
)</f>
        <v>12.9146</v>
      </c>
      <c r="Z245" cm="1">
        <f t="array" ref="Z245">AVERAGE(
    IF(
        ('Individual data from NASA'!$B:$B=$B245) *
        ('Individual data from NASA'!$C:$C=$G245) *
        ('Individual data from NASA'!$K:$K=$O245) *
        ('Individual data from NASA'!$D:$D=2),
        'Individual data from NASA'!V:V
    )
)</f>
        <v>17.305299999999999</v>
      </c>
      <c r="AD245" t="str">
        <f t="shared" si="21"/>
        <v>Moore (2015)|ACCESS-I|Cruise|CFM56-2C1|30|Eg no 2 Intermediate</v>
      </c>
      <c r="AE245" s="13" cm="1">
        <f t="array" ref="AE245">I245 / _xlfn.XLOOKUP($AD245 &amp; "|" &amp; $H245, $AD:$AD &amp; "|" &amp; $G:$G, I:I)</f>
        <v>0.5</v>
      </c>
      <c r="AF245" s="13" cm="1">
        <f t="array" ref="AF245">J245 / _xlfn.XLOOKUP($AD245 &amp; "|" &amp; $H245, $AD:$AD &amp; "|" &amp; $G:$G, J:J)</f>
        <v>0.6428571428571429</v>
      </c>
      <c r="AG245" s="13" cm="1">
        <f t="array" ref="AG245">K245 / _xlfn.XLOOKUP($AD245 &amp; "|" &amp; $H245, $AD:$AD &amp; "|" &amp; $G:$G, K:K)</f>
        <v>0.625</v>
      </c>
      <c r="AH245" s="13" cm="1">
        <f t="array" ref="AH245">L245 / _xlfn.XLOOKUP($AD245 &amp; "|" &amp; $H245, $AD:$AD &amp; "|" &amp; $G:$G, L:L)</f>
        <v>1.0359712230215827</v>
      </c>
      <c r="AI245" s="13" cm="1">
        <f t="array" ref="AI245">M245 / _xlfn.XLOOKUP($AD245 &amp; "|" &amp; $H245, $AD:$AD &amp; "|" &amp; $G:$G, M:M)</f>
        <v>1.0081639742921662</v>
      </c>
      <c r="AJ245" s="13" cm="1">
        <f t="array" ref="AJ245">N245 / _xlfn.XLOOKUP($AD245 &amp; "|" &amp; $H245, $AD:$AD &amp; "|" &amp; $G:$G, N:N)</f>
        <v>1.0081639742921662</v>
      </c>
      <c r="AK245" s="13" cm="1">
        <f t="array" ref="AK245">O245 / _xlfn.XLOOKUP($AD245 &amp; "|" &amp; $H245, $AD:$AD &amp; "|" &amp; $G:$G, O:O)</f>
        <v>1</v>
      </c>
      <c r="AL245" s="13" cm="1">
        <f t="array" ref="AL245">P245 / _xlfn.XLOOKUP($AD245 &amp; "|" &amp; $H245, $AD:$AD &amp; "|" &amp; $G:$G, P:P)</f>
        <v>1</v>
      </c>
      <c r="AM245" s="13" t="e" cm="1">
        <f t="array" ref="AM245">Q245 / _xlfn.XLOOKUP($AD245 &amp; "|" &amp; $H245, $AD:$AD &amp; "|" &amp; $G:$G, Q:Q)</f>
        <v>#DIV/0!</v>
      </c>
      <c r="AN245" s="13" t="e" cm="1">
        <f t="array" ref="AN245">R245 / _xlfn.XLOOKUP($AD245 &amp; "|" &amp; $H245, $AD:$AD &amp; "|" &amp; $G:$G, R:R)</f>
        <v>#DIV/0!</v>
      </c>
      <c r="AO245" s="13" cm="1">
        <f t="array" ref="AO245">S245 / _xlfn.XLOOKUP($AD245 &amp; "|" &amp; $H245, $AD:$AD &amp; "|" &amp; $G:$G, S:S)</f>
        <v>0.892578125</v>
      </c>
      <c r="AP245" s="13" cm="1">
        <f t="array" ref="AP245">T245 / _xlfn.XLOOKUP($AD245 &amp; "|" &amp; $H245, $AD:$AD &amp; "|" &amp; $G:$G, T:T)</f>
        <v>0.32381570408825439</v>
      </c>
      <c r="AQ245" s="13" cm="1">
        <f t="array" ref="AQ245">U245 / _xlfn.XLOOKUP($AD245 &amp; "|" &amp; $H245, $AD:$AD &amp; "|" &amp; $G:$G, U:U)</f>
        <v>1.1424418604651163</v>
      </c>
      <c r="AR245" s="13" cm="1">
        <f t="array" ref="AR245">V245 / _xlfn.XLOOKUP($AD245 &amp; "|" &amp; $H245, $AD:$AD &amp; "|" &amp; $G:$G, V:V)</f>
        <v>0.6858974358974359</v>
      </c>
      <c r="AS245" s="13" cm="1">
        <f t="array" ref="AS245">W245 / _xlfn.XLOOKUP($AD245 &amp; "|" &amp; $H245, $AD:$AD &amp; "|" &amp; $G:$G, W:W)</f>
        <v>0.94521345483394714</v>
      </c>
      <c r="AT245" s="13" cm="1">
        <f t="array" ref="AT245">X245 / _xlfn.XLOOKUP($AD245 &amp; "|" &amp; $H245, $AD:$AD &amp; "|" &amp; $G:$G, X:X)</f>
        <v>0.56681497846131457</v>
      </c>
      <c r="AU245" s="13" cm="1">
        <f t="array" ref="AU245">Y245 / _xlfn.XLOOKUP($AD245 &amp; "|" &amp; $H245, $AD:$AD &amp; "|" &amp; $G:$G, Y:Y)</f>
        <v>0.92396957924634948</v>
      </c>
      <c r="AV245" s="13" cm="1">
        <f t="array" ref="AV245">Z245 / _xlfn.XLOOKUP($AD245 &amp; "|" &amp; $H245, $AD:$AD &amp; "|" &amp; $G:$G, Z:Z)</f>
        <v>0.84144372805865941</v>
      </c>
      <c r="AW245" s="13" cm="1">
        <f t="array" ref="AW245">_xlfn.XLOOKUP($AD245 &amp; "|" &amp; $H245, $AD:$AD &amp; "|" &amp; $G:$G, L:L)</f>
        <v>13.9</v>
      </c>
      <c r="AY245" s="13"/>
      <c r="AZ245" t="s">
        <v>232</v>
      </c>
    </row>
    <row r="246" spans="1:52" x14ac:dyDescent="0.2">
      <c r="A246" t="s">
        <v>32</v>
      </c>
      <c r="B246" t="s">
        <v>4</v>
      </c>
      <c r="C246" t="s">
        <v>36</v>
      </c>
      <c r="D246" t="s">
        <v>112</v>
      </c>
      <c r="E246">
        <v>30</v>
      </c>
      <c r="F246" t="s">
        <v>210</v>
      </c>
      <c r="G246" t="s">
        <v>19</v>
      </c>
      <c r="H246" t="s">
        <v>8</v>
      </c>
      <c r="I246">
        <v>8</v>
      </c>
      <c r="J246">
        <v>0.9</v>
      </c>
      <c r="K246">
        <v>500</v>
      </c>
      <c r="L246">
        <v>14.4</v>
      </c>
      <c r="M246">
        <v>290.64999999999998</v>
      </c>
      <c r="N246">
        <v>290.64999999999998</v>
      </c>
      <c r="O246">
        <v>65</v>
      </c>
      <c r="P246">
        <v>2167.1999999999998</v>
      </c>
      <c r="Q246" cm="1">
        <f t="array" ref="Q246">AVERAGE(
    IF(
        ('Individual data from NASA'!$B:$B=$B246) *
        ('Individual data from NASA'!$C:$C=$G246) *
        ('Individual data from NASA'!$K:$K=$O246) *
        ('Individual data from NASA'!$D:$D=2),
        'Individual data from NASA'!M:M
    )
)</f>
        <v>464000000000000</v>
      </c>
      <c r="R246" cm="1">
        <f t="array" ref="R246">AVERAGE(
    IF(
        ('Individual data from NASA'!$B:$B=$B246) *
        ('Individual data from NASA'!$C:$C=$G246) *
        ('Individual data from NASA'!$K:$K=$O246) *
        ('Individual data from NASA'!$D:$D=2),
        'Individual data from NASA'!N:N
    )
)</f>
        <v>6220000000000000</v>
      </c>
      <c r="S246" cm="1">
        <f t="array" ref="S246">AVERAGE(
    IF(
        ('Individual data from NASA'!$B:$B=$B246) *
        ('Individual data from NASA'!$C:$C=$G246) *
        ('Individual data from NASA'!$K:$K=$O246) *
        ('Individual data from NASA'!$D:$D=2),
        'Individual data from NASA'!O:O
    )
)</f>
        <v>6690000000000000</v>
      </c>
      <c r="T246" cm="1">
        <f t="array" ref="T246">AVERAGE(
    IF(
        ('Individual data from NASA'!$B:$B=$B246) *
        ('Individual data from NASA'!$C:$C=$G246) *
        ('Individual data from NASA'!$K:$K=$O246) *
        ('Individual data from NASA'!$D:$D=2),
        'Individual data from NASA'!P:P
    )
)</f>
        <v>35.6</v>
      </c>
      <c r="U246" cm="1">
        <f t="array" ref="U246">AVERAGE(
    IF(
        ('Individual data from NASA'!$B:$B=$B246) *
        ('Individual data from NASA'!$C:$C=$G246) *
        ('Individual data from NASA'!$K:$K=$O246) *
        ('Individual data from NASA'!$D:$D=2),
        'Individual data from NASA'!Q:Q
    )
)</f>
        <v>0.78100000000000003</v>
      </c>
      <c r="V246" cm="1">
        <f t="array" ref="V246">AVERAGE(
    IF(
        ('Individual data from NASA'!$B:$B=$B246) *
        ('Individual data from NASA'!$C:$C=$G246) *
        ('Individual data from NASA'!$K:$K=$O246) *
        ('Individual data from NASA'!$D:$D=2),
        'Individual data from NASA'!R:R
    )
)</f>
        <v>0.219</v>
      </c>
      <c r="W246" cm="1">
        <f t="array" ref="W246">AVERAGE(
    IF(
        ('Individual data from NASA'!$B:$B=$B246) *
        ('Individual data from NASA'!$C:$C=$G246) *
        ('Individual data from NASA'!$K:$K=$O246) *
        ('Individual data from NASA'!$D:$D=2),
        'Individual data from NASA'!S:S
    )
)</f>
        <v>12.456433560000001</v>
      </c>
      <c r="X246" cm="1">
        <f t="array" ref="X246">AVERAGE(
    IF(
        ('Individual data from NASA'!$B:$B=$B246) *
        ('Individual data from NASA'!$C:$C=$G246) *
        ('Individual data from NASA'!$K:$K=$O246) *
        ('Individual data from NASA'!$D:$D=2),
        'Individual data from NASA'!T:T
    )
)</f>
        <v>3.4957664359999998</v>
      </c>
      <c r="Y246" cm="1">
        <f t="array" ref="Y246">AVERAGE(
    IF(
        ('Individual data from NASA'!$B:$B=$B246) *
        ('Individual data from NASA'!$C:$C=$G246) *
        ('Individual data from NASA'!$K:$K=$O246) *
        ('Individual data from NASA'!$D:$D=2),
        'Individual data from NASA'!U:U
    )
)</f>
        <v>12.841699999999999</v>
      </c>
      <c r="Z246" cm="1">
        <f t="array" ref="Z246">AVERAGE(
    IF(
        ('Individual data from NASA'!$B:$B=$B246) *
        ('Individual data from NASA'!$C:$C=$G246) *
        ('Individual data from NASA'!$K:$K=$O246) *
        ('Individual data from NASA'!$D:$D=2),
        'Individual data from NASA'!V:V
    )
)</f>
        <v>30.298300000000001</v>
      </c>
      <c r="AD246" t="str">
        <f t="shared" si="21"/>
        <v>Moore (2015)|ACCESS-I|Cruise|CFM56-2C1|30|Eg no 2 Mid power</v>
      </c>
      <c r="AE246" s="13" cm="1">
        <f t="array" ref="AE246">I246 / _xlfn.XLOOKUP($AD246 &amp; "|" &amp; $H246, $AD:$AD &amp; "|" &amp; $G:$G, I:I)</f>
        <v>0.5</v>
      </c>
      <c r="AF246" s="13" cm="1">
        <f t="array" ref="AF246">J246 / _xlfn.XLOOKUP($AD246 &amp; "|" &amp; $H246, $AD:$AD &amp; "|" &amp; $G:$G, J:J)</f>
        <v>0.6428571428571429</v>
      </c>
      <c r="AG246" s="13" cm="1">
        <f t="array" ref="AG246">K246 / _xlfn.XLOOKUP($AD246 &amp; "|" &amp; $H246, $AD:$AD &amp; "|" &amp; $G:$G, K:K)</f>
        <v>0.625</v>
      </c>
      <c r="AH246" s="13" cm="1">
        <f t="array" ref="AH246">L246 / _xlfn.XLOOKUP($AD246 &amp; "|" &amp; $H246, $AD:$AD &amp; "|" &amp; $G:$G, L:L)</f>
        <v>1.0359712230215827</v>
      </c>
      <c r="AI246" s="13" cm="1">
        <f t="array" ref="AI246">M246 / _xlfn.XLOOKUP($AD246 &amp; "|" &amp; $H246, $AD:$AD &amp; "|" &amp; $G:$G, M:M)</f>
        <v>1.0051876188829327</v>
      </c>
      <c r="AJ246" s="13" cm="1">
        <f t="array" ref="AJ246">N246 / _xlfn.XLOOKUP($AD246 &amp; "|" &amp; $H246, $AD:$AD &amp; "|" &amp; $G:$G, N:N)</f>
        <v>1.0051876188829327</v>
      </c>
      <c r="AK246" s="13" cm="1">
        <f t="array" ref="AK246">O246 / _xlfn.XLOOKUP($AD246 &amp; "|" &amp; $H246, $AD:$AD &amp; "|" &amp; $G:$G, O:O)</f>
        <v>1</v>
      </c>
      <c r="AL246" s="13" cm="1">
        <f t="array" ref="AL246">P246 / _xlfn.XLOOKUP($AD246 &amp; "|" &amp; $H246, $AD:$AD &amp; "|" &amp; $G:$G, P:P)</f>
        <v>1</v>
      </c>
      <c r="AM246" s="13" cm="1">
        <f t="array" ref="AM246">Q246 / _xlfn.XLOOKUP($AD246 &amp; "|" &amp; $H246, $AD:$AD &amp; "|" &amp; $G:$G, Q:Q)</f>
        <v>0.86891385767790263</v>
      </c>
      <c r="AN246" s="13" cm="1">
        <f t="array" ref="AN246">R246 / _xlfn.XLOOKUP($AD246 &amp; "|" &amp; $H246, $AD:$AD &amp; "|" &amp; $G:$G, R:R)</f>
        <v>1.2390438247011952</v>
      </c>
      <c r="AO246" s="13" cm="1">
        <f t="array" ref="AO246">S246 / _xlfn.XLOOKUP($AD246 &amp; "|" &amp; $H246, $AD:$AD &amp; "|" &amp; $G:$G, S:S)</f>
        <v>1.2032374100719425</v>
      </c>
      <c r="AP246" s="13" cm="1">
        <f t="array" ref="AP246">T246 / _xlfn.XLOOKUP($AD246 &amp; "|" &amp; $H246, $AD:$AD &amp; "|" &amp; $G:$G, T:T)</f>
        <v>0.5399666312755953</v>
      </c>
      <c r="AQ246" s="13" cm="1">
        <f t="array" ref="AQ246">U246 / _xlfn.XLOOKUP($AD246 &amp; "|" &amp; $H246, $AD:$AD &amp; "|" &amp; $G:$G, U:U)</f>
        <v>1.1318840579710145</v>
      </c>
      <c r="AR246" s="13" cm="1">
        <f t="array" ref="AR246">V246 / _xlfn.XLOOKUP($AD246 &amp; "|" &amp; $H246, $AD:$AD &amp; "|" &amp; $G:$G, V:V)</f>
        <v>0.70645161290322578</v>
      </c>
      <c r="AS246" s="13" cm="1">
        <f t="array" ref="AS246">W246 / _xlfn.XLOOKUP($AD246 &amp; "|" &amp; $H246, $AD:$AD &amp; "|" &amp; $G:$G, W:W)</f>
        <v>1.1447928199350967</v>
      </c>
      <c r="AT246" s="13" cm="1">
        <f t="array" ref="AT246">X246 / _xlfn.XLOOKUP($AD246 &amp; "|" &amp; $H246, $AD:$AD &amp; "|" &amp; $G:$G, X:X)</f>
        <v>0.71568124563160362</v>
      </c>
      <c r="AU246" s="13" cm="1">
        <f t="array" ref="AU246">Y246 / _xlfn.XLOOKUP($AD246 &amp; "|" &amp; $H246, $AD:$AD &amp; "|" &amp; $G:$G, Y:Y)</f>
        <v>0.91966856209805625</v>
      </c>
      <c r="AV246" s="13" cm="1">
        <f t="array" ref="AV246">Z246 / _xlfn.XLOOKUP($AD246 &amp; "|" &amp; $H246, $AD:$AD &amp; "|" &amp; $G:$G, Z:Z)</f>
        <v>0.87162263239050874</v>
      </c>
      <c r="AW246" s="13" cm="1">
        <f t="array" ref="AW246">_xlfn.XLOOKUP($AD246 &amp; "|" &amp; $H246, $AD:$AD &amp; "|" &amp; $G:$G, L:L)</f>
        <v>13.9</v>
      </c>
      <c r="AY246" s="13"/>
      <c r="AZ246" t="s">
        <v>232</v>
      </c>
    </row>
    <row r="247" spans="1:52" x14ac:dyDescent="0.2">
      <c r="A247" t="s">
        <v>32</v>
      </c>
      <c r="B247" t="s">
        <v>4</v>
      </c>
      <c r="C247" t="s">
        <v>36</v>
      </c>
      <c r="D247" t="s">
        <v>112</v>
      </c>
      <c r="E247">
        <v>30</v>
      </c>
      <c r="F247" t="s">
        <v>211</v>
      </c>
      <c r="G247" t="s">
        <v>19</v>
      </c>
      <c r="H247" t="s">
        <v>8</v>
      </c>
      <c r="I247">
        <v>8</v>
      </c>
      <c r="J247">
        <v>0.9</v>
      </c>
      <c r="K247">
        <v>500</v>
      </c>
      <c r="L247">
        <v>14.4</v>
      </c>
      <c r="M247">
        <v>290.73999999999995</v>
      </c>
      <c r="N247">
        <v>290.73999999999995</v>
      </c>
      <c r="O247">
        <v>85</v>
      </c>
      <c r="P247">
        <v>3041.9999999999995</v>
      </c>
      <c r="Q247" cm="1">
        <f t="array" ref="Q247">AVERAGE(
    IF(
        ('Individual data from NASA'!$B:$B=$B247) *
        ('Individual data from NASA'!$C:$C=$G247) *
        ('Individual data from NASA'!$K:$K=$O247) *
        ('Individual data from NASA'!$D:$D=2),
        'Individual data from NASA'!M:M
    )
)</f>
        <v>1310000000000000</v>
      </c>
      <c r="R247" cm="1">
        <f t="array" ref="R247">AVERAGE(
    IF(
        ('Individual data from NASA'!$B:$B=$B247) *
        ('Individual data from NASA'!$C:$C=$G247) *
        ('Individual data from NASA'!$K:$K=$O247) *
        ('Individual data from NASA'!$D:$D=2),
        'Individual data from NASA'!N:N
    )
)</f>
        <v>7790000000000000</v>
      </c>
      <c r="S247" cm="1">
        <f t="array" ref="S247">AVERAGE(
    IF(
        ('Individual data from NASA'!$B:$B=$B247) *
        ('Individual data from NASA'!$C:$C=$G247) *
        ('Individual data from NASA'!$K:$K=$O247) *
        ('Individual data from NASA'!$D:$D=2),
        'Individual data from NASA'!O:O
    )
)</f>
        <v>9100000000000000</v>
      </c>
      <c r="T247" cm="1">
        <f t="array" ref="T247">AVERAGE(
    IF(
        ('Individual data from NASA'!$B:$B=$B247) *
        ('Individual data from NASA'!$C:$C=$G247) *
        ('Individual data from NASA'!$K:$K=$O247) *
        ('Individual data from NASA'!$D:$D=2),
        'Individual data from NASA'!P:P
    )
)</f>
        <v>81.12</v>
      </c>
      <c r="U247" cm="1">
        <f t="array" ref="U247">AVERAGE(
    IF(
        ('Individual data from NASA'!$B:$B=$B247) *
        ('Individual data from NASA'!$C:$C=$G247) *
        ('Individual data from NASA'!$K:$K=$O247) *
        ('Individual data from NASA'!$D:$D=2),
        'Individual data from NASA'!Q:Q
    )
)</f>
        <v>0.78115345000000003</v>
      </c>
      <c r="V247" cm="1">
        <f t="array" ref="V247">AVERAGE(
    IF(
        ('Individual data from NASA'!$B:$B=$B247) *
        ('Individual data from NASA'!$C:$C=$G247) *
        ('Individual data from NASA'!$K:$K=$O247) *
        ('Individual data from NASA'!$D:$D=2),
        'Individual data from NASA'!R:R
    )
)</f>
        <v>0.21884655</v>
      </c>
      <c r="W247" cm="1">
        <f t="array" ref="W247">AVERAGE(
    IF(
        ('Individual data from NASA'!$B:$B=$B247) *
        ('Individual data from NASA'!$C:$C=$G247) *
        ('Individual data from NASA'!$K:$K=$O247) *
        ('Individual data from NASA'!$D:$D=2),
        'Individual data from NASA'!S:S
    )
)</f>
        <v>21.032556639999999</v>
      </c>
      <c r="X247" cm="1">
        <f t="array" ref="X247">AVERAGE(
    IF(
        ('Individual data from NASA'!$B:$B=$B247) *
        ('Individual data from NASA'!$C:$C=$G247) *
        ('Individual data from NASA'!$K:$K=$O247) *
        ('Individual data from NASA'!$D:$D=2),
        'Individual data from NASA'!T:T
    )
)</f>
        <v>5.8924433570000003</v>
      </c>
      <c r="Y247" cm="1">
        <f t="array" ref="Y247">AVERAGE(
    IF(
        ('Individual data from NASA'!$B:$B=$B247) *
        ('Individual data from NASA'!$C:$C=$G247) *
        ('Individual data from NASA'!$K:$K=$O247) *
        ('Individual data from NASA'!$D:$D=2),
        'Individual data from NASA'!U:U
    )
)</f>
        <v>12.619300000000001</v>
      </c>
      <c r="Z247" cm="1">
        <f t="array" ref="Z247">AVERAGE(
    IF(
        ('Individual data from NASA'!$B:$B=$B247) *
        ('Individual data from NASA'!$C:$C=$G247) *
        ('Individual data from NASA'!$K:$K=$O247) *
        ('Individual data from NASA'!$D:$D=2),
        'Individual data from NASA'!V:V
    )
)</f>
        <v>53.1875</v>
      </c>
      <c r="AD247" t="str">
        <f t="shared" si="21"/>
        <v>Moore (2015)|ACCESS-I|Cruise|CFM56-2C1|30|Eg no 2 Climb</v>
      </c>
      <c r="AE247" s="13" cm="1">
        <f t="array" ref="AE247">I247 / _xlfn.XLOOKUP($AD247 &amp; "|" &amp; $H247, $AD:$AD &amp; "|" &amp; $G:$G, I:I)</f>
        <v>0.5</v>
      </c>
      <c r="AF247" s="13" cm="1">
        <f t="array" ref="AF247">J247 / _xlfn.XLOOKUP($AD247 &amp; "|" &amp; $H247, $AD:$AD &amp; "|" &amp; $G:$G, J:J)</f>
        <v>0.6428571428571429</v>
      </c>
      <c r="AG247" s="13" cm="1">
        <f t="array" ref="AG247">K247 / _xlfn.XLOOKUP($AD247 &amp; "|" &amp; $H247, $AD:$AD &amp; "|" &amp; $G:$G, K:K)</f>
        <v>0.625</v>
      </c>
      <c r="AH247" s="13" cm="1">
        <f t="array" ref="AH247">L247 / _xlfn.XLOOKUP($AD247 &amp; "|" &amp; $H247, $AD:$AD &amp; "|" &amp; $G:$G, L:L)</f>
        <v>1.0359712230215827</v>
      </c>
      <c r="AI247" s="13" cm="1">
        <f t="array" ref="AI247">M247 / _xlfn.XLOOKUP($AD247 &amp; "|" &amp; $H247, $AD:$AD &amp; "|" &amp; $G:$G, M:M)</f>
        <v>1.0026900262105116</v>
      </c>
      <c r="AJ247" s="13" cm="1">
        <f t="array" ref="AJ247">N247 / _xlfn.XLOOKUP($AD247 &amp; "|" &amp; $H247, $AD:$AD &amp; "|" &amp; $G:$G, N:N)</f>
        <v>1.0026900262105116</v>
      </c>
      <c r="AK247" s="13" cm="1">
        <f t="array" ref="AK247">O247 / _xlfn.XLOOKUP($AD247 &amp; "|" &amp; $H247, $AD:$AD &amp; "|" &amp; $G:$G, O:O)</f>
        <v>1</v>
      </c>
      <c r="AL247" s="13" cm="1">
        <f t="array" ref="AL247">P247 / _xlfn.XLOOKUP($AD247 &amp; "|" &amp; $H247, $AD:$AD &amp; "|" &amp; $G:$G, P:P)</f>
        <v>1</v>
      </c>
      <c r="AM247" s="13" cm="1">
        <f t="array" ref="AM247">Q247 / _xlfn.XLOOKUP($AD247 &amp; "|" &amp; $H247, $AD:$AD &amp; "|" &amp; $G:$G, Q:Q)</f>
        <v>1.0826446280991735</v>
      </c>
      <c r="AN247" s="13" cm="1">
        <f t="array" ref="AN247">R247 / _xlfn.XLOOKUP($AD247 &amp; "|" &amp; $H247, $AD:$AD &amp; "|" &amp; $G:$G, R:R)</f>
        <v>0.73490566037735849</v>
      </c>
      <c r="AO247" s="13" cm="1">
        <f t="array" ref="AO247">S247 / _xlfn.XLOOKUP($AD247 &amp; "|" &amp; $H247, $AD:$AD &amp; "|" &amp; $G:$G, S:S)</f>
        <v>0.77118644067796616</v>
      </c>
      <c r="AP247" s="13" cm="1">
        <f t="array" ref="AP247">T247 / _xlfn.XLOOKUP($AD247 &amp; "|" &amp; $H247, $AD:$AD &amp; "|" &amp; $G:$G, T:T)</f>
        <v>0.68915130405233205</v>
      </c>
      <c r="AQ247" s="13" cm="1">
        <f t="array" ref="AQ247">U247 / _xlfn.XLOOKUP($AD247 &amp; "|" &amp; $H247, $AD:$AD &amp; "|" &amp; $G:$G, U:U)</f>
        <v>1.0971298340913729</v>
      </c>
      <c r="AR247" s="13" cm="1">
        <f t="array" ref="AR247">V247 / _xlfn.XLOOKUP($AD247 &amp; "|" &amp; $H247, $AD:$AD &amp; "|" &amp; $G:$G, V:V)</f>
        <v>0.75987665908455093</v>
      </c>
      <c r="AS247" s="13" cm="1">
        <f t="array" ref="AS247">W247 / _xlfn.XLOOKUP($AD247 &amp; "|" &amp; $H247, $AD:$AD &amp; "|" &amp; $G:$G, W:W)</f>
        <v>0.47307982542069205</v>
      </c>
      <c r="AT247" s="13" cm="1">
        <f t="array" ref="AT247">X247 / _xlfn.XLOOKUP($AD247 &amp; "|" &amp; $H247, $AD:$AD &amp; "|" &amp; $G:$G, X:X)</f>
        <v>0.32765704343795049</v>
      </c>
      <c r="AU247" s="13" cm="1">
        <f t="array" ref="AU247">Y247 / _xlfn.XLOOKUP($AD247 &amp; "|" &amp; $H247, $AD:$AD &amp; "|" &amp; $G:$G, Y:Y)</f>
        <v>0.92541286556569191</v>
      </c>
      <c r="AV247" s="13" cm="1">
        <f t="array" ref="AV247">Z247 / _xlfn.XLOOKUP($AD247 &amp; "|" &amp; $H247, $AD:$AD &amp; "|" &amp; $G:$G, Z:Z)</f>
        <v>1.0396569889383427</v>
      </c>
      <c r="AW247" s="13" cm="1">
        <f t="array" ref="AW247">_xlfn.XLOOKUP($AD247 &amp; "|" &amp; $H247, $AD:$AD &amp; "|" &amp; $G:$G, L:L)</f>
        <v>13.9</v>
      </c>
      <c r="AY247" s="13"/>
      <c r="AZ247" t="s">
        <v>232</v>
      </c>
    </row>
    <row r="248" spans="1:52" x14ac:dyDescent="0.2">
      <c r="A248" t="s">
        <v>177</v>
      </c>
      <c r="B248" t="s">
        <v>173</v>
      </c>
      <c r="C248" t="s">
        <v>110</v>
      </c>
      <c r="G248" t="s">
        <v>50</v>
      </c>
      <c r="I248">
        <v>23</v>
      </c>
      <c r="J248">
        <v>3</v>
      </c>
      <c r="K248">
        <v>3000</v>
      </c>
      <c r="AD248" t="str">
        <f t="shared" si="21"/>
        <v>Crayford (2022)|RAPTOR|Ground|||</v>
      </c>
      <c r="AW248" s="13"/>
    </row>
    <row r="249" spans="1:52" x14ac:dyDescent="0.2">
      <c r="A249" t="s">
        <v>177</v>
      </c>
      <c r="B249" t="s">
        <v>173</v>
      </c>
      <c r="C249" t="s">
        <v>110</v>
      </c>
      <c r="G249" t="s">
        <v>174</v>
      </c>
      <c r="H249" t="s">
        <v>50</v>
      </c>
      <c r="I249">
        <v>16</v>
      </c>
      <c r="J249">
        <v>0.5</v>
      </c>
      <c r="K249">
        <v>3000</v>
      </c>
      <c r="AD249" t="str">
        <f t="shared" si="21"/>
        <v>Crayford (2022)|RAPTOR|Ground|||</v>
      </c>
      <c r="AK249" s="13">
        <v>1</v>
      </c>
      <c r="AM249" s="13">
        <f>1-0.29</f>
        <v>0.71</v>
      </c>
      <c r="AN249" s="13"/>
      <c r="AP249" s="13">
        <f>1-0.51</f>
        <v>0.49</v>
      </c>
      <c r="AU249" s="13">
        <f>1-0.13</f>
        <v>0.87</v>
      </c>
      <c r="AW249" s="13"/>
      <c r="AY249" s="13"/>
    </row>
    <row r="250" spans="1:52" x14ac:dyDescent="0.2">
      <c r="A250" t="s">
        <v>177</v>
      </c>
      <c r="B250" t="s">
        <v>173</v>
      </c>
      <c r="C250" t="s">
        <v>110</v>
      </c>
      <c r="G250" t="s">
        <v>175</v>
      </c>
      <c r="H250" t="s">
        <v>50</v>
      </c>
      <c r="I250">
        <v>23</v>
      </c>
      <c r="J250">
        <v>3</v>
      </c>
      <c r="K250">
        <v>4</v>
      </c>
      <c r="AD250" t="str">
        <f t="shared" si="21"/>
        <v>Crayford (2022)|RAPTOR|Ground|||</v>
      </c>
      <c r="AW250" s="13"/>
    </row>
    <row r="251" spans="1:52" x14ac:dyDescent="0.2">
      <c r="A251" t="s">
        <v>177</v>
      </c>
      <c r="B251" t="s">
        <v>173</v>
      </c>
      <c r="C251" t="s">
        <v>110</v>
      </c>
      <c r="G251" t="s">
        <v>176</v>
      </c>
      <c r="H251" t="s">
        <v>50</v>
      </c>
      <c r="I251">
        <v>16</v>
      </c>
      <c r="J251">
        <v>0.5</v>
      </c>
      <c r="K251">
        <v>4</v>
      </c>
      <c r="AD251" t="str">
        <f t="shared" si="21"/>
        <v>Crayford (2022)|RAPTOR|Ground|||</v>
      </c>
      <c r="AK251" s="13">
        <v>1</v>
      </c>
      <c r="AM251">
        <f>1-0.07</f>
        <v>0.92999999999999994</v>
      </c>
      <c r="AP251">
        <f>1-0.04</f>
        <v>0.96</v>
      </c>
      <c r="AU251">
        <f>1-0.07</f>
        <v>0.92999999999999994</v>
      </c>
      <c r="AW251" s="13"/>
    </row>
    <row r="252" spans="1:52" x14ac:dyDescent="0.2">
      <c r="A252" t="s">
        <v>177</v>
      </c>
      <c r="B252" t="s">
        <v>173</v>
      </c>
      <c r="C252" t="s">
        <v>110</v>
      </c>
      <c r="G252" t="s">
        <v>50</v>
      </c>
      <c r="I252">
        <v>23</v>
      </c>
      <c r="J252">
        <v>3</v>
      </c>
      <c r="K252">
        <v>3000</v>
      </c>
      <c r="AD252" t="str">
        <f t="shared" si="21"/>
        <v>Crayford (2022)|RAPTOR|Ground|||</v>
      </c>
      <c r="AW252" s="13"/>
    </row>
    <row r="253" spans="1:52" x14ac:dyDescent="0.2">
      <c r="A253" t="s">
        <v>177</v>
      </c>
      <c r="B253" t="s">
        <v>173</v>
      </c>
      <c r="C253" t="s">
        <v>110</v>
      </c>
      <c r="G253" t="s">
        <v>174</v>
      </c>
      <c r="H253" t="s">
        <v>50</v>
      </c>
      <c r="I253">
        <v>16</v>
      </c>
      <c r="J253">
        <v>0.5</v>
      </c>
      <c r="K253">
        <v>3000</v>
      </c>
      <c r="AD253" t="str">
        <f t="shared" si="21"/>
        <v>Crayford (2022)|RAPTOR|Ground|||</v>
      </c>
      <c r="AK253" s="13">
        <v>1</v>
      </c>
      <c r="AM253">
        <f>1-0.06</f>
        <v>0.94</v>
      </c>
      <c r="AP253">
        <f>1-0.26</f>
        <v>0.74</v>
      </c>
      <c r="AU253">
        <f>1-0.07</f>
        <v>0.92999999999999994</v>
      </c>
      <c r="AW253" s="13"/>
    </row>
    <row r="254" spans="1:52" x14ac:dyDescent="0.2">
      <c r="A254" t="s">
        <v>177</v>
      </c>
      <c r="B254" t="s">
        <v>173</v>
      </c>
      <c r="C254" t="s">
        <v>110</v>
      </c>
      <c r="G254" t="s">
        <v>175</v>
      </c>
      <c r="H254" t="s">
        <v>50</v>
      </c>
      <c r="I254">
        <v>23</v>
      </c>
      <c r="J254">
        <v>3</v>
      </c>
      <c r="K254">
        <v>4</v>
      </c>
      <c r="AD254" t="str">
        <f t="shared" si="21"/>
        <v>Crayford (2022)|RAPTOR|Ground|||</v>
      </c>
      <c r="AW254" s="13"/>
    </row>
    <row r="255" spans="1:52" x14ac:dyDescent="0.2">
      <c r="A255" t="s">
        <v>177</v>
      </c>
      <c r="B255" t="s">
        <v>173</v>
      </c>
      <c r="C255" t="s">
        <v>110</v>
      </c>
      <c r="G255" t="s">
        <v>176</v>
      </c>
      <c r="H255" t="s">
        <v>50</v>
      </c>
      <c r="I255">
        <v>16</v>
      </c>
      <c r="J255">
        <v>0.5</v>
      </c>
      <c r="K255">
        <v>4</v>
      </c>
      <c r="AD255" t="str">
        <f t="shared" si="21"/>
        <v>Crayford (2022)|RAPTOR|Ground|||</v>
      </c>
      <c r="AK255" s="13">
        <v>1</v>
      </c>
      <c r="AM255">
        <f>1-0.33</f>
        <v>0.66999999999999993</v>
      </c>
      <c r="AP255">
        <f>1-0.42</f>
        <v>0.58000000000000007</v>
      </c>
      <c r="AU255">
        <f>1-0.07</f>
        <v>0.92999999999999994</v>
      </c>
      <c r="AW255" s="13"/>
    </row>
    <row r="256" spans="1:52" x14ac:dyDescent="0.2">
      <c r="B256" t="s">
        <v>178</v>
      </c>
      <c r="C256" t="s">
        <v>110</v>
      </c>
      <c r="D256" t="s">
        <v>182</v>
      </c>
      <c r="G256" t="s">
        <v>218</v>
      </c>
      <c r="H256" t="s">
        <v>50</v>
      </c>
      <c r="L256" s="13"/>
      <c r="O256">
        <v>5</v>
      </c>
      <c r="AD256" t="str">
        <f t="shared" si="21"/>
        <v>|SAMPLE 4|Ground|ALF507-1H||</v>
      </c>
      <c r="AM256">
        <v>0.78</v>
      </c>
      <c r="AP256">
        <v>0.28999999999999998</v>
      </c>
      <c r="AW256" s="13"/>
      <c r="AX256" s="13">
        <v>0.74</v>
      </c>
    </row>
    <row r="257" spans="2:50" x14ac:dyDescent="0.2">
      <c r="B257" t="s">
        <v>178</v>
      </c>
      <c r="C257" t="s">
        <v>110</v>
      </c>
      <c r="D257" t="s">
        <v>182</v>
      </c>
      <c r="G257" t="s">
        <v>218</v>
      </c>
      <c r="H257" t="s">
        <v>50</v>
      </c>
      <c r="L257" s="13"/>
      <c r="O257">
        <v>7</v>
      </c>
      <c r="AD257" t="str">
        <f t="shared" si="21"/>
        <v>|SAMPLE 4|Ground|ALF507-1H||</v>
      </c>
      <c r="AM257">
        <v>0.77</v>
      </c>
      <c r="AP257">
        <v>0.27</v>
      </c>
      <c r="AW257" s="13"/>
      <c r="AX257" s="13">
        <v>0.74</v>
      </c>
    </row>
    <row r="258" spans="2:50" x14ac:dyDescent="0.2">
      <c r="B258" t="s">
        <v>178</v>
      </c>
      <c r="C258" t="s">
        <v>110</v>
      </c>
      <c r="D258" t="s">
        <v>182</v>
      </c>
      <c r="G258" t="s">
        <v>218</v>
      </c>
      <c r="H258" t="s">
        <v>50</v>
      </c>
      <c r="L258" s="13"/>
      <c r="O258">
        <v>6.3</v>
      </c>
      <c r="AD258" t="str">
        <f t="shared" si="21"/>
        <v>|SAMPLE 4|Ground|ALF507-1H||</v>
      </c>
      <c r="AM258">
        <v>0.74</v>
      </c>
      <c r="AP258">
        <v>0.55000000000000004</v>
      </c>
      <c r="AW258" s="13"/>
      <c r="AX258" s="13">
        <v>0.74</v>
      </c>
    </row>
    <row r="259" spans="2:50" x14ac:dyDescent="0.2">
      <c r="B259" t="s">
        <v>178</v>
      </c>
      <c r="C259" t="s">
        <v>110</v>
      </c>
      <c r="D259" t="s">
        <v>182</v>
      </c>
      <c r="G259" t="s">
        <v>218</v>
      </c>
      <c r="H259" t="s">
        <v>50</v>
      </c>
      <c r="L259" s="13"/>
      <c r="O259">
        <v>6.3</v>
      </c>
      <c r="AD259" t="str">
        <f t="shared" ref="AD259:AD317" si="22">A259 &amp; "|" &amp; B259 &amp; "|" &amp; C259 &amp; "|" &amp; D259 &amp; "|" &amp; E259 &amp;"|" &amp; F259</f>
        <v>|SAMPLE 4|Ground|ALF507-1H||</v>
      </c>
      <c r="AM259">
        <v>0.69</v>
      </c>
      <c r="AP259">
        <v>0.63</v>
      </c>
      <c r="AW259" s="13"/>
      <c r="AX259" s="13">
        <v>0.74</v>
      </c>
    </row>
    <row r="260" spans="2:50" x14ac:dyDescent="0.2">
      <c r="B260" t="s">
        <v>178</v>
      </c>
      <c r="C260" t="s">
        <v>110</v>
      </c>
      <c r="D260" t="s">
        <v>182</v>
      </c>
      <c r="G260" t="s">
        <v>218</v>
      </c>
      <c r="H260" t="s">
        <v>50</v>
      </c>
      <c r="L260" s="13"/>
      <c r="O260">
        <v>7.2</v>
      </c>
      <c r="AD260" t="str">
        <f t="shared" si="22"/>
        <v>|SAMPLE 4|Ground|ALF507-1H||</v>
      </c>
      <c r="AM260">
        <v>0.67</v>
      </c>
      <c r="AP260">
        <v>0.63</v>
      </c>
      <c r="AW260" s="13"/>
      <c r="AX260" s="13">
        <v>0.74</v>
      </c>
    </row>
    <row r="261" spans="2:50" x14ac:dyDescent="0.2">
      <c r="B261" t="s">
        <v>178</v>
      </c>
      <c r="C261" t="s">
        <v>110</v>
      </c>
      <c r="D261" t="s">
        <v>182</v>
      </c>
      <c r="G261" t="s">
        <v>218</v>
      </c>
      <c r="H261" t="s">
        <v>50</v>
      </c>
      <c r="L261" s="13"/>
      <c r="O261">
        <v>29</v>
      </c>
      <c r="AD261" t="str">
        <f t="shared" si="22"/>
        <v>|SAMPLE 4|Ground|ALF507-1H||</v>
      </c>
      <c r="AM261">
        <v>0.54</v>
      </c>
      <c r="AP261">
        <v>0.34</v>
      </c>
      <c r="AW261" s="13"/>
      <c r="AX261" s="13">
        <v>0.74</v>
      </c>
    </row>
    <row r="262" spans="2:50" x14ac:dyDescent="0.2">
      <c r="B262" t="s">
        <v>178</v>
      </c>
      <c r="C262" t="s">
        <v>110</v>
      </c>
      <c r="D262" t="s">
        <v>182</v>
      </c>
      <c r="G262" t="s">
        <v>218</v>
      </c>
      <c r="H262" t="s">
        <v>50</v>
      </c>
      <c r="L262" s="13"/>
      <c r="O262">
        <v>40</v>
      </c>
      <c r="AD262" t="str">
        <f t="shared" si="22"/>
        <v>|SAMPLE 4|Ground|ALF507-1H||</v>
      </c>
      <c r="AM262">
        <v>0.59</v>
      </c>
      <c r="AP262">
        <v>0.36</v>
      </c>
      <c r="AW262" s="13"/>
      <c r="AX262" s="13">
        <v>0.74</v>
      </c>
    </row>
    <row r="263" spans="2:50" x14ac:dyDescent="0.2">
      <c r="B263" t="s">
        <v>178</v>
      </c>
      <c r="C263" t="s">
        <v>110</v>
      </c>
      <c r="D263" t="s">
        <v>182</v>
      </c>
      <c r="G263" t="s">
        <v>218</v>
      </c>
      <c r="H263" t="s">
        <v>50</v>
      </c>
      <c r="L263" s="13"/>
      <c r="O263">
        <v>59</v>
      </c>
      <c r="AD263" t="str">
        <f t="shared" si="22"/>
        <v>|SAMPLE 4|Ground|ALF507-1H||</v>
      </c>
      <c r="AM263">
        <v>0.72</v>
      </c>
      <c r="AP263">
        <v>0.48</v>
      </c>
      <c r="AW263" s="13"/>
      <c r="AX263" s="13">
        <v>0.74</v>
      </c>
    </row>
    <row r="264" spans="2:50" x14ac:dyDescent="0.2">
      <c r="B264" t="s">
        <v>178</v>
      </c>
      <c r="C264" t="s">
        <v>110</v>
      </c>
      <c r="D264" t="s">
        <v>182</v>
      </c>
      <c r="G264" t="s">
        <v>218</v>
      </c>
      <c r="H264" t="s">
        <v>50</v>
      </c>
      <c r="L264" s="13"/>
      <c r="O264">
        <v>88</v>
      </c>
      <c r="AD264" t="str">
        <f t="shared" si="22"/>
        <v>|SAMPLE 4|Ground|ALF507-1H||</v>
      </c>
      <c r="AM264">
        <v>0.89</v>
      </c>
      <c r="AP264">
        <v>0.57999999999999996</v>
      </c>
      <c r="AW264" s="13"/>
      <c r="AX264" s="13">
        <v>0.74</v>
      </c>
    </row>
    <row r="265" spans="2:50" x14ac:dyDescent="0.2">
      <c r="B265" t="s">
        <v>178</v>
      </c>
      <c r="C265" t="s">
        <v>110</v>
      </c>
      <c r="D265" t="s">
        <v>182</v>
      </c>
      <c r="G265" t="s">
        <v>218</v>
      </c>
      <c r="H265" t="s">
        <v>50</v>
      </c>
      <c r="L265" s="13"/>
      <c r="O265">
        <v>94</v>
      </c>
      <c r="AD265" t="str">
        <f t="shared" si="22"/>
        <v>|SAMPLE 4|Ground|ALF507-1H||</v>
      </c>
      <c r="AM265">
        <v>0.84</v>
      </c>
      <c r="AP265">
        <v>0.65</v>
      </c>
      <c r="AW265" s="13"/>
      <c r="AX265" s="13">
        <v>0.74</v>
      </c>
    </row>
    <row r="266" spans="2:50" x14ac:dyDescent="0.2">
      <c r="B266" t="s">
        <v>178</v>
      </c>
      <c r="C266" t="s">
        <v>110</v>
      </c>
      <c r="D266" t="s">
        <v>183</v>
      </c>
      <c r="G266" t="s">
        <v>218</v>
      </c>
      <c r="H266" t="s">
        <v>50</v>
      </c>
      <c r="L266" s="13"/>
      <c r="O266">
        <v>3</v>
      </c>
      <c r="AD266" t="str">
        <f t="shared" si="22"/>
        <v>|SAMPLE 4|Ground|ALF502-R5||</v>
      </c>
      <c r="AM266">
        <v>0.65</v>
      </c>
      <c r="AP266">
        <v>0.41</v>
      </c>
      <c r="AW266" s="13"/>
      <c r="AX266" s="13">
        <v>0.74</v>
      </c>
    </row>
    <row r="267" spans="2:50" x14ac:dyDescent="0.2">
      <c r="B267" t="s">
        <v>178</v>
      </c>
      <c r="C267" t="s">
        <v>110</v>
      </c>
      <c r="D267" t="s">
        <v>183</v>
      </c>
      <c r="G267" t="s">
        <v>218</v>
      </c>
      <c r="H267" t="s">
        <v>50</v>
      </c>
      <c r="L267" s="13"/>
      <c r="O267">
        <v>7</v>
      </c>
      <c r="AD267" t="str">
        <f t="shared" si="22"/>
        <v>|SAMPLE 4|Ground|ALF502-R5||</v>
      </c>
      <c r="AM267">
        <v>0.45</v>
      </c>
      <c r="AP267">
        <v>0.33</v>
      </c>
      <c r="AW267" s="13"/>
      <c r="AX267" s="13">
        <v>0.74</v>
      </c>
    </row>
    <row r="268" spans="2:50" x14ac:dyDescent="0.2">
      <c r="B268" t="s">
        <v>178</v>
      </c>
      <c r="C268" t="s">
        <v>110</v>
      </c>
      <c r="D268" t="s">
        <v>183</v>
      </c>
      <c r="G268" t="s">
        <v>218</v>
      </c>
      <c r="H268" t="s">
        <v>50</v>
      </c>
      <c r="L268" s="13"/>
      <c r="O268">
        <v>7</v>
      </c>
      <c r="AD268" t="str">
        <f t="shared" si="22"/>
        <v>|SAMPLE 4|Ground|ALF502-R5||</v>
      </c>
      <c r="AM268">
        <v>0.43</v>
      </c>
      <c r="AP268">
        <v>0.32</v>
      </c>
      <c r="AW268" s="13"/>
      <c r="AX268" s="13">
        <v>0.74</v>
      </c>
    </row>
    <row r="269" spans="2:50" x14ac:dyDescent="0.2">
      <c r="B269" t="s">
        <v>178</v>
      </c>
      <c r="C269" t="s">
        <v>110</v>
      </c>
      <c r="D269" t="s">
        <v>183</v>
      </c>
      <c r="G269" t="s">
        <v>218</v>
      </c>
      <c r="H269" t="s">
        <v>50</v>
      </c>
      <c r="L269" s="13"/>
      <c r="O269">
        <v>7</v>
      </c>
      <c r="AD269" t="str">
        <f t="shared" si="22"/>
        <v>|SAMPLE 4|Ground|ALF502-R5||</v>
      </c>
      <c r="AM269">
        <v>0.42</v>
      </c>
      <c r="AP269">
        <v>0.32</v>
      </c>
      <c r="AW269" s="13"/>
      <c r="AX269" s="13">
        <v>0.74</v>
      </c>
    </row>
    <row r="270" spans="2:50" x14ac:dyDescent="0.2">
      <c r="B270" t="s">
        <v>178</v>
      </c>
      <c r="C270" t="s">
        <v>110</v>
      </c>
      <c r="D270" t="s">
        <v>183</v>
      </c>
      <c r="G270" t="s">
        <v>218</v>
      </c>
      <c r="H270" t="s">
        <v>50</v>
      </c>
      <c r="L270" s="13"/>
      <c r="O270">
        <v>31</v>
      </c>
      <c r="AD270" t="str">
        <f t="shared" si="22"/>
        <v>|SAMPLE 4|Ground|ALF502-R5||</v>
      </c>
      <c r="AM270">
        <v>0.67</v>
      </c>
      <c r="AP270">
        <v>0.45</v>
      </c>
      <c r="AW270" s="13"/>
      <c r="AX270" s="13">
        <v>0.74</v>
      </c>
    </row>
    <row r="271" spans="2:50" x14ac:dyDescent="0.2">
      <c r="B271" t="s">
        <v>178</v>
      </c>
      <c r="C271" t="s">
        <v>110</v>
      </c>
      <c r="D271" t="s">
        <v>183</v>
      </c>
      <c r="G271" t="s">
        <v>218</v>
      </c>
      <c r="H271" t="s">
        <v>50</v>
      </c>
      <c r="L271" s="13"/>
      <c r="O271">
        <v>31</v>
      </c>
      <c r="AD271" t="str">
        <f t="shared" si="22"/>
        <v>|SAMPLE 4|Ground|ALF502-R5||</v>
      </c>
      <c r="AM271">
        <v>0.55000000000000004</v>
      </c>
      <c r="AP271">
        <v>0.35</v>
      </c>
      <c r="AW271" s="13"/>
      <c r="AX271" s="13">
        <v>0.74</v>
      </c>
    </row>
    <row r="272" spans="2:50" x14ac:dyDescent="0.2">
      <c r="B272" t="s">
        <v>178</v>
      </c>
      <c r="C272" t="s">
        <v>110</v>
      </c>
      <c r="D272" t="s">
        <v>183</v>
      </c>
      <c r="G272" t="s">
        <v>218</v>
      </c>
      <c r="H272" t="s">
        <v>50</v>
      </c>
      <c r="L272" s="13"/>
      <c r="O272">
        <v>43</v>
      </c>
      <c r="AD272" t="str">
        <f t="shared" si="22"/>
        <v>|SAMPLE 4|Ground|ALF502-R5||</v>
      </c>
      <c r="AM272">
        <v>0.56999999999999995</v>
      </c>
      <c r="AP272">
        <v>0.34</v>
      </c>
      <c r="AW272" s="13"/>
      <c r="AX272" s="13">
        <v>0.74</v>
      </c>
    </row>
    <row r="273" spans="2:51" x14ac:dyDescent="0.2">
      <c r="B273" t="s">
        <v>178</v>
      </c>
      <c r="C273" t="s">
        <v>110</v>
      </c>
      <c r="D273" t="s">
        <v>183</v>
      </c>
      <c r="G273" t="s">
        <v>218</v>
      </c>
      <c r="H273" t="s">
        <v>50</v>
      </c>
      <c r="L273" s="13"/>
      <c r="O273">
        <v>69</v>
      </c>
      <c r="AD273" t="str">
        <f t="shared" si="22"/>
        <v>|SAMPLE 4|Ground|ALF502-R5||</v>
      </c>
      <c r="AM273">
        <v>0.68</v>
      </c>
      <c r="AP273">
        <v>0.45</v>
      </c>
      <c r="AW273" s="13"/>
      <c r="AX273" s="13">
        <v>0.74</v>
      </c>
    </row>
    <row r="274" spans="2:51" x14ac:dyDescent="0.2">
      <c r="B274" t="s">
        <v>178</v>
      </c>
      <c r="C274" t="s">
        <v>110</v>
      </c>
      <c r="D274" t="s">
        <v>183</v>
      </c>
      <c r="G274" t="s">
        <v>218</v>
      </c>
      <c r="H274" t="s">
        <v>50</v>
      </c>
      <c r="L274" s="13"/>
      <c r="O274">
        <v>69</v>
      </c>
      <c r="AD274" t="str">
        <f t="shared" si="22"/>
        <v>|SAMPLE 4|Ground|ALF502-R5||</v>
      </c>
      <c r="AM274">
        <v>0.73</v>
      </c>
      <c r="AP274">
        <v>0.55000000000000004</v>
      </c>
      <c r="AW274" s="13"/>
      <c r="AX274" s="13">
        <v>0.74</v>
      </c>
    </row>
    <row r="275" spans="2:51" x14ac:dyDescent="0.2">
      <c r="B275" t="s">
        <v>178</v>
      </c>
      <c r="C275" t="s">
        <v>110</v>
      </c>
      <c r="D275" t="s">
        <v>183</v>
      </c>
      <c r="G275" t="s">
        <v>218</v>
      </c>
      <c r="H275" t="s">
        <v>50</v>
      </c>
      <c r="L275" s="13"/>
      <c r="O275">
        <v>85</v>
      </c>
      <c r="AD275" t="str">
        <f t="shared" si="22"/>
        <v>|SAMPLE 4|Ground|ALF502-R5||</v>
      </c>
      <c r="AM275">
        <v>0.79</v>
      </c>
      <c r="AP275">
        <v>0.56999999999999995</v>
      </c>
      <c r="AW275" s="13"/>
      <c r="AX275" s="13">
        <v>0.74</v>
      </c>
    </row>
    <row r="276" spans="2:51" x14ac:dyDescent="0.2">
      <c r="B276" t="s">
        <v>178</v>
      </c>
      <c r="C276" t="s">
        <v>110</v>
      </c>
      <c r="D276" t="s">
        <v>183</v>
      </c>
      <c r="G276" t="s">
        <v>218</v>
      </c>
      <c r="H276" t="s">
        <v>50</v>
      </c>
      <c r="L276" s="13"/>
      <c r="O276">
        <v>84</v>
      </c>
      <c r="AD276" t="str">
        <f t="shared" si="22"/>
        <v>|SAMPLE 4|Ground|ALF502-R5||</v>
      </c>
      <c r="AM276">
        <v>0.79</v>
      </c>
      <c r="AP276">
        <v>0.6</v>
      </c>
      <c r="AW276" s="13"/>
      <c r="AX276" s="13">
        <v>0.74</v>
      </c>
    </row>
    <row r="277" spans="2:51" x14ac:dyDescent="0.2">
      <c r="B277" t="s">
        <v>178</v>
      </c>
      <c r="C277" t="s">
        <v>110</v>
      </c>
      <c r="D277" t="s">
        <v>182</v>
      </c>
      <c r="G277" t="s">
        <v>218</v>
      </c>
      <c r="H277" t="s">
        <v>50</v>
      </c>
      <c r="L277" s="13"/>
      <c r="O277">
        <v>6</v>
      </c>
      <c r="AD277" t="str">
        <f t="shared" si="22"/>
        <v>|SAMPLE 4|Ground|ALF507-1H||</v>
      </c>
      <c r="AM277" s="13">
        <v>0.67481203007518797</v>
      </c>
      <c r="AW277" s="13"/>
      <c r="AX277" s="13">
        <v>0.47</v>
      </c>
      <c r="AY277" s="13"/>
    </row>
    <row r="278" spans="2:51" x14ac:dyDescent="0.2">
      <c r="B278" t="s">
        <v>178</v>
      </c>
      <c r="C278" t="s">
        <v>110</v>
      </c>
      <c r="D278" t="s">
        <v>182</v>
      </c>
      <c r="G278" t="s">
        <v>218</v>
      </c>
      <c r="H278" t="s">
        <v>50</v>
      </c>
      <c r="L278" s="13"/>
      <c r="O278">
        <v>6</v>
      </c>
      <c r="AD278" t="str">
        <f t="shared" si="22"/>
        <v>|SAMPLE 4|Ground|ALF507-1H||</v>
      </c>
      <c r="AM278" s="13">
        <v>0.65225563909773998</v>
      </c>
      <c r="AW278" s="13"/>
      <c r="AX278" s="13">
        <v>0.47</v>
      </c>
      <c r="AY278" s="13"/>
    </row>
    <row r="279" spans="2:51" x14ac:dyDescent="0.2">
      <c r="B279" t="s">
        <v>178</v>
      </c>
      <c r="C279" t="s">
        <v>110</v>
      </c>
      <c r="D279" t="s">
        <v>182</v>
      </c>
      <c r="G279" t="s">
        <v>218</v>
      </c>
      <c r="H279" t="s">
        <v>50</v>
      </c>
      <c r="L279" s="13"/>
      <c r="O279">
        <v>29</v>
      </c>
      <c r="AD279" t="str">
        <f t="shared" si="22"/>
        <v>|SAMPLE 4|Ground|ALF507-1H||</v>
      </c>
      <c r="AM279" s="13">
        <v>0.58834586466165395</v>
      </c>
      <c r="AW279" s="13"/>
      <c r="AX279" s="13">
        <v>0.47</v>
      </c>
      <c r="AY279" s="13"/>
    </row>
    <row r="280" spans="2:51" x14ac:dyDescent="0.2">
      <c r="B280" t="s">
        <v>178</v>
      </c>
      <c r="C280" t="s">
        <v>110</v>
      </c>
      <c r="D280" t="s">
        <v>182</v>
      </c>
      <c r="G280" t="s">
        <v>218</v>
      </c>
      <c r="H280" t="s">
        <v>50</v>
      </c>
      <c r="L280" s="13"/>
      <c r="O280">
        <v>37</v>
      </c>
      <c r="AD280" t="str">
        <f t="shared" si="22"/>
        <v>|SAMPLE 4|Ground|ALF507-1H||</v>
      </c>
      <c r="AM280" s="13">
        <v>0.55639097744360899</v>
      </c>
      <c r="AW280" s="13"/>
      <c r="AX280" s="13">
        <v>0.47</v>
      </c>
      <c r="AY280" s="13"/>
    </row>
    <row r="281" spans="2:51" x14ac:dyDescent="0.2">
      <c r="B281" t="s">
        <v>178</v>
      </c>
      <c r="C281" t="s">
        <v>110</v>
      </c>
      <c r="D281" t="s">
        <v>182</v>
      </c>
      <c r="G281" t="s">
        <v>218</v>
      </c>
      <c r="H281" t="s">
        <v>50</v>
      </c>
      <c r="L281" s="13"/>
      <c r="O281">
        <v>60</v>
      </c>
      <c r="AD281" t="str">
        <f t="shared" si="22"/>
        <v>|SAMPLE 4|Ground|ALF507-1H||</v>
      </c>
      <c r="AM281" s="13">
        <v>0.71804511278196004</v>
      </c>
      <c r="AW281" s="13"/>
      <c r="AX281" s="13">
        <v>0.47</v>
      </c>
      <c r="AY281" s="13"/>
    </row>
    <row r="282" spans="2:51" x14ac:dyDescent="0.2">
      <c r="B282" t="s">
        <v>178</v>
      </c>
      <c r="C282" t="s">
        <v>110</v>
      </c>
      <c r="D282" t="s">
        <v>182</v>
      </c>
      <c r="G282" t="s">
        <v>218</v>
      </c>
      <c r="H282" t="s">
        <v>50</v>
      </c>
      <c r="L282" s="13"/>
      <c r="O282">
        <v>60</v>
      </c>
      <c r="AD282" t="str">
        <f t="shared" si="22"/>
        <v>|SAMPLE 4|Ground|ALF507-1H||</v>
      </c>
      <c r="AM282" s="13">
        <v>0.7218045112782</v>
      </c>
      <c r="AW282" s="13"/>
      <c r="AX282" s="13">
        <v>0.47</v>
      </c>
      <c r="AY282" s="13"/>
    </row>
    <row r="283" spans="2:51" x14ac:dyDescent="0.2">
      <c r="B283" t="s">
        <v>178</v>
      </c>
      <c r="C283" t="s">
        <v>110</v>
      </c>
      <c r="D283" t="s">
        <v>182</v>
      </c>
      <c r="G283" t="s">
        <v>218</v>
      </c>
      <c r="H283" t="s">
        <v>50</v>
      </c>
      <c r="L283" s="13"/>
      <c r="O283">
        <v>88</v>
      </c>
      <c r="AD283" t="str">
        <f t="shared" si="22"/>
        <v>|SAMPLE 4|Ground|ALF507-1H||</v>
      </c>
      <c r="AM283" s="13">
        <v>0.94172932330827097</v>
      </c>
      <c r="AW283" s="13"/>
      <c r="AX283" s="13">
        <v>0.47</v>
      </c>
      <c r="AY283" s="13"/>
    </row>
    <row r="284" spans="2:51" x14ac:dyDescent="0.2">
      <c r="B284" t="s">
        <v>178</v>
      </c>
      <c r="C284" t="s">
        <v>110</v>
      </c>
      <c r="D284" t="s">
        <v>182</v>
      </c>
      <c r="G284" t="s">
        <v>218</v>
      </c>
      <c r="H284" t="s">
        <v>50</v>
      </c>
      <c r="L284" s="13"/>
      <c r="O284">
        <v>90</v>
      </c>
      <c r="AD284" t="str">
        <f t="shared" si="22"/>
        <v>|SAMPLE 4|Ground|ALF507-1H||</v>
      </c>
      <c r="AM284" s="13">
        <v>0.89285714285714302</v>
      </c>
      <c r="AW284" s="13"/>
      <c r="AX284" s="13">
        <v>0.47</v>
      </c>
      <c r="AY284" s="13"/>
    </row>
    <row r="285" spans="2:51" x14ac:dyDescent="0.2">
      <c r="B285" t="s">
        <v>178</v>
      </c>
      <c r="C285" t="s">
        <v>110</v>
      </c>
      <c r="D285" t="s">
        <v>182</v>
      </c>
      <c r="G285" t="s">
        <v>218</v>
      </c>
      <c r="H285" t="s">
        <v>50</v>
      </c>
      <c r="L285" s="13"/>
      <c r="O285">
        <v>100</v>
      </c>
      <c r="AD285" t="str">
        <f t="shared" si="22"/>
        <v>|SAMPLE 4|Ground|ALF507-1H||</v>
      </c>
      <c r="AM285" s="13">
        <v>0.87969924812030098</v>
      </c>
      <c r="AW285" s="13"/>
      <c r="AX285" s="13">
        <v>0.47</v>
      </c>
      <c r="AY285" s="13"/>
    </row>
    <row r="286" spans="2:51" x14ac:dyDescent="0.2">
      <c r="B286" t="s">
        <v>178</v>
      </c>
      <c r="C286" t="s">
        <v>110</v>
      </c>
      <c r="D286" t="s">
        <v>183</v>
      </c>
      <c r="G286" t="s">
        <v>218</v>
      </c>
      <c r="H286" t="s">
        <v>50</v>
      </c>
      <c r="L286" s="13"/>
      <c r="O286" s="16">
        <v>3.3827701120934202</v>
      </c>
      <c r="R286" s="15"/>
      <c r="AD286" t="str">
        <f t="shared" si="22"/>
        <v>|SAMPLE 4|Ground|ALF502-R5||</v>
      </c>
      <c r="AM286" s="13">
        <v>0.73496240601503804</v>
      </c>
      <c r="AW286" s="13"/>
      <c r="AX286" s="13">
        <v>0.47</v>
      </c>
      <c r="AY286" s="13"/>
    </row>
    <row r="287" spans="2:51" x14ac:dyDescent="0.2">
      <c r="B287" t="s">
        <v>178</v>
      </c>
      <c r="C287" t="s">
        <v>110</v>
      </c>
      <c r="D287" t="s">
        <v>183</v>
      </c>
      <c r="G287" t="s">
        <v>218</v>
      </c>
      <c r="H287" t="s">
        <v>50</v>
      </c>
      <c r="L287" s="13"/>
      <c r="O287" s="16">
        <v>6.5803244374672998</v>
      </c>
      <c r="R287" s="15"/>
      <c r="AD287" t="str">
        <f t="shared" si="22"/>
        <v>|SAMPLE 4|Ground|ALF502-R5||</v>
      </c>
      <c r="AM287" s="13">
        <v>0.46428571428571402</v>
      </c>
      <c r="AW287" s="13"/>
      <c r="AX287" s="13">
        <v>0.47</v>
      </c>
      <c r="AY287" s="13"/>
    </row>
    <row r="288" spans="2:51" x14ac:dyDescent="0.2">
      <c r="B288" t="s">
        <v>178</v>
      </c>
      <c r="C288" t="s">
        <v>110</v>
      </c>
      <c r="D288" t="s">
        <v>183</v>
      </c>
      <c r="G288" t="s">
        <v>218</v>
      </c>
      <c r="H288" t="s">
        <v>50</v>
      </c>
      <c r="L288" s="13"/>
      <c r="O288" s="16">
        <v>6.5562257291580703</v>
      </c>
      <c r="R288" s="15"/>
      <c r="AD288" t="str">
        <f t="shared" si="22"/>
        <v>|SAMPLE 4|Ground|ALF502-R5||</v>
      </c>
      <c r="AM288" s="13">
        <v>0.39849624060150002</v>
      </c>
      <c r="AW288" s="13"/>
      <c r="AX288" s="13">
        <v>0.47</v>
      </c>
      <c r="AY288" s="13"/>
    </row>
    <row r="289" spans="2:51" x14ac:dyDescent="0.2">
      <c r="B289" t="s">
        <v>178</v>
      </c>
      <c r="C289" t="s">
        <v>110</v>
      </c>
      <c r="D289" t="s">
        <v>183</v>
      </c>
      <c r="G289" t="s">
        <v>218</v>
      </c>
      <c r="H289" t="s">
        <v>50</v>
      </c>
      <c r="L289" s="13"/>
      <c r="O289" s="16">
        <v>7.31017103197554</v>
      </c>
      <c r="R289" s="15"/>
      <c r="AD289" t="str">
        <f t="shared" si="22"/>
        <v>|SAMPLE 4|Ground|ALF502-R5||</v>
      </c>
      <c r="AM289" s="13">
        <v>0.45676691729322999</v>
      </c>
      <c r="AW289" s="13"/>
      <c r="AX289" s="13">
        <v>0.47</v>
      </c>
      <c r="AY289" s="13"/>
    </row>
    <row r="290" spans="2:51" x14ac:dyDescent="0.2">
      <c r="B290" t="s">
        <v>178</v>
      </c>
      <c r="C290" t="s">
        <v>110</v>
      </c>
      <c r="D290" t="s">
        <v>183</v>
      </c>
      <c r="G290" t="s">
        <v>218</v>
      </c>
      <c r="H290" t="s">
        <v>50</v>
      </c>
      <c r="L290" s="13"/>
      <c r="O290" s="16">
        <v>7.4692225068164904</v>
      </c>
      <c r="R290" s="15"/>
      <c r="AD290" t="str">
        <f t="shared" si="22"/>
        <v>|SAMPLE 4|Ground|ALF502-R5||</v>
      </c>
      <c r="AM290" s="13">
        <v>0.39097744360901998</v>
      </c>
      <c r="AW290" s="13"/>
      <c r="AX290" s="13">
        <v>0.47</v>
      </c>
      <c r="AY290" s="13"/>
    </row>
    <row r="291" spans="2:51" x14ac:dyDescent="0.2">
      <c r="B291" t="s">
        <v>178</v>
      </c>
      <c r="C291" t="s">
        <v>110</v>
      </c>
      <c r="D291" t="s">
        <v>183</v>
      </c>
      <c r="G291" t="s">
        <v>218</v>
      </c>
      <c r="H291" t="s">
        <v>50</v>
      </c>
      <c r="L291" s="13"/>
      <c r="O291" s="16">
        <v>31.5810129719904</v>
      </c>
      <c r="R291" s="15"/>
      <c r="AD291" t="str">
        <f t="shared" si="22"/>
        <v>|SAMPLE 4|Ground|ALF502-R5||</v>
      </c>
      <c r="AM291" s="13">
        <v>0.71616541353383001</v>
      </c>
      <c r="AW291" s="13"/>
      <c r="AX291" s="13">
        <v>0.47</v>
      </c>
      <c r="AY291" s="13"/>
    </row>
    <row r="292" spans="2:51" x14ac:dyDescent="0.2">
      <c r="B292" t="s">
        <v>178</v>
      </c>
      <c r="C292" t="s">
        <v>110</v>
      </c>
      <c r="D292" t="s">
        <v>183</v>
      </c>
      <c r="G292" t="s">
        <v>218</v>
      </c>
      <c r="H292" t="s">
        <v>50</v>
      </c>
      <c r="L292" s="13"/>
      <c r="O292" s="16">
        <v>32.490567077033297</v>
      </c>
      <c r="R292" s="15"/>
      <c r="AD292" t="str">
        <f t="shared" si="22"/>
        <v>|SAMPLE 4|Ground|ALF502-R5||</v>
      </c>
      <c r="AM292" s="13">
        <v>0.69924812030075201</v>
      </c>
      <c r="AW292" s="13"/>
      <c r="AX292" s="13">
        <v>0.47</v>
      </c>
      <c r="AY292" s="13"/>
    </row>
    <row r="293" spans="2:51" x14ac:dyDescent="0.2">
      <c r="B293" t="s">
        <v>178</v>
      </c>
      <c r="C293" t="s">
        <v>110</v>
      </c>
      <c r="D293" t="s">
        <v>183</v>
      </c>
      <c r="G293" t="s">
        <v>218</v>
      </c>
      <c r="H293" t="s">
        <v>50</v>
      </c>
      <c r="L293" s="13"/>
      <c r="O293" s="16">
        <v>43.850698174006403</v>
      </c>
      <c r="R293" s="15"/>
      <c r="AD293" t="str">
        <f t="shared" si="22"/>
        <v>|SAMPLE 4|Ground|ALF502-R5||</v>
      </c>
      <c r="AM293" s="13">
        <v>0.71240601503759404</v>
      </c>
      <c r="AW293" s="13"/>
      <c r="AX293" s="13">
        <v>0.47</v>
      </c>
      <c r="AY293" s="13"/>
    </row>
    <row r="294" spans="2:51" x14ac:dyDescent="0.2">
      <c r="B294" t="s">
        <v>178</v>
      </c>
      <c r="C294" t="s">
        <v>110</v>
      </c>
      <c r="D294" t="s">
        <v>183</v>
      </c>
      <c r="G294" t="s">
        <v>218</v>
      </c>
      <c r="H294" t="s">
        <v>50</v>
      </c>
      <c r="L294" s="13"/>
      <c r="O294" s="16">
        <v>69.329918202098696</v>
      </c>
      <c r="R294" s="15"/>
      <c r="AD294" t="str">
        <f t="shared" si="22"/>
        <v>|SAMPLE 4|Ground|ALF502-R5||</v>
      </c>
      <c r="AM294" s="13">
        <v>0.77067669172932296</v>
      </c>
      <c r="AW294" s="13"/>
      <c r="AX294" s="13">
        <v>0.47</v>
      </c>
      <c r="AY294" s="13"/>
    </row>
    <row r="295" spans="2:51" x14ac:dyDescent="0.2">
      <c r="B295" t="s">
        <v>178</v>
      </c>
      <c r="C295" t="s">
        <v>110</v>
      </c>
      <c r="D295" t="s">
        <v>183</v>
      </c>
      <c r="G295" t="s">
        <v>218</v>
      </c>
      <c r="H295" t="s">
        <v>50</v>
      </c>
      <c r="L295" s="13"/>
      <c r="O295" s="16">
        <v>69.904155994381597</v>
      </c>
      <c r="R295" s="15"/>
      <c r="AD295" t="str">
        <f t="shared" si="22"/>
        <v>|SAMPLE 4|Ground|ALF502-R5||</v>
      </c>
      <c r="AM295" s="13">
        <v>0.83834586466164995</v>
      </c>
      <c r="AW295" s="13"/>
      <c r="AX295" s="13">
        <v>0.47</v>
      </c>
      <c r="AY295" s="13"/>
    </row>
    <row r="296" spans="2:51" x14ac:dyDescent="0.2">
      <c r="B296" t="s">
        <v>178</v>
      </c>
      <c r="C296" t="s">
        <v>110</v>
      </c>
      <c r="D296" t="s">
        <v>183</v>
      </c>
      <c r="G296" t="s">
        <v>218</v>
      </c>
      <c r="H296" t="s">
        <v>50</v>
      </c>
      <c r="L296" s="13"/>
      <c r="O296" s="16">
        <v>85.297722327797501</v>
      </c>
      <c r="R296" s="15"/>
      <c r="AD296" t="str">
        <f t="shared" si="22"/>
        <v>|SAMPLE 4|Ground|ALF502-R5||</v>
      </c>
      <c r="AM296" s="13">
        <v>0.86278195488721798</v>
      </c>
      <c r="AW296" s="13"/>
      <c r="AX296" s="13">
        <v>0.47</v>
      </c>
      <c r="AY296" s="13"/>
    </row>
    <row r="297" spans="2:51" x14ac:dyDescent="0.2">
      <c r="B297" t="s">
        <v>178</v>
      </c>
      <c r="C297" t="s">
        <v>110</v>
      </c>
      <c r="D297" t="s">
        <v>183</v>
      </c>
      <c r="G297" t="s">
        <v>218</v>
      </c>
      <c r="H297" t="s">
        <v>50</v>
      </c>
      <c r="L297" s="13"/>
      <c r="O297" s="16">
        <v>85.834090721308797</v>
      </c>
      <c r="R297" s="15"/>
      <c r="AD297" t="str">
        <f t="shared" si="22"/>
        <v>|SAMPLE 4|Ground|ALF502-R5||</v>
      </c>
      <c r="AM297" s="13">
        <v>0.82706766917293195</v>
      </c>
      <c r="AW297" s="13"/>
      <c r="AX297" s="13">
        <v>0.47</v>
      </c>
      <c r="AY297" s="13"/>
    </row>
    <row r="298" spans="2:51" x14ac:dyDescent="0.2">
      <c r="B298" t="s">
        <v>178</v>
      </c>
      <c r="C298" t="s">
        <v>110</v>
      </c>
      <c r="D298" t="s">
        <v>183</v>
      </c>
      <c r="G298" t="s">
        <v>218</v>
      </c>
      <c r="H298" t="s">
        <v>50</v>
      </c>
      <c r="L298" s="13"/>
      <c r="O298" s="16">
        <v>104.739183122642</v>
      </c>
      <c r="R298" s="15"/>
      <c r="AD298" t="str">
        <f t="shared" si="22"/>
        <v>|SAMPLE 4|Ground|ALF502-R5||</v>
      </c>
      <c r="AM298" s="13">
        <v>0.93796992481203001</v>
      </c>
      <c r="AW298" s="13"/>
      <c r="AX298" s="13">
        <v>0.47</v>
      </c>
      <c r="AY298" s="13"/>
    </row>
    <row r="299" spans="2:51" x14ac:dyDescent="0.2">
      <c r="B299" t="s">
        <v>178</v>
      </c>
      <c r="C299" t="s">
        <v>110</v>
      </c>
      <c r="D299" t="s">
        <v>183</v>
      </c>
      <c r="G299" t="s">
        <v>218</v>
      </c>
      <c r="H299" t="s">
        <v>50</v>
      </c>
      <c r="L299" s="13"/>
      <c r="O299" s="16">
        <v>6.1750566006093299</v>
      </c>
      <c r="AD299" t="str">
        <f t="shared" si="22"/>
        <v>|SAMPLE 4|Ground|ALF502-R5||</v>
      </c>
      <c r="AP299" s="13">
        <v>0.38721804511278002</v>
      </c>
      <c r="AW299" s="13"/>
      <c r="AX299" s="13">
        <v>0.47</v>
      </c>
    </row>
    <row r="300" spans="2:51" x14ac:dyDescent="0.2">
      <c r="B300" t="s">
        <v>178</v>
      </c>
      <c r="C300" t="s">
        <v>110</v>
      </c>
      <c r="D300" t="s">
        <v>183</v>
      </c>
      <c r="G300" t="s">
        <v>218</v>
      </c>
      <c r="H300" t="s">
        <v>50</v>
      </c>
      <c r="L300" s="13"/>
      <c r="O300" s="16">
        <v>7.1044246303491096</v>
      </c>
      <c r="AD300" t="str">
        <f t="shared" si="22"/>
        <v>|SAMPLE 4|Ground|ALF502-R5||</v>
      </c>
      <c r="AP300" s="13">
        <v>0.38721804511278002</v>
      </c>
      <c r="AW300" s="13"/>
      <c r="AX300" s="13">
        <v>0.47</v>
      </c>
    </row>
    <row r="301" spans="2:51" x14ac:dyDescent="0.2">
      <c r="B301" t="s">
        <v>178</v>
      </c>
      <c r="C301" t="s">
        <v>110</v>
      </c>
      <c r="D301" t="s">
        <v>183</v>
      </c>
      <c r="G301" t="s">
        <v>218</v>
      </c>
      <c r="H301" t="s">
        <v>50</v>
      </c>
      <c r="L301" s="13"/>
      <c r="O301" s="16">
        <v>29.800570198730998</v>
      </c>
      <c r="AD301" t="str">
        <f t="shared" si="22"/>
        <v>|SAMPLE 4|Ground|ALF502-R5||</v>
      </c>
      <c r="AP301" s="13">
        <v>0.33458646616540999</v>
      </c>
      <c r="AW301" s="13"/>
      <c r="AX301" s="13">
        <v>0.47</v>
      </c>
    </row>
    <row r="302" spans="2:51" x14ac:dyDescent="0.2">
      <c r="B302" t="s">
        <v>178</v>
      </c>
      <c r="C302" t="s">
        <v>110</v>
      </c>
      <c r="D302" t="s">
        <v>183</v>
      </c>
      <c r="H302" t="s">
        <v>50</v>
      </c>
      <c r="L302" s="13"/>
      <c r="O302" s="16">
        <v>38.356346255974501</v>
      </c>
      <c r="AD302" t="str">
        <f t="shared" si="22"/>
        <v>|SAMPLE 4|Ground|ALF502-R5||</v>
      </c>
      <c r="AP302" s="13">
        <v>0.31954887218045003</v>
      </c>
      <c r="AW302" s="13"/>
      <c r="AX302" s="13">
        <v>0.47</v>
      </c>
    </row>
    <row r="303" spans="2:51" x14ac:dyDescent="0.2">
      <c r="B303" t="s">
        <v>178</v>
      </c>
      <c r="C303" t="s">
        <v>110</v>
      </c>
      <c r="D303" t="s">
        <v>183</v>
      </c>
      <c r="H303" t="s">
        <v>50</v>
      </c>
      <c r="L303" s="13"/>
      <c r="O303" s="16">
        <v>60.7967409229393</v>
      </c>
      <c r="AD303" t="str">
        <f t="shared" si="22"/>
        <v>|SAMPLE 4|Ground|ALF502-R5||</v>
      </c>
      <c r="AP303" s="13">
        <v>0.45488721804511301</v>
      </c>
      <c r="AW303" s="13"/>
      <c r="AX303" s="13">
        <v>0.47</v>
      </c>
    </row>
    <row r="304" spans="2:51" x14ac:dyDescent="0.2">
      <c r="B304" t="s">
        <v>178</v>
      </c>
      <c r="C304" t="s">
        <v>110</v>
      </c>
      <c r="D304" t="s">
        <v>183</v>
      </c>
      <c r="H304" t="s">
        <v>50</v>
      </c>
      <c r="L304" s="13"/>
      <c r="O304" s="16">
        <v>60.9854096207061</v>
      </c>
      <c r="AD304" t="str">
        <f t="shared" si="22"/>
        <v>|SAMPLE 4|Ground|ALF502-R5||</v>
      </c>
      <c r="AP304" s="13">
        <v>0.44736842105263003</v>
      </c>
      <c r="AW304" s="13"/>
      <c r="AX304" s="13">
        <v>0.47</v>
      </c>
    </row>
    <row r="305" spans="1:50" x14ac:dyDescent="0.2">
      <c r="B305" t="s">
        <v>178</v>
      </c>
      <c r="C305" t="s">
        <v>110</v>
      </c>
      <c r="D305" t="s">
        <v>183</v>
      </c>
      <c r="H305" t="s">
        <v>50</v>
      </c>
      <c r="L305" s="13"/>
      <c r="O305" s="16">
        <v>85.986807166615407</v>
      </c>
      <c r="AD305" t="str">
        <f t="shared" si="22"/>
        <v>|SAMPLE 4|Ground|ALF502-R5||</v>
      </c>
      <c r="AP305" s="13">
        <v>0.6936090225564</v>
      </c>
      <c r="AW305" s="13"/>
      <c r="AX305" s="13">
        <v>0.47</v>
      </c>
    </row>
    <row r="306" spans="1:50" x14ac:dyDescent="0.2">
      <c r="B306" t="s">
        <v>178</v>
      </c>
      <c r="C306" t="s">
        <v>110</v>
      </c>
      <c r="D306" t="s">
        <v>183</v>
      </c>
      <c r="H306" t="s">
        <v>50</v>
      </c>
      <c r="L306" s="13"/>
      <c r="O306" s="16">
        <v>88.067753025686898</v>
      </c>
      <c r="AD306" t="str">
        <f t="shared" si="22"/>
        <v>|SAMPLE 4|Ground|ALF502-R5||</v>
      </c>
      <c r="AP306" s="13">
        <v>0.59586466165413998</v>
      </c>
      <c r="AW306" s="13"/>
      <c r="AX306" s="13">
        <v>0.47</v>
      </c>
    </row>
    <row r="307" spans="1:50" x14ac:dyDescent="0.2">
      <c r="B307" t="s">
        <v>178</v>
      </c>
      <c r="C307" t="s">
        <v>110</v>
      </c>
      <c r="D307" t="s">
        <v>183</v>
      </c>
      <c r="H307" t="s">
        <v>50</v>
      </c>
      <c r="L307" s="13"/>
      <c r="O307" s="16">
        <v>89.364675629594402</v>
      </c>
      <c r="AD307" t="str">
        <f t="shared" si="22"/>
        <v>|SAMPLE 4|Ground|ALF502-R5||</v>
      </c>
      <c r="AP307" s="13">
        <v>0.60714285714285998</v>
      </c>
      <c r="AW307" s="13"/>
      <c r="AX307" s="13">
        <v>0.47</v>
      </c>
    </row>
    <row r="308" spans="1:50" x14ac:dyDescent="0.2">
      <c r="B308" t="s">
        <v>178</v>
      </c>
      <c r="C308" t="s">
        <v>110</v>
      </c>
      <c r="D308" t="s">
        <v>183</v>
      </c>
      <c r="H308" t="s">
        <v>50</v>
      </c>
      <c r="L308" s="13"/>
      <c r="O308" s="16">
        <v>94.742432288900702</v>
      </c>
      <c r="AD308" t="str">
        <f t="shared" si="22"/>
        <v>|SAMPLE 4|Ground|ALF502-R5||</v>
      </c>
      <c r="AP308" s="13">
        <v>0.64097744360901998</v>
      </c>
      <c r="AW308" s="13"/>
      <c r="AX308" s="13">
        <v>0.47</v>
      </c>
    </row>
    <row r="309" spans="1:50" x14ac:dyDescent="0.2">
      <c r="B309" t="s">
        <v>178</v>
      </c>
      <c r="C309" t="s">
        <v>110</v>
      </c>
      <c r="D309" s="10" t="s">
        <v>183</v>
      </c>
      <c r="H309" t="s">
        <v>50</v>
      </c>
      <c r="L309" s="13"/>
      <c r="O309" s="16">
        <v>99.758224557676698</v>
      </c>
      <c r="AD309" t="str">
        <f t="shared" si="22"/>
        <v>|SAMPLE 4|Ground|ALF502-R5||</v>
      </c>
      <c r="AP309" s="13">
        <v>0.64849624060150002</v>
      </c>
      <c r="AW309" s="13"/>
      <c r="AX309" s="13">
        <v>0.47</v>
      </c>
    </row>
    <row r="310" spans="1:50" x14ac:dyDescent="0.2">
      <c r="B310" t="s">
        <v>178</v>
      </c>
      <c r="C310" t="s">
        <v>110</v>
      </c>
      <c r="D310" s="10" t="s">
        <v>183</v>
      </c>
      <c r="H310" t="s">
        <v>50</v>
      </c>
      <c r="L310" s="13"/>
      <c r="O310" s="16">
        <v>104.898398412388</v>
      </c>
      <c r="AD310" t="str">
        <f t="shared" si="22"/>
        <v>|SAMPLE 4|Ground|ALF502-R5||</v>
      </c>
      <c r="AP310" s="13">
        <v>0.82142857142856995</v>
      </c>
      <c r="AW310" s="13"/>
      <c r="AX310" s="13">
        <v>0.47</v>
      </c>
    </row>
    <row r="311" spans="1:50" x14ac:dyDescent="0.2">
      <c r="B311" t="s">
        <v>179</v>
      </c>
      <c r="C311" t="s">
        <v>110</v>
      </c>
      <c r="D311" s="9" t="s">
        <v>184</v>
      </c>
      <c r="H311" t="s">
        <v>50</v>
      </c>
      <c r="L311" s="13"/>
      <c r="O311" s="16">
        <v>3</v>
      </c>
      <c r="AD311" t="str">
        <f t="shared" si="22"/>
        <v>|AVIATOR|Ground|T500||</v>
      </c>
      <c r="AM311">
        <f>1-0.44</f>
        <v>0.56000000000000005</v>
      </c>
      <c r="AP311" s="13">
        <f>1-0.52</f>
        <v>0.48</v>
      </c>
      <c r="AW311" s="13"/>
      <c r="AX311" s="13">
        <v>0.43</v>
      </c>
    </row>
    <row r="312" spans="1:50" x14ac:dyDescent="0.2">
      <c r="B312" t="s">
        <v>179</v>
      </c>
      <c r="C312" t="s">
        <v>110</v>
      </c>
      <c r="D312" s="9" t="s">
        <v>184</v>
      </c>
      <c r="H312" t="s">
        <v>50</v>
      </c>
      <c r="L312" s="13"/>
      <c r="O312" s="16">
        <v>4</v>
      </c>
      <c r="AD312" t="str">
        <f t="shared" si="22"/>
        <v>|AVIATOR|Ground|T500||</v>
      </c>
      <c r="AM312">
        <f>1.6</f>
        <v>1.6</v>
      </c>
      <c r="AP312" s="13">
        <f>1-0.67</f>
        <v>0.32999999999999996</v>
      </c>
      <c r="AW312" s="13"/>
      <c r="AX312" s="13">
        <v>0.43</v>
      </c>
    </row>
    <row r="313" spans="1:50" x14ac:dyDescent="0.2">
      <c r="B313" t="s">
        <v>179</v>
      </c>
      <c r="C313" t="s">
        <v>110</v>
      </c>
      <c r="D313" s="9" t="s">
        <v>184</v>
      </c>
      <c r="H313" t="s">
        <v>50</v>
      </c>
      <c r="L313" s="13"/>
      <c r="O313" s="16">
        <v>5</v>
      </c>
      <c r="AD313" t="str">
        <f t="shared" si="22"/>
        <v>|AVIATOR|Ground|T500||</v>
      </c>
      <c r="AM313">
        <f>1-0.56</f>
        <v>0.43999999999999995</v>
      </c>
      <c r="AP313" s="13">
        <f>1-0.62</f>
        <v>0.38</v>
      </c>
      <c r="AW313" s="13"/>
      <c r="AX313" s="13">
        <v>0.43</v>
      </c>
    </row>
    <row r="314" spans="1:50" x14ac:dyDescent="0.2">
      <c r="B314" t="s">
        <v>179</v>
      </c>
      <c r="C314" t="s">
        <v>110</v>
      </c>
      <c r="D314" s="9" t="s">
        <v>184</v>
      </c>
      <c r="H314" t="s">
        <v>50</v>
      </c>
      <c r="L314" s="13"/>
      <c r="O314" s="16">
        <v>7</v>
      </c>
      <c r="AD314" t="str">
        <f t="shared" si="22"/>
        <v>|AVIATOR|Ground|T500||</v>
      </c>
      <c r="AM314">
        <f>1-0.43</f>
        <v>0.57000000000000006</v>
      </c>
      <c r="AP314" s="13">
        <f>1-0.4</f>
        <v>0.6</v>
      </c>
      <c r="AW314" s="13"/>
      <c r="AX314" s="13">
        <v>0.43</v>
      </c>
    </row>
    <row r="315" spans="1:50" x14ac:dyDescent="0.2">
      <c r="B315" t="s">
        <v>179</v>
      </c>
      <c r="C315" t="s">
        <v>110</v>
      </c>
      <c r="D315" s="9" t="s">
        <v>184</v>
      </c>
      <c r="H315" t="s">
        <v>50</v>
      </c>
      <c r="L315" s="13"/>
      <c r="O315" s="16">
        <v>30</v>
      </c>
      <c r="AD315" t="str">
        <f t="shared" si="22"/>
        <v>|AVIATOR|Ground|T500||</v>
      </c>
      <c r="AM315">
        <f>1-0.3</f>
        <v>0.7</v>
      </c>
      <c r="AP315" s="13">
        <f>1-0.38</f>
        <v>0.62</v>
      </c>
      <c r="AW315" s="13"/>
      <c r="AX315" s="13">
        <v>0.43</v>
      </c>
    </row>
    <row r="316" spans="1:50" x14ac:dyDescent="0.2">
      <c r="B316" t="s">
        <v>179</v>
      </c>
      <c r="C316" t="s">
        <v>110</v>
      </c>
      <c r="D316" s="9" t="s">
        <v>184</v>
      </c>
      <c r="H316" t="s">
        <v>50</v>
      </c>
      <c r="L316" s="13"/>
      <c r="O316" s="16">
        <v>80</v>
      </c>
      <c r="AD316" t="str">
        <f t="shared" si="22"/>
        <v>|AVIATOR|Ground|T500||</v>
      </c>
      <c r="AM316">
        <f>1-0.65</f>
        <v>0.35</v>
      </c>
      <c r="AP316">
        <f>1-0.034</f>
        <v>0.96599999999999997</v>
      </c>
      <c r="AW316" s="13"/>
      <c r="AX316" s="13">
        <v>0.43</v>
      </c>
    </row>
    <row r="317" spans="1:50" x14ac:dyDescent="0.2">
      <c r="A317" t="s">
        <v>220</v>
      </c>
      <c r="B317" t="s">
        <v>221</v>
      </c>
      <c r="C317" t="s">
        <v>110</v>
      </c>
      <c r="D317" t="s">
        <v>39</v>
      </c>
      <c r="F317" t="s">
        <v>226</v>
      </c>
      <c r="G317" t="s">
        <v>222</v>
      </c>
      <c r="L317" s="13">
        <v>13.65</v>
      </c>
      <c r="O317" s="16">
        <v>10</v>
      </c>
      <c r="Q317">
        <f>6.37*10^14</f>
        <v>637000000000000</v>
      </c>
      <c r="AD317" t="str">
        <f t="shared" si="22"/>
        <v>Schripp|ECLIF2/ND-MAX|Ground|V2527-A5||Low power</v>
      </c>
      <c r="AE317" s="13" t="e" cm="1">
        <f t="array" ref="AE317">I317 / _xlfn.XLOOKUP($AD317 &amp; "|" &amp; $H317, $AD:$AD &amp; "|" &amp; $G:$G, I:I)</f>
        <v>#N/A</v>
      </c>
      <c r="AF317" s="13" t="e" cm="1">
        <f t="array" ref="AF317">J317 / _xlfn.XLOOKUP($AD317 &amp; "|" &amp; $H317, $AD:$AD &amp; "|" &amp; $G:$G, J:J)</f>
        <v>#N/A</v>
      </c>
      <c r="AG317" s="13" t="e" cm="1">
        <f t="array" ref="AG317">K317 / _xlfn.XLOOKUP($AD317 &amp; "|" &amp; $H317, $AD:$AD &amp; "|" &amp; $G:$G, K:K)</f>
        <v>#N/A</v>
      </c>
      <c r="AH317" s="13" t="e" cm="1">
        <f t="array" ref="AH317">L317 / _xlfn.XLOOKUP($AD317 &amp; "|" &amp; $H317, $AD:$AD &amp; "|" &amp; $G:$G, L:L)</f>
        <v>#N/A</v>
      </c>
      <c r="AI317" s="13" t="e" cm="1">
        <f t="array" ref="AI317">M317 / _xlfn.XLOOKUP($AD317 &amp; "|" &amp; $H317, $AD:$AD &amp; "|" &amp; $G:$G, M:M)</f>
        <v>#N/A</v>
      </c>
      <c r="AJ317" s="13" t="e" cm="1">
        <f t="array" ref="AJ317">N317 / _xlfn.XLOOKUP($AD317 &amp; "|" &amp; $H317, $AD:$AD &amp; "|" &amp; $G:$G, N:N)</f>
        <v>#N/A</v>
      </c>
      <c r="AK317" s="13" t="e" cm="1">
        <f t="array" ref="AK317">O317 / _xlfn.XLOOKUP($AD317 &amp; "|" &amp; $H317, $AD:$AD &amp; "|" &amp; $G:$G, O:O)</f>
        <v>#N/A</v>
      </c>
      <c r="AL317" s="13" t="e" cm="1">
        <f t="array" ref="AL317">P317 / _xlfn.XLOOKUP($AD317 &amp; "|" &amp; $H317, $AD:$AD &amp; "|" &amp; $G:$G, P:P)</f>
        <v>#N/A</v>
      </c>
      <c r="AM317" s="13" t="e" cm="1">
        <f t="array" ref="AM317">Q317 / _xlfn.XLOOKUP($AD317 &amp; "|" &amp; $H317, $AD:$AD &amp; "|" &amp; $G:$G, Q:Q)</f>
        <v>#N/A</v>
      </c>
      <c r="AN317" s="13" t="e" cm="1">
        <f t="array" ref="AN317">R317 / _xlfn.XLOOKUP($AD317 &amp; "|" &amp; $H317, $AD:$AD &amp; "|" &amp; $G:$G, R:R)</f>
        <v>#N/A</v>
      </c>
      <c r="AO317" s="13" t="e" cm="1">
        <f t="array" ref="AO317">S317 / _xlfn.XLOOKUP($AD317 &amp; "|" &amp; $H317, $AD:$AD &amp; "|" &amp; $G:$G, S:S)</f>
        <v>#N/A</v>
      </c>
      <c r="AP317" s="13" t="e" cm="1">
        <f t="array" ref="AP317">T317 / _xlfn.XLOOKUP($AD317 &amp; "|" &amp; $H317, $AD:$AD &amp; "|" &amp; $G:$G, T:T)</f>
        <v>#N/A</v>
      </c>
      <c r="AQ317" s="13" t="e" cm="1">
        <f t="array" ref="AQ317">U317 / _xlfn.XLOOKUP($AD317 &amp; "|" &amp; $H317, $AD:$AD &amp; "|" &amp; $G:$G, U:U)</f>
        <v>#N/A</v>
      </c>
      <c r="AR317" s="13" t="e" cm="1">
        <f t="array" ref="AR317">V317 / _xlfn.XLOOKUP($AD317 &amp; "|" &amp; $H317, $AD:$AD &amp; "|" &amp; $G:$G, V:V)</f>
        <v>#N/A</v>
      </c>
      <c r="AS317" s="13" t="e" cm="1">
        <f t="array" ref="AS317">W317 / _xlfn.XLOOKUP($AD317 &amp; "|" &amp; $H317, $AD:$AD &amp; "|" &amp; $G:$G, W:W)</f>
        <v>#N/A</v>
      </c>
      <c r="AT317" s="13" t="e" cm="1">
        <f t="array" ref="AT317">X317 / _xlfn.XLOOKUP($AD317 &amp; "|" &amp; $H317, $AD:$AD &amp; "|" &amp; $G:$G, X:X)</f>
        <v>#N/A</v>
      </c>
      <c r="AU317" s="13" t="e" cm="1">
        <f t="array" ref="AU317">Y317 / _xlfn.XLOOKUP($AD317 &amp; "|" &amp; $H317, $AD:$AD &amp; "|" &amp; $G:$G, Y:Y)</f>
        <v>#N/A</v>
      </c>
      <c r="AV317" s="13" t="e" cm="1">
        <f t="array" ref="AV317">Z317 / _xlfn.XLOOKUP($AD317 &amp; "|" &amp; $H317, $AD:$AD &amp; "|" &amp; $G:$G, Z:Z)</f>
        <v>#N/A</v>
      </c>
      <c r="AW317" s="13" t="e" cm="1">
        <f t="array" ref="AW317">_xlfn.XLOOKUP($AD317 &amp; "|" &amp; $H317, $AD:$AD &amp; "|" &amp; $G:$G, L:L)</f>
        <v>#N/A</v>
      </c>
    </row>
    <row r="318" spans="1:50" x14ac:dyDescent="0.2">
      <c r="A318" t="s">
        <v>220</v>
      </c>
      <c r="B318" t="s">
        <v>221</v>
      </c>
      <c r="C318" t="s">
        <v>110</v>
      </c>
      <c r="D318" t="s">
        <v>39</v>
      </c>
      <c r="F318" t="s">
        <v>226</v>
      </c>
      <c r="G318" t="s">
        <v>223</v>
      </c>
      <c r="H318" t="s">
        <v>222</v>
      </c>
      <c r="L318">
        <v>14.4</v>
      </c>
      <c r="O318" s="16">
        <v>10</v>
      </c>
      <c r="Q318">
        <f>2.52*10^14</f>
        <v>252000000000000</v>
      </c>
      <c r="AD318" t="str">
        <f t="shared" ref="AD318:AD339" si="23">A318 &amp; "|" &amp; B318 &amp; "|" &amp; C318 &amp; "|" &amp; D318 &amp; "|" &amp; E318 &amp;"|" &amp; F318</f>
        <v>Schripp|ECLIF2/ND-MAX|Ground|V2527-A5||Low power</v>
      </c>
      <c r="AE318" s="13" t="e" cm="1">
        <f t="array" ref="AE318">I318 / _xlfn.XLOOKUP($AD318 &amp; "|" &amp; $H318, $AD:$AD &amp; "|" &amp; $G:$G, I:I)</f>
        <v>#DIV/0!</v>
      </c>
      <c r="AF318" s="13" t="e" cm="1">
        <f t="array" ref="AF318">J318 / _xlfn.XLOOKUP($AD318 &amp; "|" &amp; $H318, $AD:$AD &amp; "|" &amp; $G:$G, J:J)</f>
        <v>#DIV/0!</v>
      </c>
      <c r="AG318" s="13" t="e" cm="1">
        <f t="array" ref="AG318">K318 / _xlfn.XLOOKUP($AD318 &amp; "|" &amp; $H318, $AD:$AD &amp; "|" &amp; $G:$G, K:K)</f>
        <v>#DIV/0!</v>
      </c>
      <c r="AH318" s="13" cm="1">
        <f t="array" ref="AH318">L318 / _xlfn.XLOOKUP($AD318 &amp; "|" &amp; $H318, $AD:$AD &amp; "|" &amp; $G:$G, L:L)</f>
        <v>1.054945054945055</v>
      </c>
      <c r="AI318" s="13" t="e" cm="1">
        <f t="array" ref="AI318">M318 / _xlfn.XLOOKUP($AD318 &amp; "|" &amp; $H318, $AD:$AD &amp; "|" &amp; $G:$G, M:M)</f>
        <v>#DIV/0!</v>
      </c>
      <c r="AJ318" s="13" t="e" cm="1">
        <f t="array" ref="AJ318">N318 / _xlfn.XLOOKUP($AD318 &amp; "|" &amp; $H318, $AD:$AD &amp; "|" &amp; $G:$G, N:N)</f>
        <v>#DIV/0!</v>
      </c>
      <c r="AK318" s="13" cm="1">
        <f t="array" ref="AK318">O318 / _xlfn.XLOOKUP($AD318 &amp; "|" &amp; $H318, $AD:$AD &amp; "|" &amp; $G:$G, O:O)</f>
        <v>1</v>
      </c>
      <c r="AL318" s="13" t="e" cm="1">
        <f t="array" ref="AL318">P318 / _xlfn.XLOOKUP($AD318 &amp; "|" &amp; $H318, $AD:$AD &amp; "|" &amp; $G:$G, P:P)</f>
        <v>#DIV/0!</v>
      </c>
      <c r="AM318" s="13" cm="1">
        <f t="array" ref="AM318">Q318 / _xlfn.XLOOKUP($AD318 &amp; "|" &amp; $H318, $AD:$AD &amp; "|" &amp; $G:$G, Q:Q)</f>
        <v>0.39560439560439559</v>
      </c>
      <c r="AN318" s="13" t="e" cm="1">
        <f t="array" ref="AN318">R318 / _xlfn.XLOOKUP($AD318 &amp; "|" &amp; $H318, $AD:$AD &amp; "|" &amp; $G:$G, R:R)</f>
        <v>#DIV/0!</v>
      </c>
      <c r="AO318" s="13" t="e" cm="1">
        <f t="array" ref="AO318">S318 / _xlfn.XLOOKUP($AD318 &amp; "|" &amp; $H318, $AD:$AD &amp; "|" &amp; $G:$G, S:S)</f>
        <v>#DIV/0!</v>
      </c>
      <c r="AP318" s="13" t="e" cm="1">
        <f t="array" ref="AP318">T318 / _xlfn.XLOOKUP($AD318 &amp; "|" &amp; $H318, $AD:$AD &amp; "|" &amp; $G:$G, T:T)</f>
        <v>#DIV/0!</v>
      </c>
      <c r="AQ318" s="13" t="e" cm="1">
        <f t="array" ref="AQ318">U318 / _xlfn.XLOOKUP($AD318 &amp; "|" &amp; $H318, $AD:$AD &amp; "|" &amp; $G:$G, U:U)</f>
        <v>#DIV/0!</v>
      </c>
      <c r="AR318" s="13" t="e" cm="1">
        <f t="array" ref="AR318">V318 / _xlfn.XLOOKUP($AD318 &amp; "|" &amp; $H318, $AD:$AD &amp; "|" &amp; $G:$G, V:V)</f>
        <v>#DIV/0!</v>
      </c>
      <c r="AS318" s="13" t="e" cm="1">
        <f t="array" ref="AS318">W318 / _xlfn.XLOOKUP($AD318 &amp; "|" &amp; $H318, $AD:$AD &amp; "|" &amp; $G:$G, W:W)</f>
        <v>#DIV/0!</v>
      </c>
      <c r="AT318" s="13" t="e" cm="1">
        <f t="array" ref="AT318">X318 / _xlfn.XLOOKUP($AD318 &amp; "|" &amp; $H318, $AD:$AD &amp; "|" &amp; $G:$G, X:X)</f>
        <v>#DIV/0!</v>
      </c>
      <c r="AU318" s="13" t="e" cm="1">
        <f t="array" ref="AU318">Y318 / _xlfn.XLOOKUP($AD318 &amp; "|" &amp; $H318, $AD:$AD &amp; "|" &amp; $G:$G, Y:Y)</f>
        <v>#DIV/0!</v>
      </c>
      <c r="AV318" s="13" t="e" cm="1">
        <f t="array" ref="AV318">Z318 / _xlfn.XLOOKUP($AD318 &amp; "|" &amp; $H318, $AD:$AD &amp; "|" &amp; $G:$G, Z:Z)</f>
        <v>#DIV/0!</v>
      </c>
      <c r="AW318" s="13" cm="1">
        <f t="array" ref="AW318">_xlfn.XLOOKUP($AD318 &amp; "|" &amp; $H318, $AD:$AD &amp; "|" &amp; $G:$G, L:L)</f>
        <v>13.65</v>
      </c>
    </row>
    <row r="319" spans="1:50" x14ac:dyDescent="0.2">
      <c r="A319" t="s">
        <v>220</v>
      </c>
      <c r="B319" t="s">
        <v>221</v>
      </c>
      <c r="C319" t="s">
        <v>110</v>
      </c>
      <c r="D319" t="s">
        <v>39</v>
      </c>
      <c r="F319" t="s">
        <v>226</v>
      </c>
      <c r="G319" t="s">
        <v>224</v>
      </c>
      <c r="H319" t="s">
        <v>222</v>
      </c>
      <c r="L319">
        <v>14.51</v>
      </c>
      <c r="O319" s="16">
        <v>10</v>
      </c>
      <c r="Q319">
        <f>2.8*10^14</f>
        <v>279999999999999.97</v>
      </c>
      <c r="AD319" t="str">
        <f t="shared" si="23"/>
        <v>Schripp|ECLIF2/ND-MAX|Ground|V2527-A5||Low power</v>
      </c>
      <c r="AE319" s="13" t="e" cm="1">
        <f t="array" ref="AE319">I319 / _xlfn.XLOOKUP($AD319 &amp; "|" &amp; $H319, $AD:$AD &amp; "|" &amp; $G:$G, I:I)</f>
        <v>#DIV/0!</v>
      </c>
      <c r="AF319" s="13" t="e" cm="1">
        <f t="array" ref="AF319">J319 / _xlfn.XLOOKUP($AD319 &amp; "|" &amp; $H319, $AD:$AD &amp; "|" &amp; $G:$G, J:J)</f>
        <v>#DIV/0!</v>
      </c>
      <c r="AG319" s="13" t="e" cm="1">
        <f t="array" ref="AG319">K319 / _xlfn.XLOOKUP($AD319 &amp; "|" &amp; $H319, $AD:$AD &amp; "|" &amp; $G:$G, K:K)</f>
        <v>#DIV/0!</v>
      </c>
      <c r="AH319" s="13" cm="1">
        <f t="array" ref="AH319">L319 / _xlfn.XLOOKUP($AD319 &amp; "|" &amp; $H319, $AD:$AD &amp; "|" &amp; $G:$G, L:L)</f>
        <v>1.063003663003663</v>
      </c>
      <c r="AI319" s="13" t="e" cm="1">
        <f t="array" ref="AI319">M319 / _xlfn.XLOOKUP($AD319 &amp; "|" &amp; $H319, $AD:$AD &amp; "|" &amp; $G:$G, M:M)</f>
        <v>#DIV/0!</v>
      </c>
      <c r="AJ319" s="13" t="e" cm="1">
        <f t="array" ref="AJ319">N319 / _xlfn.XLOOKUP($AD319 &amp; "|" &amp; $H319, $AD:$AD &amp; "|" &amp; $G:$G, N:N)</f>
        <v>#DIV/0!</v>
      </c>
      <c r="AK319" s="13" cm="1">
        <f t="array" ref="AK319">O319 / _xlfn.XLOOKUP($AD319 &amp; "|" &amp; $H319, $AD:$AD &amp; "|" &amp; $G:$G, O:O)</f>
        <v>1</v>
      </c>
      <c r="AL319" s="13" t="e" cm="1">
        <f t="array" ref="AL319">P319 / _xlfn.XLOOKUP($AD319 &amp; "|" &amp; $H319, $AD:$AD &amp; "|" &amp; $G:$G, P:P)</f>
        <v>#DIV/0!</v>
      </c>
      <c r="AM319" s="13" cm="1">
        <f t="array" ref="AM319">Q319 / _xlfn.XLOOKUP($AD319 &amp; "|" &amp; $H319, $AD:$AD &amp; "|" &amp; $G:$G, Q:Q)</f>
        <v>0.4395604395604395</v>
      </c>
      <c r="AN319" s="13" t="e" cm="1">
        <f t="array" ref="AN319">R319 / _xlfn.XLOOKUP($AD319 &amp; "|" &amp; $H319, $AD:$AD &amp; "|" &amp; $G:$G, R:R)</f>
        <v>#DIV/0!</v>
      </c>
      <c r="AO319" s="13" t="e" cm="1">
        <f t="array" ref="AO319">S319 / _xlfn.XLOOKUP($AD319 &amp; "|" &amp; $H319, $AD:$AD &amp; "|" &amp; $G:$G, S:S)</f>
        <v>#DIV/0!</v>
      </c>
      <c r="AP319" s="13" t="e" cm="1">
        <f t="array" ref="AP319">T319 / _xlfn.XLOOKUP($AD319 &amp; "|" &amp; $H319, $AD:$AD &amp; "|" &amp; $G:$G, T:T)</f>
        <v>#DIV/0!</v>
      </c>
      <c r="AQ319" s="13" t="e" cm="1">
        <f t="array" ref="AQ319">U319 / _xlfn.XLOOKUP($AD319 &amp; "|" &amp; $H319, $AD:$AD &amp; "|" &amp; $G:$G, U:U)</f>
        <v>#DIV/0!</v>
      </c>
      <c r="AR319" s="13" t="e" cm="1">
        <f t="array" ref="AR319">V319 / _xlfn.XLOOKUP($AD319 &amp; "|" &amp; $H319, $AD:$AD &amp; "|" &amp; $G:$G, V:V)</f>
        <v>#DIV/0!</v>
      </c>
      <c r="AS319" s="13" t="e" cm="1">
        <f t="array" ref="AS319">W319 / _xlfn.XLOOKUP($AD319 &amp; "|" &amp; $H319, $AD:$AD &amp; "|" &amp; $G:$G, W:W)</f>
        <v>#DIV/0!</v>
      </c>
      <c r="AT319" s="13" t="e" cm="1">
        <f t="array" ref="AT319">X319 / _xlfn.XLOOKUP($AD319 &amp; "|" &amp; $H319, $AD:$AD &amp; "|" &amp; $G:$G, X:X)</f>
        <v>#DIV/0!</v>
      </c>
      <c r="AU319" s="13" t="e" cm="1">
        <f t="array" ref="AU319">Y319 / _xlfn.XLOOKUP($AD319 &amp; "|" &amp; $H319, $AD:$AD &amp; "|" &amp; $G:$G, Y:Y)</f>
        <v>#DIV/0!</v>
      </c>
      <c r="AV319" s="13" t="e" cm="1">
        <f t="array" ref="AV319">Z319 / _xlfn.XLOOKUP($AD319 &amp; "|" &amp; $H319, $AD:$AD &amp; "|" &amp; $G:$G, Z:Z)</f>
        <v>#DIV/0!</v>
      </c>
      <c r="AW319" s="13" cm="1">
        <f t="array" ref="AW319">_xlfn.XLOOKUP($AD319 &amp; "|" &amp; $H319, $AD:$AD &amp; "|" &amp; $G:$G, L:L)</f>
        <v>13.65</v>
      </c>
    </row>
    <row r="320" spans="1:50" x14ac:dyDescent="0.2">
      <c r="A320" t="s">
        <v>220</v>
      </c>
      <c r="B320" t="s">
        <v>221</v>
      </c>
      <c r="C320" t="s">
        <v>110</v>
      </c>
      <c r="D320" t="s">
        <v>39</v>
      </c>
      <c r="F320" t="s">
        <v>226</v>
      </c>
      <c r="G320" t="s">
        <v>225</v>
      </c>
      <c r="H320" t="s">
        <v>222</v>
      </c>
      <c r="L320" s="13">
        <v>14.04</v>
      </c>
      <c r="O320" s="16">
        <v>10</v>
      </c>
      <c r="Q320">
        <f>2.98*10^14</f>
        <v>298000000000000</v>
      </c>
      <c r="AD320" t="str">
        <f t="shared" si="23"/>
        <v>Schripp|ECLIF2/ND-MAX|Ground|V2527-A5||Low power</v>
      </c>
      <c r="AE320" s="13" t="e" cm="1">
        <f t="array" ref="AE320">I320 / _xlfn.XLOOKUP($AD320 &amp; "|" &amp; $H320, $AD:$AD &amp; "|" &amp; $G:$G, I:I)</f>
        <v>#DIV/0!</v>
      </c>
      <c r="AF320" s="13" t="e" cm="1">
        <f t="array" ref="AF320">J320 / _xlfn.XLOOKUP($AD320 &amp; "|" &amp; $H320, $AD:$AD &amp; "|" &amp; $G:$G, J:J)</f>
        <v>#DIV/0!</v>
      </c>
      <c r="AG320" s="13" t="e" cm="1">
        <f t="array" ref="AG320">K320 / _xlfn.XLOOKUP($AD320 &amp; "|" &amp; $H320, $AD:$AD &amp; "|" &amp; $G:$G, K:K)</f>
        <v>#DIV/0!</v>
      </c>
      <c r="AH320" s="13" cm="1">
        <f t="array" ref="AH320">L320 / _xlfn.XLOOKUP($AD320 &amp; "|" &amp; $H320, $AD:$AD &amp; "|" &amp; $G:$G, L:L)</f>
        <v>1.0285714285714285</v>
      </c>
      <c r="AI320" s="13" t="e" cm="1">
        <f t="array" ref="AI320">M320 / _xlfn.XLOOKUP($AD320 &amp; "|" &amp; $H320, $AD:$AD &amp; "|" &amp; $G:$G, M:M)</f>
        <v>#DIV/0!</v>
      </c>
      <c r="AJ320" s="13" t="e" cm="1">
        <f t="array" ref="AJ320">N320 / _xlfn.XLOOKUP($AD320 &amp; "|" &amp; $H320, $AD:$AD &amp; "|" &amp; $G:$G, N:N)</f>
        <v>#DIV/0!</v>
      </c>
      <c r="AK320" s="13" cm="1">
        <f t="array" ref="AK320">O320 / _xlfn.XLOOKUP($AD320 &amp; "|" &amp; $H320, $AD:$AD &amp; "|" &amp; $G:$G, O:O)</f>
        <v>1</v>
      </c>
      <c r="AL320" s="13" t="e" cm="1">
        <f t="array" ref="AL320">P320 / _xlfn.XLOOKUP($AD320 &amp; "|" &amp; $H320, $AD:$AD &amp; "|" &amp; $G:$G, P:P)</f>
        <v>#DIV/0!</v>
      </c>
      <c r="AM320" s="13" cm="1">
        <f t="array" ref="AM320">Q320 / _xlfn.XLOOKUP($AD320 &amp; "|" &amp; $H320, $AD:$AD &amp; "|" &amp; $G:$G, Q:Q)</f>
        <v>0.46781789638932497</v>
      </c>
      <c r="AN320" s="13" t="e" cm="1">
        <f t="array" ref="AN320">R320 / _xlfn.XLOOKUP($AD320 &amp; "|" &amp; $H320, $AD:$AD &amp; "|" &amp; $G:$G, R:R)</f>
        <v>#DIV/0!</v>
      </c>
      <c r="AO320" s="13" t="e" cm="1">
        <f t="array" ref="AO320">S320 / _xlfn.XLOOKUP($AD320 &amp; "|" &amp; $H320, $AD:$AD &amp; "|" &amp; $G:$G, S:S)</f>
        <v>#DIV/0!</v>
      </c>
      <c r="AP320" s="13" t="e" cm="1">
        <f t="array" ref="AP320">T320 / _xlfn.XLOOKUP($AD320 &amp; "|" &amp; $H320, $AD:$AD &amp; "|" &amp; $G:$G, T:T)</f>
        <v>#DIV/0!</v>
      </c>
      <c r="AQ320" s="13" t="e" cm="1">
        <f t="array" ref="AQ320">U320 / _xlfn.XLOOKUP($AD320 &amp; "|" &amp; $H320, $AD:$AD &amp; "|" &amp; $G:$G, U:U)</f>
        <v>#DIV/0!</v>
      </c>
      <c r="AR320" s="13" t="e" cm="1">
        <f t="array" ref="AR320">V320 / _xlfn.XLOOKUP($AD320 &amp; "|" &amp; $H320, $AD:$AD &amp; "|" &amp; $G:$G, V:V)</f>
        <v>#DIV/0!</v>
      </c>
      <c r="AS320" s="13" t="e" cm="1">
        <f t="array" ref="AS320">W320 / _xlfn.XLOOKUP($AD320 &amp; "|" &amp; $H320, $AD:$AD &amp; "|" &amp; $G:$G, W:W)</f>
        <v>#DIV/0!</v>
      </c>
      <c r="AT320" s="13" t="e" cm="1">
        <f t="array" ref="AT320">X320 / _xlfn.XLOOKUP($AD320 &amp; "|" &amp; $H320, $AD:$AD &amp; "|" &amp; $G:$G, X:X)</f>
        <v>#DIV/0!</v>
      </c>
      <c r="AU320" s="13" t="e" cm="1">
        <f t="array" ref="AU320">Y320 / _xlfn.XLOOKUP($AD320 &amp; "|" &amp; $H320, $AD:$AD &amp; "|" &amp; $G:$G, Y:Y)</f>
        <v>#DIV/0!</v>
      </c>
      <c r="AV320" s="13" t="e" cm="1">
        <f t="array" ref="AV320">Z320 / _xlfn.XLOOKUP($AD320 &amp; "|" &amp; $H320, $AD:$AD &amp; "|" &amp; $G:$G, Z:Z)</f>
        <v>#DIV/0!</v>
      </c>
      <c r="AW320" s="13" cm="1">
        <f t="array" ref="AW320">_xlfn.XLOOKUP($AD320 &amp; "|" &amp; $H320, $AD:$AD &amp; "|" &amp; $G:$G, L:L)</f>
        <v>13.65</v>
      </c>
    </row>
    <row r="321" spans="1:49" x14ac:dyDescent="0.2">
      <c r="A321" t="s">
        <v>220</v>
      </c>
      <c r="B321" t="s">
        <v>221</v>
      </c>
      <c r="C321" t="s">
        <v>110</v>
      </c>
      <c r="D321" t="s">
        <v>39</v>
      </c>
      <c r="F321" t="s">
        <v>227</v>
      </c>
      <c r="G321" t="s">
        <v>222</v>
      </c>
      <c r="L321" s="13">
        <v>13.65</v>
      </c>
      <c r="O321" s="16">
        <v>20</v>
      </c>
      <c r="Q321">
        <f>5.82*10^14</f>
        <v>582000000000000</v>
      </c>
      <c r="AD321" t="str">
        <f t="shared" si="23"/>
        <v>Schripp|ECLIF2/ND-MAX|Ground|V2527-A5||Low-mid power</v>
      </c>
      <c r="AE321" s="13" t="e" cm="1">
        <f t="array" ref="AE321">I321 / _xlfn.XLOOKUP($AD321 &amp; "|" &amp; $H321, $AD:$AD &amp; "|" &amp; $G:$G, I:I)</f>
        <v>#N/A</v>
      </c>
      <c r="AF321" s="13" t="e" cm="1">
        <f t="array" ref="AF321">J321 / _xlfn.XLOOKUP($AD321 &amp; "|" &amp; $H321, $AD:$AD &amp; "|" &amp; $G:$G, J:J)</f>
        <v>#N/A</v>
      </c>
      <c r="AG321" s="13" t="e" cm="1">
        <f t="array" ref="AG321">K321 / _xlfn.XLOOKUP($AD321 &amp; "|" &amp; $H321, $AD:$AD &amp; "|" &amp; $G:$G, K:K)</f>
        <v>#N/A</v>
      </c>
      <c r="AH321" s="13" t="e" cm="1">
        <f t="array" ref="AH321">L321 / _xlfn.XLOOKUP($AD321 &amp; "|" &amp; $H321, $AD:$AD &amp; "|" &amp; $G:$G, L:L)</f>
        <v>#N/A</v>
      </c>
      <c r="AI321" s="13" t="e" cm="1">
        <f t="array" ref="AI321">M321 / _xlfn.XLOOKUP($AD321 &amp; "|" &amp; $H321, $AD:$AD &amp; "|" &amp; $G:$G, M:M)</f>
        <v>#N/A</v>
      </c>
      <c r="AJ321" s="13" t="e" cm="1">
        <f t="array" ref="AJ321">N321 / _xlfn.XLOOKUP($AD321 &amp; "|" &amp; $H321, $AD:$AD &amp; "|" &amp; $G:$G, N:N)</f>
        <v>#N/A</v>
      </c>
      <c r="AK321" s="13" t="e" cm="1">
        <f t="array" ref="AK321">O321 / _xlfn.XLOOKUP($AD321 &amp; "|" &amp; $H321, $AD:$AD &amp; "|" &amp; $G:$G, O:O)</f>
        <v>#N/A</v>
      </c>
      <c r="AL321" s="13" t="e" cm="1">
        <f t="array" ref="AL321">P321 / _xlfn.XLOOKUP($AD321 &amp; "|" &amp; $H321, $AD:$AD &amp; "|" &amp; $G:$G, P:P)</f>
        <v>#N/A</v>
      </c>
      <c r="AM321" s="13" t="e" cm="1">
        <f t="array" ref="AM321">Q321 / _xlfn.XLOOKUP($AD321 &amp; "|" &amp; $H321, $AD:$AD &amp; "|" &amp; $G:$G, Q:Q)</f>
        <v>#N/A</v>
      </c>
      <c r="AN321" s="13" t="e" cm="1">
        <f t="array" ref="AN321">R321 / _xlfn.XLOOKUP($AD321 &amp; "|" &amp; $H321, $AD:$AD &amp; "|" &amp; $G:$G, R:R)</f>
        <v>#N/A</v>
      </c>
      <c r="AO321" s="13" t="e" cm="1">
        <f t="array" ref="AO321">S321 / _xlfn.XLOOKUP($AD321 &amp; "|" &amp; $H321, $AD:$AD &amp; "|" &amp; $G:$G, S:S)</f>
        <v>#N/A</v>
      </c>
      <c r="AP321" s="13" t="e" cm="1">
        <f t="array" ref="AP321">T321 / _xlfn.XLOOKUP($AD321 &amp; "|" &amp; $H321, $AD:$AD &amp; "|" &amp; $G:$G, T:T)</f>
        <v>#N/A</v>
      </c>
      <c r="AQ321" s="13" t="e" cm="1">
        <f t="array" ref="AQ321">U321 / _xlfn.XLOOKUP($AD321 &amp; "|" &amp; $H321, $AD:$AD &amp; "|" &amp; $G:$G, U:U)</f>
        <v>#N/A</v>
      </c>
      <c r="AR321" s="13" t="e" cm="1">
        <f t="array" ref="AR321">V321 / _xlfn.XLOOKUP($AD321 &amp; "|" &amp; $H321, $AD:$AD &amp; "|" &amp; $G:$G, V:V)</f>
        <v>#N/A</v>
      </c>
      <c r="AS321" s="13" t="e" cm="1">
        <f t="array" ref="AS321">W321 / _xlfn.XLOOKUP($AD321 &amp; "|" &amp; $H321, $AD:$AD &amp; "|" &amp; $G:$G, W:W)</f>
        <v>#N/A</v>
      </c>
      <c r="AT321" s="13" t="e" cm="1">
        <f t="array" ref="AT321">X321 / _xlfn.XLOOKUP($AD321 &amp; "|" &amp; $H321, $AD:$AD &amp; "|" &amp; $G:$G, X:X)</f>
        <v>#N/A</v>
      </c>
      <c r="AU321" s="13" t="e" cm="1">
        <f t="array" ref="AU321">Y321 / _xlfn.XLOOKUP($AD321 &amp; "|" &amp; $H321, $AD:$AD &amp; "|" &amp; $G:$G, Y:Y)</f>
        <v>#N/A</v>
      </c>
      <c r="AV321" s="13" t="e" cm="1">
        <f t="array" ref="AV321">Z321 / _xlfn.XLOOKUP($AD321 &amp; "|" &amp; $H321, $AD:$AD &amp; "|" &amp; $G:$G, Z:Z)</f>
        <v>#N/A</v>
      </c>
      <c r="AW321" s="13" t="e" cm="1">
        <f t="array" ref="AW321">_xlfn.XLOOKUP($AD321 &amp; "|" &amp; $H321, $AD:$AD &amp; "|" &amp; $G:$G, L:L)</f>
        <v>#N/A</v>
      </c>
    </row>
    <row r="322" spans="1:49" x14ac:dyDescent="0.2">
      <c r="A322" t="s">
        <v>220</v>
      </c>
      <c r="B322" t="s">
        <v>221</v>
      </c>
      <c r="C322" t="s">
        <v>110</v>
      </c>
      <c r="D322" t="s">
        <v>39</v>
      </c>
      <c r="F322" t="s">
        <v>227</v>
      </c>
      <c r="G322" t="s">
        <v>223</v>
      </c>
      <c r="H322" t="s">
        <v>222</v>
      </c>
      <c r="L322">
        <v>14.4</v>
      </c>
      <c r="O322" s="16">
        <v>20</v>
      </c>
      <c r="Q322">
        <f>2.74*10^14</f>
        <v>274000000000000.03</v>
      </c>
      <c r="AD322" t="str">
        <f t="shared" si="23"/>
        <v>Schripp|ECLIF2/ND-MAX|Ground|V2527-A5||Low-mid power</v>
      </c>
      <c r="AE322" s="13" t="e" cm="1">
        <f t="array" ref="AE322">I322 / _xlfn.XLOOKUP($AD322 &amp; "|" &amp; $H322, $AD:$AD &amp; "|" &amp; $G:$G, I:I)</f>
        <v>#DIV/0!</v>
      </c>
      <c r="AF322" s="13" t="e" cm="1">
        <f t="array" ref="AF322">J322 / _xlfn.XLOOKUP($AD322 &amp; "|" &amp; $H322, $AD:$AD &amp; "|" &amp; $G:$G, J:J)</f>
        <v>#DIV/0!</v>
      </c>
      <c r="AG322" s="13" t="e" cm="1">
        <f t="array" ref="AG322">K322 / _xlfn.XLOOKUP($AD322 &amp; "|" &amp; $H322, $AD:$AD &amp; "|" &amp; $G:$G, K:K)</f>
        <v>#DIV/0!</v>
      </c>
      <c r="AH322" s="13" cm="1">
        <f t="array" ref="AH322">L322 / _xlfn.XLOOKUP($AD322 &amp; "|" &amp; $H322, $AD:$AD &amp; "|" &amp; $G:$G, L:L)</f>
        <v>1.054945054945055</v>
      </c>
      <c r="AI322" s="13" t="e" cm="1">
        <f t="array" ref="AI322">M322 / _xlfn.XLOOKUP($AD322 &amp; "|" &amp; $H322, $AD:$AD &amp; "|" &amp; $G:$G, M:M)</f>
        <v>#DIV/0!</v>
      </c>
      <c r="AJ322" s="13" t="e" cm="1">
        <f t="array" ref="AJ322">N322 / _xlfn.XLOOKUP($AD322 &amp; "|" &amp; $H322, $AD:$AD &amp; "|" &amp; $G:$G, N:N)</f>
        <v>#DIV/0!</v>
      </c>
      <c r="AK322" s="13" cm="1">
        <f t="array" ref="AK322">O322 / _xlfn.XLOOKUP($AD322 &amp; "|" &amp; $H322, $AD:$AD &amp; "|" &amp; $G:$G, O:O)</f>
        <v>1</v>
      </c>
      <c r="AL322" s="13" t="e" cm="1">
        <f t="array" ref="AL322">P322 / _xlfn.XLOOKUP($AD322 &amp; "|" &amp; $H322, $AD:$AD &amp; "|" &amp; $G:$G, P:P)</f>
        <v>#DIV/0!</v>
      </c>
      <c r="AM322" s="13" cm="1">
        <f t="array" ref="AM322">Q322 / _xlfn.XLOOKUP($AD322 &amp; "|" &amp; $H322, $AD:$AD &amp; "|" &amp; $G:$G, Q:Q)</f>
        <v>0.4707903780068729</v>
      </c>
      <c r="AN322" s="13" t="e" cm="1">
        <f t="array" ref="AN322">R322 / _xlfn.XLOOKUP($AD322 &amp; "|" &amp; $H322, $AD:$AD &amp; "|" &amp; $G:$G, R:R)</f>
        <v>#DIV/0!</v>
      </c>
      <c r="AO322" s="13" t="e" cm="1">
        <f t="array" ref="AO322">S322 / _xlfn.XLOOKUP($AD322 &amp; "|" &amp; $H322, $AD:$AD &amp; "|" &amp; $G:$G, S:S)</f>
        <v>#DIV/0!</v>
      </c>
      <c r="AP322" s="13" t="e" cm="1">
        <f t="array" ref="AP322">T322 / _xlfn.XLOOKUP($AD322 &amp; "|" &amp; $H322, $AD:$AD &amp; "|" &amp; $G:$G, T:T)</f>
        <v>#DIV/0!</v>
      </c>
      <c r="AQ322" s="13" t="e" cm="1">
        <f t="array" ref="AQ322">U322 / _xlfn.XLOOKUP($AD322 &amp; "|" &amp; $H322, $AD:$AD &amp; "|" &amp; $G:$G, U:U)</f>
        <v>#DIV/0!</v>
      </c>
      <c r="AR322" s="13" t="e" cm="1">
        <f t="array" ref="AR322">V322 / _xlfn.XLOOKUP($AD322 &amp; "|" &amp; $H322, $AD:$AD &amp; "|" &amp; $G:$G, V:V)</f>
        <v>#DIV/0!</v>
      </c>
      <c r="AS322" s="13" t="e" cm="1">
        <f t="array" ref="AS322">W322 / _xlfn.XLOOKUP($AD322 &amp; "|" &amp; $H322, $AD:$AD &amp; "|" &amp; $G:$G, W:W)</f>
        <v>#DIV/0!</v>
      </c>
      <c r="AT322" s="13" t="e" cm="1">
        <f t="array" ref="AT322">X322 / _xlfn.XLOOKUP($AD322 &amp; "|" &amp; $H322, $AD:$AD &amp; "|" &amp; $G:$G, X:X)</f>
        <v>#DIV/0!</v>
      </c>
      <c r="AU322" s="13" t="e" cm="1">
        <f t="array" ref="AU322">Y322 / _xlfn.XLOOKUP($AD322 &amp; "|" &amp; $H322, $AD:$AD &amp; "|" &amp; $G:$G, Y:Y)</f>
        <v>#DIV/0!</v>
      </c>
      <c r="AV322" s="13" t="e" cm="1">
        <f t="array" ref="AV322">Z322 / _xlfn.XLOOKUP($AD322 &amp; "|" &amp; $H322, $AD:$AD &amp; "|" &amp; $G:$G, Z:Z)</f>
        <v>#DIV/0!</v>
      </c>
      <c r="AW322" s="13" cm="1">
        <f t="array" ref="AW322">_xlfn.XLOOKUP($AD322 &amp; "|" &amp; $H322, $AD:$AD &amp; "|" &amp; $G:$G, L:L)</f>
        <v>13.65</v>
      </c>
    </row>
    <row r="323" spans="1:49" x14ac:dyDescent="0.2">
      <c r="A323" t="s">
        <v>220</v>
      </c>
      <c r="B323" t="s">
        <v>221</v>
      </c>
      <c r="C323" t="s">
        <v>110</v>
      </c>
      <c r="D323" t="s">
        <v>39</v>
      </c>
      <c r="F323" t="s">
        <v>227</v>
      </c>
      <c r="G323" t="s">
        <v>224</v>
      </c>
      <c r="H323" t="s">
        <v>222</v>
      </c>
      <c r="L323">
        <v>14.51</v>
      </c>
      <c r="O323" s="16">
        <v>20</v>
      </c>
      <c r="AD323" t="str">
        <f t="shared" si="23"/>
        <v>Schripp|ECLIF2/ND-MAX|Ground|V2527-A5||Low-mid power</v>
      </c>
      <c r="AE323" s="13" t="e" cm="1">
        <f t="array" ref="AE323">I323 / _xlfn.XLOOKUP($AD323 &amp; "|" &amp; $H323, $AD:$AD &amp; "|" &amp; $G:$G, I:I)</f>
        <v>#DIV/0!</v>
      </c>
      <c r="AF323" s="13" t="e" cm="1">
        <f t="array" ref="AF323">J323 / _xlfn.XLOOKUP($AD323 &amp; "|" &amp; $H323, $AD:$AD &amp; "|" &amp; $G:$G, J:J)</f>
        <v>#DIV/0!</v>
      </c>
      <c r="AG323" s="13" t="e" cm="1">
        <f t="array" ref="AG323">K323 / _xlfn.XLOOKUP($AD323 &amp; "|" &amp; $H323, $AD:$AD &amp; "|" &amp; $G:$G, K:K)</f>
        <v>#DIV/0!</v>
      </c>
      <c r="AH323" s="13" cm="1">
        <f t="array" ref="AH323">L323 / _xlfn.XLOOKUP($AD323 &amp; "|" &amp; $H323, $AD:$AD &amp; "|" &amp; $G:$G, L:L)</f>
        <v>1.063003663003663</v>
      </c>
      <c r="AI323" s="13" t="e" cm="1">
        <f t="array" ref="AI323">M323 / _xlfn.XLOOKUP($AD323 &amp; "|" &amp; $H323, $AD:$AD &amp; "|" &amp; $G:$G, M:M)</f>
        <v>#DIV/0!</v>
      </c>
      <c r="AJ323" s="13" t="e" cm="1">
        <f t="array" ref="AJ323">N323 / _xlfn.XLOOKUP($AD323 &amp; "|" &amp; $H323, $AD:$AD &amp; "|" &amp; $G:$G, N:N)</f>
        <v>#DIV/0!</v>
      </c>
      <c r="AK323" s="13" cm="1">
        <f t="array" ref="AK323">O323 / _xlfn.XLOOKUP($AD323 &amp; "|" &amp; $H323, $AD:$AD &amp; "|" &amp; $G:$G, O:O)</f>
        <v>1</v>
      </c>
      <c r="AL323" s="13" t="e" cm="1">
        <f t="array" ref="AL323">P323 / _xlfn.XLOOKUP($AD323 &amp; "|" &amp; $H323, $AD:$AD &amp; "|" &amp; $G:$G, P:P)</f>
        <v>#DIV/0!</v>
      </c>
      <c r="AM323" s="13" cm="1">
        <f t="array" ref="AM323">Q323 / _xlfn.XLOOKUP($AD323 &amp; "|" &amp; $H323, $AD:$AD &amp; "|" &amp; $G:$G, Q:Q)</f>
        <v>0</v>
      </c>
      <c r="AN323" s="13" t="e" cm="1">
        <f t="array" ref="AN323">R323 / _xlfn.XLOOKUP($AD323 &amp; "|" &amp; $H323, $AD:$AD &amp; "|" &amp; $G:$G, R:R)</f>
        <v>#DIV/0!</v>
      </c>
      <c r="AO323" s="13" t="e" cm="1">
        <f t="array" ref="AO323">S323 / _xlfn.XLOOKUP($AD323 &amp; "|" &amp; $H323, $AD:$AD &amp; "|" &amp; $G:$G, S:S)</f>
        <v>#DIV/0!</v>
      </c>
      <c r="AP323" s="13" t="e" cm="1">
        <f t="array" ref="AP323">T323 / _xlfn.XLOOKUP($AD323 &amp; "|" &amp; $H323, $AD:$AD &amp; "|" &amp; $G:$G, T:T)</f>
        <v>#DIV/0!</v>
      </c>
      <c r="AQ323" s="13" t="e" cm="1">
        <f t="array" ref="AQ323">U323 / _xlfn.XLOOKUP($AD323 &amp; "|" &amp; $H323, $AD:$AD &amp; "|" &amp; $G:$G, U:U)</f>
        <v>#DIV/0!</v>
      </c>
      <c r="AR323" s="13" t="e" cm="1">
        <f t="array" ref="AR323">V323 / _xlfn.XLOOKUP($AD323 &amp; "|" &amp; $H323, $AD:$AD &amp; "|" &amp; $G:$G, V:V)</f>
        <v>#DIV/0!</v>
      </c>
      <c r="AS323" s="13" t="e" cm="1">
        <f t="array" ref="AS323">W323 / _xlfn.XLOOKUP($AD323 &amp; "|" &amp; $H323, $AD:$AD &amp; "|" &amp; $G:$G, W:W)</f>
        <v>#DIV/0!</v>
      </c>
      <c r="AT323" s="13" t="e" cm="1">
        <f t="array" ref="AT323">X323 / _xlfn.XLOOKUP($AD323 &amp; "|" &amp; $H323, $AD:$AD &amp; "|" &amp; $G:$G, X:X)</f>
        <v>#DIV/0!</v>
      </c>
      <c r="AU323" s="13" t="e" cm="1">
        <f t="array" ref="AU323">Y323 / _xlfn.XLOOKUP($AD323 &amp; "|" &amp; $H323, $AD:$AD &amp; "|" &amp; $G:$G, Y:Y)</f>
        <v>#DIV/0!</v>
      </c>
      <c r="AV323" s="13" t="e" cm="1">
        <f t="array" ref="AV323">Z323 / _xlfn.XLOOKUP($AD323 &amp; "|" &amp; $H323, $AD:$AD &amp; "|" &amp; $G:$G, Z:Z)</f>
        <v>#DIV/0!</v>
      </c>
      <c r="AW323" s="13" cm="1">
        <f t="array" ref="AW323">_xlfn.XLOOKUP($AD323 &amp; "|" &amp; $H323, $AD:$AD &amp; "|" &amp; $G:$G, L:L)</f>
        <v>13.65</v>
      </c>
    </row>
    <row r="324" spans="1:49" x14ac:dyDescent="0.2">
      <c r="A324" t="s">
        <v>220</v>
      </c>
      <c r="B324" t="s">
        <v>221</v>
      </c>
      <c r="C324" t="s">
        <v>110</v>
      </c>
      <c r="D324" t="s">
        <v>39</v>
      </c>
      <c r="F324" t="s">
        <v>227</v>
      </c>
      <c r="G324" t="s">
        <v>225</v>
      </c>
      <c r="H324" t="s">
        <v>222</v>
      </c>
      <c r="L324" s="13">
        <v>14.04</v>
      </c>
      <c r="O324" s="16">
        <v>20</v>
      </c>
      <c r="Q324">
        <f>3.08*10^14</f>
        <v>308000000000000</v>
      </c>
      <c r="AD324" t="str">
        <f t="shared" si="23"/>
        <v>Schripp|ECLIF2/ND-MAX|Ground|V2527-A5||Low-mid power</v>
      </c>
      <c r="AE324" s="13" t="e" cm="1">
        <f t="array" ref="AE324">I324 / _xlfn.XLOOKUP($AD324 &amp; "|" &amp; $H324, $AD:$AD &amp; "|" &amp; $G:$G, I:I)</f>
        <v>#DIV/0!</v>
      </c>
      <c r="AF324" s="13" t="e" cm="1">
        <f t="array" ref="AF324">J324 / _xlfn.XLOOKUP($AD324 &amp; "|" &amp; $H324, $AD:$AD &amp; "|" &amp; $G:$G, J:J)</f>
        <v>#DIV/0!</v>
      </c>
      <c r="AG324" s="13" t="e" cm="1">
        <f t="array" ref="AG324">K324 / _xlfn.XLOOKUP($AD324 &amp; "|" &amp; $H324, $AD:$AD &amp; "|" &amp; $G:$G, K:K)</f>
        <v>#DIV/0!</v>
      </c>
      <c r="AH324" s="13" cm="1">
        <f t="array" ref="AH324">L324 / _xlfn.XLOOKUP($AD324 &amp; "|" &amp; $H324, $AD:$AD &amp; "|" &amp; $G:$G, L:L)</f>
        <v>1.0285714285714285</v>
      </c>
      <c r="AI324" s="13" t="e" cm="1">
        <f t="array" ref="AI324">M324 / _xlfn.XLOOKUP($AD324 &amp; "|" &amp; $H324, $AD:$AD &amp; "|" &amp; $G:$G, M:M)</f>
        <v>#DIV/0!</v>
      </c>
      <c r="AJ324" s="13" t="e" cm="1">
        <f t="array" ref="AJ324">N324 / _xlfn.XLOOKUP($AD324 &amp; "|" &amp; $H324, $AD:$AD &amp; "|" &amp; $G:$G, N:N)</f>
        <v>#DIV/0!</v>
      </c>
      <c r="AK324" s="13" cm="1">
        <f t="array" ref="AK324">O324 / _xlfn.XLOOKUP($AD324 &amp; "|" &amp; $H324, $AD:$AD &amp; "|" &amp; $G:$G, O:O)</f>
        <v>1</v>
      </c>
      <c r="AL324" s="13" t="e" cm="1">
        <f t="array" ref="AL324">P324 / _xlfn.XLOOKUP($AD324 &amp; "|" &amp; $H324, $AD:$AD &amp; "|" &amp; $G:$G, P:P)</f>
        <v>#DIV/0!</v>
      </c>
      <c r="AM324" s="13" cm="1">
        <f t="array" ref="AM324">Q324 / _xlfn.XLOOKUP($AD324 &amp; "|" &amp; $H324, $AD:$AD &amp; "|" &amp; $G:$G, Q:Q)</f>
        <v>0.52920962199312716</v>
      </c>
      <c r="AN324" s="13" t="e" cm="1">
        <f t="array" ref="AN324">R324 / _xlfn.XLOOKUP($AD324 &amp; "|" &amp; $H324, $AD:$AD &amp; "|" &amp; $G:$G, R:R)</f>
        <v>#DIV/0!</v>
      </c>
      <c r="AO324" s="13" t="e" cm="1">
        <f t="array" ref="AO324">S324 / _xlfn.XLOOKUP($AD324 &amp; "|" &amp; $H324, $AD:$AD &amp; "|" &amp; $G:$G, S:S)</f>
        <v>#DIV/0!</v>
      </c>
      <c r="AP324" s="13" t="e" cm="1">
        <f t="array" ref="AP324">T324 / _xlfn.XLOOKUP($AD324 &amp; "|" &amp; $H324, $AD:$AD &amp; "|" &amp; $G:$G, T:T)</f>
        <v>#DIV/0!</v>
      </c>
      <c r="AQ324" s="13" t="e" cm="1">
        <f t="array" ref="AQ324">U324 / _xlfn.XLOOKUP($AD324 &amp; "|" &amp; $H324, $AD:$AD &amp; "|" &amp; $G:$G, U:U)</f>
        <v>#DIV/0!</v>
      </c>
      <c r="AR324" s="13" t="e" cm="1">
        <f t="array" ref="AR324">V324 / _xlfn.XLOOKUP($AD324 &amp; "|" &amp; $H324, $AD:$AD &amp; "|" &amp; $G:$G, V:V)</f>
        <v>#DIV/0!</v>
      </c>
      <c r="AS324" s="13" t="e" cm="1">
        <f t="array" ref="AS324">W324 / _xlfn.XLOOKUP($AD324 &amp; "|" &amp; $H324, $AD:$AD &amp; "|" &amp; $G:$G, W:W)</f>
        <v>#DIV/0!</v>
      </c>
      <c r="AT324" s="13" t="e" cm="1">
        <f t="array" ref="AT324">X324 / _xlfn.XLOOKUP($AD324 &amp; "|" &amp; $H324, $AD:$AD &amp; "|" &amp; $G:$G, X:X)</f>
        <v>#DIV/0!</v>
      </c>
      <c r="AU324" s="13" t="e" cm="1">
        <f t="array" ref="AU324">Y324 / _xlfn.XLOOKUP($AD324 &amp; "|" &amp; $H324, $AD:$AD &amp; "|" &amp; $G:$G, Y:Y)</f>
        <v>#DIV/0!</v>
      </c>
      <c r="AV324" s="13" t="e" cm="1">
        <f t="array" ref="AV324">Z324 / _xlfn.XLOOKUP($AD324 &amp; "|" &amp; $H324, $AD:$AD &amp; "|" &amp; $G:$G, Z:Z)</f>
        <v>#DIV/0!</v>
      </c>
      <c r="AW324" s="13" cm="1">
        <f t="array" ref="AW324">_xlfn.XLOOKUP($AD324 &amp; "|" &amp; $H324, $AD:$AD &amp; "|" &amp; $G:$G, L:L)</f>
        <v>13.65</v>
      </c>
    </row>
    <row r="325" spans="1:49" x14ac:dyDescent="0.2">
      <c r="A325" t="s">
        <v>220</v>
      </c>
      <c r="B325" t="s">
        <v>221</v>
      </c>
      <c r="C325" t="s">
        <v>110</v>
      </c>
      <c r="D325" t="s">
        <v>39</v>
      </c>
      <c r="F325" t="s">
        <v>197</v>
      </c>
      <c r="G325" t="s">
        <v>222</v>
      </c>
      <c r="L325" s="13">
        <v>13.65</v>
      </c>
      <c r="O325" s="16">
        <v>34</v>
      </c>
      <c r="Q325">
        <f>5.78*10^14</f>
        <v>578000000000000</v>
      </c>
      <c r="AD325" t="str">
        <f t="shared" si="23"/>
        <v>Schripp|ECLIF2/ND-MAX|Ground|V2527-A5||Mid power</v>
      </c>
      <c r="AE325" s="13" t="e" cm="1">
        <f t="array" ref="AE325">I325 / _xlfn.XLOOKUP($AD325 &amp; "|" &amp; $H325, $AD:$AD &amp; "|" &amp; $G:$G, I:I)</f>
        <v>#N/A</v>
      </c>
      <c r="AF325" s="13" t="e" cm="1">
        <f t="array" ref="AF325">J325 / _xlfn.XLOOKUP($AD325 &amp; "|" &amp; $H325, $AD:$AD &amp; "|" &amp; $G:$G, J:J)</f>
        <v>#N/A</v>
      </c>
      <c r="AG325" s="13" t="e" cm="1">
        <f t="array" ref="AG325">K325 / _xlfn.XLOOKUP($AD325 &amp; "|" &amp; $H325, $AD:$AD &amp; "|" &amp; $G:$G, K:K)</f>
        <v>#N/A</v>
      </c>
      <c r="AH325" s="13" t="e" cm="1">
        <f t="array" ref="AH325">L325 / _xlfn.XLOOKUP($AD325 &amp; "|" &amp; $H325, $AD:$AD &amp; "|" &amp; $G:$G, L:L)</f>
        <v>#N/A</v>
      </c>
      <c r="AI325" s="13" t="e" cm="1">
        <f t="array" ref="AI325">M325 / _xlfn.XLOOKUP($AD325 &amp; "|" &amp; $H325, $AD:$AD &amp; "|" &amp; $G:$G, M:M)</f>
        <v>#N/A</v>
      </c>
      <c r="AJ325" s="13" t="e" cm="1">
        <f t="array" ref="AJ325">N325 / _xlfn.XLOOKUP($AD325 &amp; "|" &amp; $H325, $AD:$AD &amp; "|" &amp; $G:$G, N:N)</f>
        <v>#N/A</v>
      </c>
      <c r="AK325" s="13" t="e" cm="1">
        <f t="array" ref="AK325">O325 / _xlfn.XLOOKUP($AD325 &amp; "|" &amp; $H325, $AD:$AD &amp; "|" &amp; $G:$G, O:O)</f>
        <v>#N/A</v>
      </c>
      <c r="AL325" s="13" t="e" cm="1">
        <f t="array" ref="AL325">P325 / _xlfn.XLOOKUP($AD325 &amp; "|" &amp; $H325, $AD:$AD &amp; "|" &amp; $G:$G, P:P)</f>
        <v>#N/A</v>
      </c>
      <c r="AM325" s="13" t="e" cm="1">
        <f t="array" ref="AM325">Q325 / _xlfn.XLOOKUP($AD325 &amp; "|" &amp; $H325, $AD:$AD &amp; "|" &amp; $G:$G, Q:Q)</f>
        <v>#N/A</v>
      </c>
      <c r="AN325" s="13" t="e" cm="1">
        <f t="array" ref="AN325">R325 / _xlfn.XLOOKUP($AD325 &amp; "|" &amp; $H325, $AD:$AD &amp; "|" &amp; $G:$G, R:R)</f>
        <v>#N/A</v>
      </c>
      <c r="AO325" s="13" t="e" cm="1">
        <f t="array" ref="AO325">S325 / _xlfn.XLOOKUP($AD325 &amp; "|" &amp; $H325, $AD:$AD &amp; "|" &amp; $G:$G, S:S)</f>
        <v>#N/A</v>
      </c>
      <c r="AP325" s="13" t="e" cm="1">
        <f t="array" ref="AP325">T325 / _xlfn.XLOOKUP($AD325 &amp; "|" &amp; $H325, $AD:$AD &amp; "|" &amp; $G:$G, T:T)</f>
        <v>#N/A</v>
      </c>
      <c r="AQ325" s="13" t="e" cm="1">
        <f t="array" ref="AQ325">U325 / _xlfn.XLOOKUP($AD325 &amp; "|" &amp; $H325, $AD:$AD &amp; "|" &amp; $G:$G, U:U)</f>
        <v>#N/A</v>
      </c>
      <c r="AR325" s="13" t="e" cm="1">
        <f t="array" ref="AR325">V325 / _xlfn.XLOOKUP($AD325 &amp; "|" &amp; $H325, $AD:$AD &amp; "|" &amp; $G:$G, V:V)</f>
        <v>#N/A</v>
      </c>
      <c r="AS325" s="13" t="e" cm="1">
        <f t="array" ref="AS325">W325 / _xlfn.XLOOKUP($AD325 &amp; "|" &amp; $H325, $AD:$AD &amp; "|" &amp; $G:$G, W:W)</f>
        <v>#N/A</v>
      </c>
      <c r="AT325" s="13" t="e" cm="1">
        <f t="array" ref="AT325">X325 / _xlfn.XLOOKUP($AD325 &amp; "|" &amp; $H325, $AD:$AD &amp; "|" &amp; $G:$G, X:X)</f>
        <v>#N/A</v>
      </c>
      <c r="AU325" s="13" t="e" cm="1">
        <f t="array" ref="AU325">Y325 / _xlfn.XLOOKUP($AD325 &amp; "|" &amp; $H325, $AD:$AD &amp; "|" &amp; $G:$G, Y:Y)</f>
        <v>#N/A</v>
      </c>
      <c r="AV325" s="13" t="e" cm="1">
        <f t="array" ref="AV325">Z325 / _xlfn.XLOOKUP($AD325 &amp; "|" &amp; $H325, $AD:$AD &amp; "|" &amp; $G:$G, Z:Z)</f>
        <v>#N/A</v>
      </c>
      <c r="AW325" s="13" t="e" cm="1">
        <f t="array" ref="AW325">_xlfn.XLOOKUP($AD325 &amp; "|" &amp; $H325, $AD:$AD &amp; "|" &amp; $G:$G, L:L)</f>
        <v>#N/A</v>
      </c>
    </row>
    <row r="326" spans="1:49" x14ac:dyDescent="0.2">
      <c r="A326" t="s">
        <v>220</v>
      </c>
      <c r="B326" t="s">
        <v>221</v>
      </c>
      <c r="C326" t="s">
        <v>110</v>
      </c>
      <c r="D326" t="s">
        <v>39</v>
      </c>
      <c r="F326" t="s">
        <v>197</v>
      </c>
      <c r="G326" t="s">
        <v>223</v>
      </c>
      <c r="H326" t="s">
        <v>222</v>
      </c>
      <c r="L326">
        <v>14.4</v>
      </c>
      <c r="O326" s="16">
        <v>34</v>
      </c>
      <c r="Q326">
        <f>3.74*10^14</f>
        <v>374000000000000</v>
      </c>
      <c r="AD326" t="str">
        <f t="shared" si="23"/>
        <v>Schripp|ECLIF2/ND-MAX|Ground|V2527-A5||Mid power</v>
      </c>
      <c r="AE326" s="13" t="e" cm="1">
        <f t="array" ref="AE326">I326 / _xlfn.XLOOKUP($AD326 &amp; "|" &amp; $H326, $AD:$AD &amp; "|" &amp; $G:$G, I:I)</f>
        <v>#DIV/0!</v>
      </c>
      <c r="AF326" s="13" t="e" cm="1">
        <f t="array" ref="AF326">J326 / _xlfn.XLOOKUP($AD326 &amp; "|" &amp; $H326, $AD:$AD &amp; "|" &amp; $G:$G, J:J)</f>
        <v>#DIV/0!</v>
      </c>
      <c r="AG326" s="13" t="e" cm="1">
        <f t="array" ref="AG326">K326 / _xlfn.XLOOKUP($AD326 &amp; "|" &amp; $H326, $AD:$AD &amp; "|" &amp; $G:$G, K:K)</f>
        <v>#DIV/0!</v>
      </c>
      <c r="AH326" s="13" cm="1">
        <f t="array" ref="AH326">L326 / _xlfn.XLOOKUP($AD326 &amp; "|" &amp; $H326, $AD:$AD &amp; "|" &amp; $G:$G, L:L)</f>
        <v>1.054945054945055</v>
      </c>
      <c r="AI326" s="13" t="e" cm="1">
        <f t="array" ref="AI326">M326 / _xlfn.XLOOKUP($AD326 &amp; "|" &amp; $H326, $AD:$AD &amp; "|" &amp; $G:$G, M:M)</f>
        <v>#DIV/0!</v>
      </c>
      <c r="AJ326" s="13" t="e" cm="1">
        <f t="array" ref="AJ326">N326 / _xlfn.XLOOKUP($AD326 &amp; "|" &amp; $H326, $AD:$AD &amp; "|" &amp; $G:$G, N:N)</f>
        <v>#DIV/0!</v>
      </c>
      <c r="AK326" s="13" cm="1">
        <f t="array" ref="AK326">O326 / _xlfn.XLOOKUP($AD326 &amp; "|" &amp; $H326, $AD:$AD &amp; "|" &amp; $G:$G, O:O)</f>
        <v>1</v>
      </c>
      <c r="AL326" s="13" t="e" cm="1">
        <f t="array" ref="AL326">P326 / _xlfn.XLOOKUP($AD326 &amp; "|" &amp; $H326, $AD:$AD &amp; "|" &amp; $G:$G, P:P)</f>
        <v>#DIV/0!</v>
      </c>
      <c r="AM326" s="13" cm="1">
        <f t="array" ref="AM326">Q326 / _xlfn.XLOOKUP($AD326 &amp; "|" &amp; $H326, $AD:$AD &amp; "|" &amp; $G:$G, Q:Q)</f>
        <v>0.6470588235294118</v>
      </c>
      <c r="AN326" s="13" t="e" cm="1">
        <f t="array" ref="AN326">R326 / _xlfn.XLOOKUP($AD326 &amp; "|" &amp; $H326, $AD:$AD &amp; "|" &amp; $G:$G, R:R)</f>
        <v>#DIV/0!</v>
      </c>
      <c r="AO326" s="13" t="e" cm="1">
        <f t="array" ref="AO326">S326 / _xlfn.XLOOKUP($AD326 &amp; "|" &amp; $H326, $AD:$AD &amp; "|" &amp; $G:$G, S:S)</f>
        <v>#DIV/0!</v>
      </c>
      <c r="AP326" s="13" t="e" cm="1">
        <f t="array" ref="AP326">T326 / _xlfn.XLOOKUP($AD326 &amp; "|" &amp; $H326, $AD:$AD &amp; "|" &amp; $G:$G, T:T)</f>
        <v>#DIV/0!</v>
      </c>
      <c r="AQ326" s="13" t="e" cm="1">
        <f t="array" ref="AQ326">U326 / _xlfn.XLOOKUP($AD326 &amp; "|" &amp; $H326, $AD:$AD &amp; "|" &amp; $G:$G, U:U)</f>
        <v>#DIV/0!</v>
      </c>
      <c r="AR326" s="13" t="e" cm="1">
        <f t="array" ref="AR326">V326 / _xlfn.XLOOKUP($AD326 &amp; "|" &amp; $H326, $AD:$AD &amp; "|" &amp; $G:$G, V:V)</f>
        <v>#DIV/0!</v>
      </c>
      <c r="AS326" s="13" t="e" cm="1">
        <f t="array" ref="AS326">W326 / _xlfn.XLOOKUP($AD326 &amp; "|" &amp; $H326, $AD:$AD &amp; "|" &amp; $G:$G, W:W)</f>
        <v>#DIV/0!</v>
      </c>
      <c r="AT326" s="13" t="e" cm="1">
        <f t="array" ref="AT326">X326 / _xlfn.XLOOKUP($AD326 &amp; "|" &amp; $H326, $AD:$AD &amp; "|" &amp; $G:$G, X:X)</f>
        <v>#DIV/0!</v>
      </c>
      <c r="AU326" s="13" t="e" cm="1">
        <f t="array" ref="AU326">Y326 / _xlfn.XLOOKUP($AD326 &amp; "|" &amp; $H326, $AD:$AD &amp; "|" &amp; $G:$G, Y:Y)</f>
        <v>#DIV/0!</v>
      </c>
      <c r="AV326" s="13" t="e" cm="1">
        <f t="array" ref="AV326">Z326 / _xlfn.XLOOKUP($AD326 &amp; "|" &amp; $H326, $AD:$AD &amp; "|" &amp; $G:$G, Z:Z)</f>
        <v>#DIV/0!</v>
      </c>
      <c r="AW326" s="13" cm="1">
        <f t="array" ref="AW326">_xlfn.XLOOKUP($AD326 &amp; "|" &amp; $H326, $AD:$AD &amp; "|" &amp; $G:$G, L:L)</f>
        <v>13.65</v>
      </c>
    </row>
    <row r="327" spans="1:49" x14ac:dyDescent="0.2">
      <c r="A327" t="s">
        <v>220</v>
      </c>
      <c r="B327" t="s">
        <v>221</v>
      </c>
      <c r="C327" t="s">
        <v>110</v>
      </c>
      <c r="D327" t="s">
        <v>39</v>
      </c>
      <c r="F327" t="s">
        <v>197</v>
      </c>
      <c r="G327" t="s">
        <v>224</v>
      </c>
      <c r="H327" t="s">
        <v>222</v>
      </c>
      <c r="L327">
        <v>14.51</v>
      </c>
      <c r="O327" s="16">
        <v>34</v>
      </c>
      <c r="Q327">
        <f>2.98*10^14</f>
        <v>298000000000000</v>
      </c>
      <c r="AD327" t="str">
        <f t="shared" si="23"/>
        <v>Schripp|ECLIF2/ND-MAX|Ground|V2527-A5||Mid power</v>
      </c>
      <c r="AE327" s="13" t="e" cm="1">
        <f t="array" ref="AE327">I327 / _xlfn.XLOOKUP($AD327 &amp; "|" &amp; $H327, $AD:$AD &amp; "|" &amp; $G:$G, I:I)</f>
        <v>#DIV/0!</v>
      </c>
      <c r="AF327" s="13" t="e" cm="1">
        <f t="array" ref="AF327">J327 / _xlfn.XLOOKUP($AD327 &amp; "|" &amp; $H327, $AD:$AD &amp; "|" &amp; $G:$G, J:J)</f>
        <v>#DIV/0!</v>
      </c>
      <c r="AG327" s="13" t="e" cm="1">
        <f t="array" ref="AG327">K327 / _xlfn.XLOOKUP($AD327 &amp; "|" &amp; $H327, $AD:$AD &amp; "|" &amp; $G:$G, K:K)</f>
        <v>#DIV/0!</v>
      </c>
      <c r="AH327" s="13" cm="1">
        <f t="array" ref="AH327">L327 / _xlfn.XLOOKUP($AD327 &amp; "|" &amp; $H327, $AD:$AD &amp; "|" &amp; $G:$G, L:L)</f>
        <v>1.063003663003663</v>
      </c>
      <c r="AI327" s="13" t="e" cm="1">
        <f t="array" ref="AI327">M327 / _xlfn.XLOOKUP($AD327 &amp; "|" &amp; $H327, $AD:$AD &amp; "|" &amp; $G:$G, M:M)</f>
        <v>#DIV/0!</v>
      </c>
      <c r="AJ327" s="13" t="e" cm="1">
        <f t="array" ref="AJ327">N327 / _xlfn.XLOOKUP($AD327 &amp; "|" &amp; $H327, $AD:$AD &amp; "|" &amp; $G:$G, N:N)</f>
        <v>#DIV/0!</v>
      </c>
      <c r="AK327" s="13" cm="1">
        <f t="array" ref="AK327">O327 / _xlfn.XLOOKUP($AD327 &amp; "|" &amp; $H327, $AD:$AD &amp; "|" &amp; $G:$G, O:O)</f>
        <v>1</v>
      </c>
      <c r="AL327" s="13" t="e" cm="1">
        <f t="array" ref="AL327">P327 / _xlfn.XLOOKUP($AD327 &amp; "|" &amp; $H327, $AD:$AD &amp; "|" &amp; $G:$G, P:P)</f>
        <v>#DIV/0!</v>
      </c>
      <c r="AM327" s="13" cm="1">
        <f t="array" ref="AM327">Q327 / _xlfn.XLOOKUP($AD327 &amp; "|" &amp; $H327, $AD:$AD &amp; "|" &amp; $G:$G, Q:Q)</f>
        <v>0.51557093425605538</v>
      </c>
      <c r="AN327" s="13" t="e" cm="1">
        <f t="array" ref="AN327">R327 / _xlfn.XLOOKUP($AD327 &amp; "|" &amp; $H327, $AD:$AD &amp; "|" &amp; $G:$G, R:R)</f>
        <v>#DIV/0!</v>
      </c>
      <c r="AO327" s="13" t="e" cm="1">
        <f t="array" ref="AO327">S327 / _xlfn.XLOOKUP($AD327 &amp; "|" &amp; $H327, $AD:$AD &amp; "|" &amp; $G:$G, S:S)</f>
        <v>#DIV/0!</v>
      </c>
      <c r="AP327" s="13" t="e" cm="1">
        <f t="array" ref="AP327">T327 / _xlfn.XLOOKUP($AD327 &amp; "|" &amp; $H327, $AD:$AD &amp; "|" &amp; $G:$G, T:T)</f>
        <v>#DIV/0!</v>
      </c>
      <c r="AQ327" s="13" t="e" cm="1">
        <f t="array" ref="AQ327">U327 / _xlfn.XLOOKUP($AD327 &amp; "|" &amp; $H327, $AD:$AD &amp; "|" &amp; $G:$G, U:U)</f>
        <v>#DIV/0!</v>
      </c>
      <c r="AR327" s="13" t="e" cm="1">
        <f t="array" ref="AR327">V327 / _xlfn.XLOOKUP($AD327 &amp; "|" &amp; $H327, $AD:$AD &amp; "|" &amp; $G:$G, V:V)</f>
        <v>#DIV/0!</v>
      </c>
      <c r="AS327" s="13" t="e" cm="1">
        <f t="array" ref="AS327">W327 / _xlfn.XLOOKUP($AD327 &amp; "|" &amp; $H327, $AD:$AD &amp; "|" &amp; $G:$G, W:W)</f>
        <v>#DIV/0!</v>
      </c>
      <c r="AT327" s="13" t="e" cm="1">
        <f t="array" ref="AT327">X327 / _xlfn.XLOOKUP($AD327 &amp; "|" &amp; $H327, $AD:$AD &amp; "|" &amp; $G:$G, X:X)</f>
        <v>#DIV/0!</v>
      </c>
      <c r="AU327" s="13" t="e" cm="1">
        <f t="array" ref="AU327">Y327 / _xlfn.XLOOKUP($AD327 &amp; "|" &amp; $H327, $AD:$AD &amp; "|" &amp; $G:$G, Y:Y)</f>
        <v>#DIV/0!</v>
      </c>
      <c r="AV327" s="13" t="e" cm="1">
        <f t="array" ref="AV327">Z327 / _xlfn.XLOOKUP($AD327 &amp; "|" &amp; $H327, $AD:$AD &amp; "|" &amp; $G:$G, Z:Z)</f>
        <v>#DIV/0!</v>
      </c>
      <c r="AW327" s="13" cm="1">
        <f t="array" ref="AW327">_xlfn.XLOOKUP($AD327 &amp; "|" &amp; $H327, $AD:$AD &amp; "|" &amp; $G:$G, L:L)</f>
        <v>13.65</v>
      </c>
    </row>
    <row r="328" spans="1:49" x14ac:dyDescent="0.2">
      <c r="A328" t="s">
        <v>220</v>
      </c>
      <c r="B328" t="s">
        <v>221</v>
      </c>
      <c r="C328" t="s">
        <v>110</v>
      </c>
      <c r="D328" t="s">
        <v>39</v>
      </c>
      <c r="F328" t="s">
        <v>197</v>
      </c>
      <c r="G328" t="s">
        <v>225</v>
      </c>
      <c r="H328" t="s">
        <v>222</v>
      </c>
      <c r="L328" s="13">
        <v>14.04</v>
      </c>
      <c r="O328" s="16">
        <v>34</v>
      </c>
      <c r="Q328">
        <f>4.28*10^14</f>
        <v>428000000000000</v>
      </c>
      <c r="AD328" t="str">
        <f t="shared" si="23"/>
        <v>Schripp|ECLIF2/ND-MAX|Ground|V2527-A5||Mid power</v>
      </c>
      <c r="AE328" s="13" t="e" cm="1">
        <f t="array" ref="AE328">I328 / _xlfn.XLOOKUP($AD328 &amp; "|" &amp; $H328, $AD:$AD &amp; "|" &amp; $G:$G, I:I)</f>
        <v>#DIV/0!</v>
      </c>
      <c r="AF328" s="13" t="e" cm="1">
        <f t="array" ref="AF328">J328 / _xlfn.XLOOKUP($AD328 &amp; "|" &amp; $H328, $AD:$AD &amp; "|" &amp; $G:$G, J:J)</f>
        <v>#DIV/0!</v>
      </c>
      <c r="AG328" s="13" t="e" cm="1">
        <f t="array" ref="AG328">K328 / _xlfn.XLOOKUP($AD328 &amp; "|" &amp; $H328, $AD:$AD &amp; "|" &amp; $G:$G, K:K)</f>
        <v>#DIV/0!</v>
      </c>
      <c r="AH328" s="13" cm="1">
        <f t="array" ref="AH328">L328 / _xlfn.XLOOKUP($AD328 &amp; "|" &amp; $H328, $AD:$AD &amp; "|" &amp; $G:$G, L:L)</f>
        <v>1.0285714285714285</v>
      </c>
      <c r="AI328" s="13" t="e" cm="1">
        <f t="array" ref="AI328">M328 / _xlfn.XLOOKUP($AD328 &amp; "|" &amp; $H328, $AD:$AD &amp; "|" &amp; $G:$G, M:M)</f>
        <v>#DIV/0!</v>
      </c>
      <c r="AJ328" s="13" t="e" cm="1">
        <f t="array" ref="AJ328">N328 / _xlfn.XLOOKUP($AD328 &amp; "|" &amp; $H328, $AD:$AD &amp; "|" &amp; $G:$G, N:N)</f>
        <v>#DIV/0!</v>
      </c>
      <c r="AK328" s="13" cm="1">
        <f t="array" ref="AK328">O328 / _xlfn.XLOOKUP($AD328 &amp; "|" &amp; $H328, $AD:$AD &amp; "|" &amp; $G:$G, O:O)</f>
        <v>1</v>
      </c>
      <c r="AL328" s="13" t="e" cm="1">
        <f t="array" ref="AL328">P328 / _xlfn.XLOOKUP($AD328 &amp; "|" &amp; $H328, $AD:$AD &amp; "|" &amp; $G:$G, P:P)</f>
        <v>#DIV/0!</v>
      </c>
      <c r="AM328" s="13" cm="1">
        <f t="array" ref="AM328">Q328 / _xlfn.XLOOKUP($AD328 &amp; "|" &amp; $H328, $AD:$AD &amp; "|" &amp; $G:$G, Q:Q)</f>
        <v>0.74048442906574397</v>
      </c>
      <c r="AN328" s="13" t="e" cm="1">
        <f t="array" ref="AN328">R328 / _xlfn.XLOOKUP($AD328 &amp; "|" &amp; $H328, $AD:$AD &amp; "|" &amp; $G:$G, R:R)</f>
        <v>#DIV/0!</v>
      </c>
      <c r="AO328" s="13" t="e" cm="1">
        <f t="array" ref="AO328">S328 / _xlfn.XLOOKUP($AD328 &amp; "|" &amp; $H328, $AD:$AD &amp; "|" &amp; $G:$G, S:S)</f>
        <v>#DIV/0!</v>
      </c>
      <c r="AP328" s="13" t="e" cm="1">
        <f t="array" ref="AP328">T328 / _xlfn.XLOOKUP($AD328 &amp; "|" &amp; $H328, $AD:$AD &amp; "|" &amp; $G:$G, T:T)</f>
        <v>#DIV/0!</v>
      </c>
      <c r="AQ328" s="13" t="e" cm="1">
        <f t="array" ref="AQ328">U328 / _xlfn.XLOOKUP($AD328 &amp; "|" &amp; $H328, $AD:$AD &amp; "|" &amp; $G:$G, U:U)</f>
        <v>#DIV/0!</v>
      </c>
      <c r="AR328" s="13" t="e" cm="1">
        <f t="array" ref="AR328">V328 / _xlfn.XLOOKUP($AD328 &amp; "|" &amp; $H328, $AD:$AD &amp; "|" &amp; $G:$G, V:V)</f>
        <v>#DIV/0!</v>
      </c>
      <c r="AS328" s="13" t="e" cm="1">
        <f t="array" ref="AS328">W328 / _xlfn.XLOOKUP($AD328 &amp; "|" &amp; $H328, $AD:$AD &amp; "|" &amp; $G:$G, W:W)</f>
        <v>#DIV/0!</v>
      </c>
      <c r="AT328" s="13" t="e" cm="1">
        <f t="array" ref="AT328">X328 / _xlfn.XLOOKUP($AD328 &amp; "|" &amp; $H328, $AD:$AD &amp; "|" &amp; $G:$G, X:X)</f>
        <v>#DIV/0!</v>
      </c>
      <c r="AU328" s="13" t="e" cm="1">
        <f t="array" ref="AU328">Y328 / _xlfn.XLOOKUP($AD328 &amp; "|" &amp; $H328, $AD:$AD &amp; "|" &amp; $G:$G, Y:Y)</f>
        <v>#DIV/0!</v>
      </c>
      <c r="AV328" s="13" t="e" cm="1">
        <f t="array" ref="AV328">Z328 / _xlfn.XLOOKUP($AD328 &amp; "|" &amp; $H328, $AD:$AD &amp; "|" &amp; $G:$G, Z:Z)</f>
        <v>#DIV/0!</v>
      </c>
      <c r="AW328" s="13" cm="1">
        <f t="array" ref="AW328">_xlfn.XLOOKUP($AD328 &amp; "|" &amp; $H328, $AD:$AD &amp; "|" &amp; $G:$G, L:L)</f>
        <v>13.65</v>
      </c>
    </row>
    <row r="329" spans="1:49" x14ac:dyDescent="0.2">
      <c r="A329" t="s">
        <v>220</v>
      </c>
      <c r="B329" t="s">
        <v>221</v>
      </c>
      <c r="C329" t="s">
        <v>110</v>
      </c>
      <c r="D329" t="s">
        <v>39</v>
      </c>
      <c r="F329" t="s">
        <v>192</v>
      </c>
      <c r="G329" t="s">
        <v>222</v>
      </c>
      <c r="L329" s="13">
        <v>13.65</v>
      </c>
      <c r="O329" s="16">
        <v>42</v>
      </c>
      <c r="Q329">
        <f>5.56*10^14</f>
        <v>555999999999999.94</v>
      </c>
      <c r="AD329" t="str">
        <f t="shared" si="23"/>
        <v>Schripp|ECLIF2/ND-MAX|Ground|V2527-A5||Intermediate</v>
      </c>
      <c r="AE329" s="13" t="e" cm="1">
        <f t="array" ref="AE329">I329 / _xlfn.XLOOKUP($AD329 &amp; "|" &amp; $H329, $AD:$AD &amp; "|" &amp; $G:$G, I:I)</f>
        <v>#N/A</v>
      </c>
      <c r="AF329" s="13" t="e" cm="1">
        <f t="array" ref="AF329">J329 / _xlfn.XLOOKUP($AD329 &amp; "|" &amp; $H329, $AD:$AD &amp; "|" &amp; $G:$G, J:J)</f>
        <v>#N/A</v>
      </c>
      <c r="AG329" s="13" t="e" cm="1">
        <f t="array" ref="AG329">K329 / _xlfn.XLOOKUP($AD329 &amp; "|" &amp; $H329, $AD:$AD &amp; "|" &amp; $G:$G, K:K)</f>
        <v>#N/A</v>
      </c>
      <c r="AH329" s="13" t="e" cm="1">
        <f t="array" ref="AH329">L329 / _xlfn.XLOOKUP($AD329 &amp; "|" &amp; $H329, $AD:$AD &amp; "|" &amp; $G:$G, L:L)</f>
        <v>#N/A</v>
      </c>
      <c r="AI329" s="13" t="e" cm="1">
        <f t="array" ref="AI329">M329 / _xlfn.XLOOKUP($AD329 &amp; "|" &amp; $H329, $AD:$AD &amp; "|" &amp; $G:$G, M:M)</f>
        <v>#N/A</v>
      </c>
      <c r="AJ329" s="13" t="e" cm="1">
        <f t="array" ref="AJ329">N329 / _xlfn.XLOOKUP($AD329 &amp; "|" &amp; $H329, $AD:$AD &amp; "|" &amp; $G:$G, N:N)</f>
        <v>#N/A</v>
      </c>
      <c r="AK329" s="13" t="e" cm="1">
        <f t="array" ref="AK329">O329 / _xlfn.XLOOKUP($AD329 &amp; "|" &amp; $H329, $AD:$AD &amp; "|" &amp; $G:$G, O:O)</f>
        <v>#N/A</v>
      </c>
      <c r="AL329" s="13" t="e" cm="1">
        <f t="array" ref="AL329">P329 / _xlfn.XLOOKUP($AD329 &amp; "|" &amp; $H329, $AD:$AD &amp; "|" &amp; $G:$G, P:P)</f>
        <v>#N/A</v>
      </c>
      <c r="AM329" s="13" t="e" cm="1">
        <f t="array" ref="AM329">Q329 / _xlfn.XLOOKUP($AD329 &amp; "|" &amp; $H329, $AD:$AD &amp; "|" &amp; $G:$G, Q:Q)</f>
        <v>#N/A</v>
      </c>
      <c r="AN329" s="13" t="e" cm="1">
        <f t="array" ref="AN329">R329 / _xlfn.XLOOKUP($AD329 &amp; "|" &amp; $H329, $AD:$AD &amp; "|" &amp; $G:$G, R:R)</f>
        <v>#N/A</v>
      </c>
      <c r="AO329" s="13" t="e" cm="1">
        <f t="array" ref="AO329">S329 / _xlfn.XLOOKUP($AD329 &amp; "|" &amp; $H329, $AD:$AD &amp; "|" &amp; $G:$G, S:S)</f>
        <v>#N/A</v>
      </c>
      <c r="AP329" s="13" t="e" cm="1">
        <f t="array" ref="AP329">T329 / _xlfn.XLOOKUP($AD329 &amp; "|" &amp; $H329, $AD:$AD &amp; "|" &amp; $G:$G, T:T)</f>
        <v>#N/A</v>
      </c>
      <c r="AQ329" s="13" t="e" cm="1">
        <f t="array" ref="AQ329">U329 / _xlfn.XLOOKUP($AD329 &amp; "|" &amp; $H329, $AD:$AD &amp; "|" &amp; $G:$G, U:U)</f>
        <v>#N/A</v>
      </c>
      <c r="AR329" s="13" t="e" cm="1">
        <f t="array" ref="AR329">V329 / _xlfn.XLOOKUP($AD329 &amp; "|" &amp; $H329, $AD:$AD &amp; "|" &amp; $G:$G, V:V)</f>
        <v>#N/A</v>
      </c>
      <c r="AS329" s="13" t="e" cm="1">
        <f t="array" ref="AS329">W329 / _xlfn.XLOOKUP($AD329 &amp; "|" &amp; $H329, $AD:$AD &amp; "|" &amp; $G:$G, W:W)</f>
        <v>#N/A</v>
      </c>
      <c r="AT329" s="13" t="e" cm="1">
        <f t="array" ref="AT329">X329 / _xlfn.XLOOKUP($AD329 &amp; "|" &amp; $H329, $AD:$AD &amp; "|" &amp; $G:$G, X:X)</f>
        <v>#N/A</v>
      </c>
      <c r="AU329" s="13" t="e" cm="1">
        <f t="array" ref="AU329">Y329 / _xlfn.XLOOKUP($AD329 &amp; "|" &amp; $H329, $AD:$AD &amp; "|" &amp; $G:$G, Y:Y)</f>
        <v>#N/A</v>
      </c>
      <c r="AV329" s="13" t="e" cm="1">
        <f t="array" ref="AV329">Z329 / _xlfn.XLOOKUP($AD329 &amp; "|" &amp; $H329, $AD:$AD &amp; "|" &amp; $G:$G, Z:Z)</f>
        <v>#N/A</v>
      </c>
      <c r="AW329" s="13" t="e" cm="1">
        <f t="array" ref="AW329">_xlfn.XLOOKUP($AD329 &amp; "|" &amp; $H329, $AD:$AD &amp; "|" &amp; $G:$G, L:L)</f>
        <v>#N/A</v>
      </c>
    </row>
    <row r="330" spans="1:49" x14ac:dyDescent="0.2">
      <c r="A330" t="s">
        <v>220</v>
      </c>
      <c r="B330" t="s">
        <v>221</v>
      </c>
      <c r="C330" t="s">
        <v>110</v>
      </c>
      <c r="D330" t="s">
        <v>39</v>
      </c>
      <c r="F330" t="s">
        <v>192</v>
      </c>
      <c r="G330" t="s">
        <v>223</v>
      </c>
      <c r="H330" t="s">
        <v>222</v>
      </c>
      <c r="L330">
        <v>14.4</v>
      </c>
      <c r="O330" s="16">
        <v>42</v>
      </c>
      <c r="Q330">
        <f>4.25*10^14</f>
        <v>425000000000000</v>
      </c>
      <c r="AD330" t="str">
        <f t="shared" si="23"/>
        <v>Schripp|ECLIF2/ND-MAX|Ground|V2527-A5||Intermediate</v>
      </c>
      <c r="AE330" s="13" t="e" cm="1">
        <f t="array" ref="AE330">I330 / _xlfn.XLOOKUP($AD330 &amp; "|" &amp; $H330, $AD:$AD &amp; "|" &amp; $G:$G, I:I)</f>
        <v>#DIV/0!</v>
      </c>
      <c r="AF330" s="13" t="e" cm="1">
        <f t="array" ref="AF330">J330 / _xlfn.XLOOKUP($AD330 &amp; "|" &amp; $H330, $AD:$AD &amp; "|" &amp; $G:$G, J:J)</f>
        <v>#DIV/0!</v>
      </c>
      <c r="AG330" s="13" t="e" cm="1">
        <f t="array" ref="AG330">K330 / _xlfn.XLOOKUP($AD330 &amp; "|" &amp; $H330, $AD:$AD &amp; "|" &amp; $G:$G, K:K)</f>
        <v>#DIV/0!</v>
      </c>
      <c r="AH330" s="13" cm="1">
        <f t="array" ref="AH330">L330 / _xlfn.XLOOKUP($AD330 &amp; "|" &amp; $H330, $AD:$AD &amp; "|" &amp; $G:$G, L:L)</f>
        <v>1.054945054945055</v>
      </c>
      <c r="AI330" s="13" t="e" cm="1">
        <f t="array" ref="AI330">M330 / _xlfn.XLOOKUP($AD330 &amp; "|" &amp; $H330, $AD:$AD &amp; "|" &amp; $G:$G, M:M)</f>
        <v>#DIV/0!</v>
      </c>
      <c r="AJ330" s="13" t="e" cm="1">
        <f t="array" ref="AJ330">N330 / _xlfn.XLOOKUP($AD330 &amp; "|" &amp; $H330, $AD:$AD &amp; "|" &amp; $G:$G, N:N)</f>
        <v>#DIV/0!</v>
      </c>
      <c r="AK330" s="13" cm="1">
        <f t="array" ref="AK330">O330 / _xlfn.XLOOKUP($AD330 &amp; "|" &amp; $H330, $AD:$AD &amp; "|" &amp; $G:$G, O:O)</f>
        <v>1</v>
      </c>
      <c r="AL330" s="13" t="e" cm="1">
        <f t="array" ref="AL330">P330 / _xlfn.XLOOKUP($AD330 &amp; "|" &amp; $H330, $AD:$AD &amp; "|" &amp; $G:$G, P:P)</f>
        <v>#DIV/0!</v>
      </c>
      <c r="AM330" s="13" cm="1">
        <f t="array" ref="AM330">Q330 / _xlfn.XLOOKUP($AD330 &amp; "|" &amp; $H330, $AD:$AD &amp; "|" &amp; $G:$G, Q:Q)</f>
        <v>0.76438848920863323</v>
      </c>
      <c r="AN330" s="13" t="e" cm="1">
        <f t="array" ref="AN330">R330 / _xlfn.XLOOKUP($AD330 &amp; "|" &amp; $H330, $AD:$AD &amp; "|" &amp; $G:$G, R:R)</f>
        <v>#DIV/0!</v>
      </c>
      <c r="AO330" s="13" t="e" cm="1">
        <f t="array" ref="AO330">S330 / _xlfn.XLOOKUP($AD330 &amp; "|" &amp; $H330, $AD:$AD &amp; "|" &amp; $G:$G, S:S)</f>
        <v>#DIV/0!</v>
      </c>
      <c r="AP330" s="13" t="e" cm="1">
        <f t="array" ref="AP330">T330 / _xlfn.XLOOKUP($AD330 &amp; "|" &amp; $H330, $AD:$AD &amp; "|" &amp; $G:$G, T:T)</f>
        <v>#DIV/0!</v>
      </c>
      <c r="AQ330" s="13" t="e" cm="1">
        <f t="array" ref="AQ330">U330 / _xlfn.XLOOKUP($AD330 &amp; "|" &amp; $H330, $AD:$AD &amp; "|" &amp; $G:$G, U:U)</f>
        <v>#DIV/0!</v>
      </c>
      <c r="AR330" s="13" t="e" cm="1">
        <f t="array" ref="AR330">V330 / _xlfn.XLOOKUP($AD330 &amp; "|" &amp; $H330, $AD:$AD &amp; "|" &amp; $G:$G, V:V)</f>
        <v>#DIV/0!</v>
      </c>
      <c r="AS330" s="13" t="e" cm="1">
        <f t="array" ref="AS330">W330 / _xlfn.XLOOKUP($AD330 &amp; "|" &amp; $H330, $AD:$AD &amp; "|" &amp; $G:$G, W:W)</f>
        <v>#DIV/0!</v>
      </c>
      <c r="AT330" s="13" t="e" cm="1">
        <f t="array" ref="AT330">X330 / _xlfn.XLOOKUP($AD330 &amp; "|" &amp; $H330, $AD:$AD &amp; "|" &amp; $G:$G, X:X)</f>
        <v>#DIV/0!</v>
      </c>
      <c r="AU330" s="13" t="e" cm="1">
        <f t="array" ref="AU330">Y330 / _xlfn.XLOOKUP($AD330 &amp; "|" &amp; $H330, $AD:$AD &amp; "|" &amp; $G:$G, Y:Y)</f>
        <v>#DIV/0!</v>
      </c>
      <c r="AV330" s="13" t="e" cm="1">
        <f t="array" ref="AV330">Z330 / _xlfn.XLOOKUP($AD330 &amp; "|" &amp; $H330, $AD:$AD &amp; "|" &amp; $G:$G, Z:Z)</f>
        <v>#DIV/0!</v>
      </c>
      <c r="AW330" s="13" cm="1">
        <f t="array" ref="AW330">_xlfn.XLOOKUP($AD330 &amp; "|" &amp; $H330, $AD:$AD &amp; "|" &amp; $G:$G, L:L)</f>
        <v>13.65</v>
      </c>
    </row>
    <row r="331" spans="1:49" x14ac:dyDescent="0.2">
      <c r="A331" t="s">
        <v>220</v>
      </c>
      <c r="B331" t="s">
        <v>221</v>
      </c>
      <c r="C331" t="s">
        <v>110</v>
      </c>
      <c r="D331" t="s">
        <v>39</v>
      </c>
      <c r="F331" t="s">
        <v>192</v>
      </c>
      <c r="G331" t="s">
        <v>224</v>
      </c>
      <c r="H331" t="s">
        <v>222</v>
      </c>
      <c r="L331">
        <v>14.51</v>
      </c>
      <c r="O331" s="16">
        <v>42</v>
      </c>
      <c r="Q331">
        <f>4.25*10^14</f>
        <v>425000000000000</v>
      </c>
      <c r="AD331" t="str">
        <f t="shared" si="23"/>
        <v>Schripp|ECLIF2/ND-MAX|Ground|V2527-A5||Intermediate</v>
      </c>
      <c r="AE331" s="13" t="e" cm="1">
        <f t="array" ref="AE331">I331 / _xlfn.XLOOKUP($AD331 &amp; "|" &amp; $H331, $AD:$AD &amp; "|" &amp; $G:$G, I:I)</f>
        <v>#DIV/0!</v>
      </c>
      <c r="AF331" s="13" t="e" cm="1">
        <f t="array" ref="AF331">J331 / _xlfn.XLOOKUP($AD331 &amp; "|" &amp; $H331, $AD:$AD &amp; "|" &amp; $G:$G, J:J)</f>
        <v>#DIV/0!</v>
      </c>
      <c r="AG331" s="13" t="e" cm="1">
        <f t="array" ref="AG331">K331 / _xlfn.XLOOKUP($AD331 &amp; "|" &amp; $H331, $AD:$AD &amp; "|" &amp; $G:$G, K:K)</f>
        <v>#DIV/0!</v>
      </c>
      <c r="AH331" s="13" cm="1">
        <f t="array" ref="AH331">L331 / _xlfn.XLOOKUP($AD331 &amp; "|" &amp; $H331, $AD:$AD &amp; "|" &amp; $G:$G, L:L)</f>
        <v>1.063003663003663</v>
      </c>
      <c r="AI331" s="13" t="e" cm="1">
        <f t="array" ref="AI331">M331 / _xlfn.XLOOKUP($AD331 &amp; "|" &amp; $H331, $AD:$AD &amp; "|" &amp; $G:$G, M:M)</f>
        <v>#DIV/0!</v>
      </c>
      <c r="AJ331" s="13" t="e" cm="1">
        <f t="array" ref="AJ331">N331 / _xlfn.XLOOKUP($AD331 &amp; "|" &amp; $H331, $AD:$AD &amp; "|" &amp; $G:$G, N:N)</f>
        <v>#DIV/0!</v>
      </c>
      <c r="AK331" s="13" cm="1">
        <f t="array" ref="AK331">O331 / _xlfn.XLOOKUP($AD331 &amp; "|" &amp; $H331, $AD:$AD &amp; "|" &amp; $G:$G, O:O)</f>
        <v>1</v>
      </c>
      <c r="AL331" s="13" t="e" cm="1">
        <f t="array" ref="AL331">P331 / _xlfn.XLOOKUP($AD331 &amp; "|" &amp; $H331, $AD:$AD &amp; "|" &amp; $G:$G, P:P)</f>
        <v>#DIV/0!</v>
      </c>
      <c r="AM331" s="13" cm="1">
        <f t="array" ref="AM331">Q331 / _xlfn.XLOOKUP($AD331 &amp; "|" &amp; $H331, $AD:$AD &amp; "|" &amp; $G:$G, Q:Q)</f>
        <v>0.76438848920863323</v>
      </c>
      <c r="AN331" s="13" t="e" cm="1">
        <f t="array" ref="AN331">R331 / _xlfn.XLOOKUP($AD331 &amp; "|" &amp; $H331, $AD:$AD &amp; "|" &amp; $G:$G, R:R)</f>
        <v>#DIV/0!</v>
      </c>
      <c r="AO331" s="13" t="e" cm="1">
        <f t="array" ref="AO331">S331 / _xlfn.XLOOKUP($AD331 &amp; "|" &amp; $H331, $AD:$AD &amp; "|" &amp; $G:$G, S:S)</f>
        <v>#DIV/0!</v>
      </c>
      <c r="AP331" s="13" t="e" cm="1">
        <f t="array" ref="AP331">T331 / _xlfn.XLOOKUP($AD331 &amp; "|" &amp; $H331, $AD:$AD &amp; "|" &amp; $G:$G, T:T)</f>
        <v>#DIV/0!</v>
      </c>
      <c r="AQ331" s="13" t="e" cm="1">
        <f t="array" ref="AQ331">U331 / _xlfn.XLOOKUP($AD331 &amp; "|" &amp; $H331, $AD:$AD &amp; "|" &amp; $G:$G, U:U)</f>
        <v>#DIV/0!</v>
      </c>
      <c r="AR331" s="13" t="e" cm="1">
        <f t="array" ref="AR331">V331 / _xlfn.XLOOKUP($AD331 &amp; "|" &amp; $H331, $AD:$AD &amp; "|" &amp; $G:$G, V:V)</f>
        <v>#DIV/0!</v>
      </c>
      <c r="AS331" s="13" t="e" cm="1">
        <f t="array" ref="AS331">W331 / _xlfn.XLOOKUP($AD331 &amp; "|" &amp; $H331, $AD:$AD &amp; "|" &amp; $G:$G, W:W)</f>
        <v>#DIV/0!</v>
      </c>
      <c r="AT331" s="13" t="e" cm="1">
        <f t="array" ref="AT331">X331 / _xlfn.XLOOKUP($AD331 &amp; "|" &amp; $H331, $AD:$AD &amp; "|" &amp; $G:$G, X:X)</f>
        <v>#DIV/0!</v>
      </c>
      <c r="AU331" s="13" t="e" cm="1">
        <f t="array" ref="AU331">Y331 / _xlfn.XLOOKUP($AD331 &amp; "|" &amp; $H331, $AD:$AD &amp; "|" &amp; $G:$G, Y:Y)</f>
        <v>#DIV/0!</v>
      </c>
      <c r="AV331" s="13" t="e" cm="1">
        <f t="array" ref="AV331">Z331 / _xlfn.XLOOKUP($AD331 &amp; "|" &amp; $H331, $AD:$AD &amp; "|" &amp; $G:$G, Z:Z)</f>
        <v>#DIV/0!</v>
      </c>
      <c r="AW331" s="13" cm="1">
        <f t="array" ref="AW331">_xlfn.XLOOKUP($AD331 &amp; "|" &amp; $H331, $AD:$AD &amp; "|" &amp; $G:$G, L:L)</f>
        <v>13.65</v>
      </c>
    </row>
    <row r="332" spans="1:49" x14ac:dyDescent="0.2">
      <c r="A332" t="s">
        <v>220</v>
      </c>
      <c r="B332" t="s">
        <v>221</v>
      </c>
      <c r="C332" t="s">
        <v>110</v>
      </c>
      <c r="D332" t="s">
        <v>39</v>
      </c>
      <c r="F332" t="s">
        <v>192</v>
      </c>
      <c r="G332" t="s">
        <v>225</v>
      </c>
      <c r="H332" t="s">
        <v>222</v>
      </c>
      <c r="L332" s="13">
        <v>14.04</v>
      </c>
      <c r="O332" s="16">
        <v>42</v>
      </c>
      <c r="Q332">
        <f>4.42*10^14</f>
        <v>442000000000000</v>
      </c>
      <c r="AD332" t="str">
        <f t="shared" si="23"/>
        <v>Schripp|ECLIF2/ND-MAX|Ground|V2527-A5||Intermediate</v>
      </c>
      <c r="AE332" s="13" t="e" cm="1">
        <f t="array" ref="AE332">I332 / _xlfn.XLOOKUP($AD332 &amp; "|" &amp; $H332, $AD:$AD &amp; "|" &amp; $G:$G, I:I)</f>
        <v>#DIV/0!</v>
      </c>
      <c r="AF332" s="13" t="e" cm="1">
        <f t="array" ref="AF332">J332 / _xlfn.XLOOKUP($AD332 &amp; "|" &amp; $H332, $AD:$AD &amp; "|" &amp; $G:$G, J:J)</f>
        <v>#DIV/0!</v>
      </c>
      <c r="AG332" s="13" t="e" cm="1">
        <f t="array" ref="AG332">K332 / _xlfn.XLOOKUP($AD332 &amp; "|" &amp; $H332, $AD:$AD &amp; "|" &amp; $G:$G, K:K)</f>
        <v>#DIV/0!</v>
      </c>
      <c r="AH332" s="13" cm="1">
        <f t="array" ref="AH332">L332 / _xlfn.XLOOKUP($AD332 &amp; "|" &amp; $H332, $AD:$AD &amp; "|" &amp; $G:$G, L:L)</f>
        <v>1.0285714285714285</v>
      </c>
      <c r="AI332" s="13" t="e" cm="1">
        <f t="array" ref="AI332">M332 / _xlfn.XLOOKUP($AD332 &amp; "|" &amp; $H332, $AD:$AD &amp; "|" &amp; $G:$G, M:M)</f>
        <v>#DIV/0!</v>
      </c>
      <c r="AJ332" s="13" t="e" cm="1">
        <f t="array" ref="AJ332">N332 / _xlfn.XLOOKUP($AD332 &amp; "|" &amp; $H332, $AD:$AD &amp; "|" &amp; $G:$G, N:N)</f>
        <v>#DIV/0!</v>
      </c>
      <c r="AK332" s="13" cm="1">
        <f t="array" ref="AK332">O332 / _xlfn.XLOOKUP($AD332 &amp; "|" &amp; $H332, $AD:$AD &amp; "|" &amp; $G:$G, O:O)</f>
        <v>1</v>
      </c>
      <c r="AL332" s="13" t="e" cm="1">
        <f t="array" ref="AL332">P332 / _xlfn.XLOOKUP($AD332 &amp; "|" &amp; $H332, $AD:$AD &amp; "|" &amp; $G:$G, P:P)</f>
        <v>#DIV/0!</v>
      </c>
      <c r="AM332" s="13" cm="1">
        <f t="array" ref="AM332">Q332 / _xlfn.XLOOKUP($AD332 &amp; "|" &amp; $H332, $AD:$AD &amp; "|" &amp; $G:$G, Q:Q)</f>
        <v>0.79496402877697847</v>
      </c>
      <c r="AN332" s="13" t="e" cm="1">
        <f t="array" ref="AN332">R332 / _xlfn.XLOOKUP($AD332 &amp; "|" &amp; $H332, $AD:$AD &amp; "|" &amp; $G:$G, R:R)</f>
        <v>#DIV/0!</v>
      </c>
      <c r="AO332" s="13" t="e" cm="1">
        <f t="array" ref="AO332">S332 / _xlfn.XLOOKUP($AD332 &amp; "|" &amp; $H332, $AD:$AD &amp; "|" &amp; $G:$G, S:S)</f>
        <v>#DIV/0!</v>
      </c>
      <c r="AP332" s="13" t="e" cm="1">
        <f t="array" ref="AP332">T332 / _xlfn.XLOOKUP($AD332 &amp; "|" &amp; $H332, $AD:$AD &amp; "|" &amp; $G:$G, T:T)</f>
        <v>#DIV/0!</v>
      </c>
      <c r="AQ332" s="13" t="e" cm="1">
        <f t="array" ref="AQ332">U332 / _xlfn.XLOOKUP($AD332 &amp; "|" &amp; $H332, $AD:$AD &amp; "|" &amp; $G:$G, U:U)</f>
        <v>#DIV/0!</v>
      </c>
      <c r="AR332" s="13" t="e" cm="1">
        <f t="array" ref="AR332">V332 / _xlfn.XLOOKUP($AD332 &amp; "|" &amp; $H332, $AD:$AD &amp; "|" &amp; $G:$G, V:V)</f>
        <v>#DIV/0!</v>
      </c>
      <c r="AS332" s="13" t="e" cm="1">
        <f t="array" ref="AS332">W332 / _xlfn.XLOOKUP($AD332 &amp; "|" &amp; $H332, $AD:$AD &amp; "|" &amp; $G:$G, W:W)</f>
        <v>#DIV/0!</v>
      </c>
      <c r="AT332" s="13" t="e" cm="1">
        <f t="array" ref="AT332">X332 / _xlfn.XLOOKUP($AD332 &amp; "|" &amp; $H332, $AD:$AD &amp; "|" &amp; $G:$G, X:X)</f>
        <v>#DIV/0!</v>
      </c>
      <c r="AU332" s="13" t="e" cm="1">
        <f t="array" ref="AU332">Y332 / _xlfn.XLOOKUP($AD332 &amp; "|" &amp; $H332, $AD:$AD &amp; "|" &amp; $G:$G, Y:Y)</f>
        <v>#DIV/0!</v>
      </c>
      <c r="AV332" s="13" t="e" cm="1">
        <f t="array" ref="AV332">Z332 / _xlfn.XLOOKUP($AD332 &amp; "|" &amp; $H332, $AD:$AD &amp; "|" &amp; $G:$G, Z:Z)</f>
        <v>#DIV/0!</v>
      </c>
      <c r="AW332" s="13" cm="1">
        <f t="array" ref="AW332">_xlfn.XLOOKUP($AD332 &amp; "|" &amp; $H332, $AD:$AD &amp; "|" &amp; $G:$G, L:L)</f>
        <v>13.65</v>
      </c>
    </row>
    <row r="333" spans="1:49" x14ac:dyDescent="0.2">
      <c r="A333" t="s">
        <v>220</v>
      </c>
      <c r="B333" t="s">
        <v>221</v>
      </c>
      <c r="C333" t="s">
        <v>110</v>
      </c>
      <c r="D333" t="s">
        <v>39</v>
      </c>
      <c r="F333" t="s">
        <v>194</v>
      </c>
      <c r="G333" t="s">
        <v>222</v>
      </c>
      <c r="L333" s="13">
        <v>13.65</v>
      </c>
      <c r="O333" s="16">
        <v>72</v>
      </c>
      <c r="Q333">
        <f>3.8*10^14</f>
        <v>380000000000000</v>
      </c>
      <c r="AD333" t="str">
        <f t="shared" si="23"/>
        <v>Schripp|ECLIF2/ND-MAX|Ground|V2527-A5||Mid-high power</v>
      </c>
      <c r="AE333" s="13" t="e" cm="1">
        <f t="array" ref="AE333">I333 / _xlfn.XLOOKUP($AD333 &amp; "|" &amp; $H333, $AD:$AD &amp; "|" &amp; $G:$G, I:I)</f>
        <v>#N/A</v>
      </c>
      <c r="AF333" s="13" t="e" cm="1">
        <f t="array" ref="AF333">J333 / _xlfn.XLOOKUP($AD333 &amp; "|" &amp; $H333, $AD:$AD &amp; "|" &amp; $G:$G, J:J)</f>
        <v>#N/A</v>
      </c>
      <c r="AG333" s="13" t="e" cm="1">
        <f t="array" ref="AG333">K333 / _xlfn.XLOOKUP($AD333 &amp; "|" &amp; $H333, $AD:$AD &amp; "|" &amp; $G:$G, K:K)</f>
        <v>#N/A</v>
      </c>
      <c r="AH333" s="13" t="e" cm="1">
        <f t="array" ref="AH333">L333 / _xlfn.XLOOKUP($AD333 &amp; "|" &amp; $H333, $AD:$AD &amp; "|" &amp; $G:$G, L:L)</f>
        <v>#N/A</v>
      </c>
      <c r="AI333" s="13" t="e" cm="1">
        <f t="array" ref="AI333">M333 / _xlfn.XLOOKUP($AD333 &amp; "|" &amp; $H333, $AD:$AD &amp; "|" &amp; $G:$G, M:M)</f>
        <v>#N/A</v>
      </c>
      <c r="AJ333" s="13" t="e" cm="1">
        <f t="array" ref="AJ333">N333 / _xlfn.XLOOKUP($AD333 &amp; "|" &amp; $H333, $AD:$AD &amp; "|" &amp; $G:$G, N:N)</f>
        <v>#N/A</v>
      </c>
      <c r="AK333" s="13" t="e" cm="1">
        <f t="array" ref="AK333">O333 / _xlfn.XLOOKUP($AD333 &amp; "|" &amp; $H333, $AD:$AD &amp; "|" &amp; $G:$G, O:O)</f>
        <v>#N/A</v>
      </c>
      <c r="AL333" s="13" t="e" cm="1">
        <f t="array" ref="AL333">P333 / _xlfn.XLOOKUP($AD333 &amp; "|" &amp; $H333, $AD:$AD &amp; "|" &amp; $G:$G, P:P)</f>
        <v>#N/A</v>
      </c>
      <c r="AM333" s="13" t="e" cm="1">
        <f t="array" ref="AM333">Q333 / _xlfn.XLOOKUP($AD333 &amp; "|" &amp; $H333, $AD:$AD &amp; "|" &amp; $G:$G, Q:Q)</f>
        <v>#N/A</v>
      </c>
      <c r="AN333" s="13" t="e" cm="1">
        <f t="array" ref="AN333">R333 / _xlfn.XLOOKUP($AD333 &amp; "|" &amp; $H333, $AD:$AD &amp; "|" &amp; $G:$G, R:R)</f>
        <v>#N/A</v>
      </c>
      <c r="AO333" s="13" t="e" cm="1">
        <f t="array" ref="AO333">S333 / _xlfn.XLOOKUP($AD333 &amp; "|" &amp; $H333, $AD:$AD &amp; "|" &amp; $G:$G, S:S)</f>
        <v>#N/A</v>
      </c>
      <c r="AP333" s="13" t="e" cm="1">
        <f t="array" ref="AP333">T333 / _xlfn.XLOOKUP($AD333 &amp; "|" &amp; $H333, $AD:$AD &amp; "|" &amp; $G:$G, T:T)</f>
        <v>#N/A</v>
      </c>
      <c r="AQ333" s="13" t="e" cm="1">
        <f t="array" ref="AQ333">U333 / _xlfn.XLOOKUP($AD333 &amp; "|" &amp; $H333, $AD:$AD &amp; "|" &amp; $G:$G, U:U)</f>
        <v>#N/A</v>
      </c>
      <c r="AR333" s="13" t="e" cm="1">
        <f t="array" ref="AR333">V333 / _xlfn.XLOOKUP($AD333 &amp; "|" &amp; $H333, $AD:$AD &amp; "|" &amp; $G:$G, V:V)</f>
        <v>#N/A</v>
      </c>
      <c r="AS333" s="13" t="e" cm="1">
        <f t="array" ref="AS333">W333 / _xlfn.XLOOKUP($AD333 &amp; "|" &amp; $H333, $AD:$AD &amp; "|" &amp; $G:$G, W:W)</f>
        <v>#N/A</v>
      </c>
      <c r="AT333" s="13" t="e" cm="1">
        <f t="array" ref="AT333">X333 / _xlfn.XLOOKUP($AD333 &amp; "|" &amp; $H333, $AD:$AD &amp; "|" &amp; $G:$G, X:X)</f>
        <v>#N/A</v>
      </c>
      <c r="AU333" s="13" t="e" cm="1">
        <f t="array" ref="AU333">Y333 / _xlfn.XLOOKUP($AD333 &amp; "|" &amp; $H333, $AD:$AD &amp; "|" &amp; $G:$G, Y:Y)</f>
        <v>#N/A</v>
      </c>
      <c r="AV333" s="13" t="e" cm="1">
        <f t="array" ref="AV333">Z333 / _xlfn.XLOOKUP($AD333 &amp; "|" &amp; $H333, $AD:$AD &amp; "|" &amp; $G:$G, Z:Z)</f>
        <v>#N/A</v>
      </c>
      <c r="AW333" s="13" t="e" cm="1">
        <f t="array" ref="AW333">_xlfn.XLOOKUP($AD333 &amp; "|" &amp; $H333, $AD:$AD &amp; "|" &amp; $G:$G, L:L)</f>
        <v>#N/A</v>
      </c>
    </row>
    <row r="334" spans="1:49" x14ac:dyDescent="0.2">
      <c r="A334" t="s">
        <v>220</v>
      </c>
      <c r="B334" t="s">
        <v>221</v>
      </c>
      <c r="C334" t="s">
        <v>110</v>
      </c>
      <c r="D334" t="s">
        <v>39</v>
      </c>
      <c r="F334" t="s">
        <v>194</v>
      </c>
      <c r="G334" t="s">
        <v>223</v>
      </c>
      <c r="H334" t="s">
        <v>222</v>
      </c>
      <c r="L334">
        <v>14.4</v>
      </c>
      <c r="O334" s="16">
        <v>72</v>
      </c>
      <c r="Q334">
        <f>3.21*10^14</f>
        <v>321000000000000</v>
      </c>
      <c r="AD334" t="str">
        <f t="shared" si="23"/>
        <v>Schripp|ECLIF2/ND-MAX|Ground|V2527-A5||Mid-high power</v>
      </c>
      <c r="AE334" s="13" t="e" cm="1">
        <f t="array" ref="AE334">I334 / _xlfn.XLOOKUP($AD334 &amp; "|" &amp; $H334, $AD:$AD &amp; "|" &amp; $G:$G, I:I)</f>
        <v>#DIV/0!</v>
      </c>
      <c r="AF334" s="13" t="e" cm="1">
        <f t="array" ref="AF334">J334 / _xlfn.XLOOKUP($AD334 &amp; "|" &amp; $H334, $AD:$AD &amp; "|" &amp; $G:$G, J:J)</f>
        <v>#DIV/0!</v>
      </c>
      <c r="AG334" s="13" t="e" cm="1">
        <f t="array" ref="AG334">K334 / _xlfn.XLOOKUP($AD334 &amp; "|" &amp; $H334, $AD:$AD &amp; "|" &amp; $G:$G, K:K)</f>
        <v>#DIV/0!</v>
      </c>
      <c r="AH334" s="13" cm="1">
        <f t="array" ref="AH334">L334 / _xlfn.XLOOKUP($AD334 &amp; "|" &amp; $H334, $AD:$AD &amp; "|" &amp; $G:$G, L:L)</f>
        <v>1.054945054945055</v>
      </c>
      <c r="AI334" s="13" t="e" cm="1">
        <f t="array" ref="AI334">M334 / _xlfn.XLOOKUP($AD334 &amp; "|" &amp; $H334, $AD:$AD &amp; "|" &amp; $G:$G, M:M)</f>
        <v>#DIV/0!</v>
      </c>
      <c r="AJ334" s="13" t="e" cm="1">
        <f t="array" ref="AJ334">N334 / _xlfn.XLOOKUP($AD334 &amp; "|" &amp; $H334, $AD:$AD &amp; "|" &amp; $G:$G, N:N)</f>
        <v>#DIV/0!</v>
      </c>
      <c r="AK334" s="13" cm="1">
        <f t="array" ref="AK334">O334 / _xlfn.XLOOKUP($AD334 &amp; "|" &amp; $H334, $AD:$AD &amp; "|" &amp; $G:$G, O:O)</f>
        <v>1</v>
      </c>
      <c r="AL334" s="13" t="e" cm="1">
        <f t="array" ref="AL334">P334 / _xlfn.XLOOKUP($AD334 &amp; "|" &amp; $H334, $AD:$AD &amp; "|" &amp; $G:$G, P:P)</f>
        <v>#DIV/0!</v>
      </c>
      <c r="AM334" s="13" cm="1">
        <f t="array" ref="AM334">Q334 / _xlfn.XLOOKUP($AD334 &amp; "|" &amp; $H334, $AD:$AD &amp; "|" &amp; $G:$G, Q:Q)</f>
        <v>0.84473684210526312</v>
      </c>
      <c r="AN334" s="13" t="e" cm="1">
        <f t="array" ref="AN334">R334 / _xlfn.XLOOKUP($AD334 &amp; "|" &amp; $H334, $AD:$AD &amp; "|" &amp; $G:$G, R:R)</f>
        <v>#DIV/0!</v>
      </c>
      <c r="AO334" s="13" t="e" cm="1">
        <f t="array" ref="AO334">S334 / _xlfn.XLOOKUP($AD334 &amp; "|" &amp; $H334, $AD:$AD &amp; "|" &amp; $G:$G, S:S)</f>
        <v>#DIV/0!</v>
      </c>
      <c r="AP334" s="13" t="e" cm="1">
        <f t="array" ref="AP334">T334 / _xlfn.XLOOKUP($AD334 &amp; "|" &amp; $H334, $AD:$AD &amp; "|" &amp; $G:$G, T:T)</f>
        <v>#DIV/0!</v>
      </c>
      <c r="AQ334" s="13" t="e" cm="1">
        <f t="array" ref="AQ334">U334 / _xlfn.XLOOKUP($AD334 &amp; "|" &amp; $H334, $AD:$AD &amp; "|" &amp; $G:$G, U:U)</f>
        <v>#DIV/0!</v>
      </c>
      <c r="AR334" s="13" t="e" cm="1">
        <f t="array" ref="AR334">V334 / _xlfn.XLOOKUP($AD334 &amp; "|" &amp; $H334, $AD:$AD &amp; "|" &amp; $G:$G, V:V)</f>
        <v>#DIV/0!</v>
      </c>
      <c r="AS334" s="13" t="e" cm="1">
        <f t="array" ref="AS334">W334 / _xlfn.XLOOKUP($AD334 &amp; "|" &amp; $H334, $AD:$AD &amp; "|" &amp; $G:$G, W:W)</f>
        <v>#DIV/0!</v>
      </c>
      <c r="AT334" s="13" t="e" cm="1">
        <f t="array" ref="AT334">X334 / _xlfn.XLOOKUP($AD334 &amp; "|" &amp; $H334, $AD:$AD &amp; "|" &amp; $G:$G, X:X)</f>
        <v>#DIV/0!</v>
      </c>
      <c r="AU334" s="13" t="e" cm="1">
        <f t="array" ref="AU334">Y334 / _xlfn.XLOOKUP($AD334 &amp; "|" &amp; $H334, $AD:$AD &amp; "|" &amp; $G:$G, Y:Y)</f>
        <v>#DIV/0!</v>
      </c>
      <c r="AV334" s="13" t="e" cm="1">
        <f t="array" ref="AV334">Z334 / _xlfn.XLOOKUP($AD334 &amp; "|" &amp; $H334, $AD:$AD &amp; "|" &amp; $G:$G, Z:Z)</f>
        <v>#DIV/0!</v>
      </c>
      <c r="AW334" s="13" cm="1">
        <f t="array" ref="AW334">_xlfn.XLOOKUP($AD334 &amp; "|" &amp; $H334, $AD:$AD &amp; "|" &amp; $G:$G, L:L)</f>
        <v>13.65</v>
      </c>
    </row>
    <row r="335" spans="1:49" x14ac:dyDescent="0.2">
      <c r="A335" t="s">
        <v>220</v>
      </c>
      <c r="B335" t="s">
        <v>221</v>
      </c>
      <c r="C335" t="s">
        <v>110</v>
      </c>
      <c r="D335" t="s">
        <v>39</v>
      </c>
      <c r="F335" t="s">
        <v>194</v>
      </c>
      <c r="G335" t="s">
        <v>224</v>
      </c>
      <c r="H335" t="s">
        <v>222</v>
      </c>
      <c r="L335">
        <v>14.51</v>
      </c>
      <c r="O335" s="16">
        <v>72</v>
      </c>
      <c r="Q335">
        <f>3.24*10^14</f>
        <v>324000000000000</v>
      </c>
      <c r="AD335" t="str">
        <f t="shared" si="23"/>
        <v>Schripp|ECLIF2/ND-MAX|Ground|V2527-A5||Mid-high power</v>
      </c>
      <c r="AE335" s="13" t="e" cm="1">
        <f t="array" ref="AE335">I335 / _xlfn.XLOOKUP($AD335 &amp; "|" &amp; $H335, $AD:$AD &amp; "|" &amp; $G:$G, I:I)</f>
        <v>#DIV/0!</v>
      </c>
      <c r="AF335" s="13" t="e" cm="1">
        <f t="array" ref="AF335">J335 / _xlfn.XLOOKUP($AD335 &amp; "|" &amp; $H335, $AD:$AD &amp; "|" &amp; $G:$G, J:J)</f>
        <v>#DIV/0!</v>
      </c>
      <c r="AG335" s="13" t="e" cm="1">
        <f t="array" ref="AG335">K335 / _xlfn.XLOOKUP($AD335 &amp; "|" &amp; $H335, $AD:$AD &amp; "|" &amp; $G:$G, K:K)</f>
        <v>#DIV/0!</v>
      </c>
      <c r="AH335" s="13" cm="1">
        <f t="array" ref="AH335">L335 / _xlfn.XLOOKUP($AD335 &amp; "|" &amp; $H335, $AD:$AD &amp; "|" &amp; $G:$G, L:L)</f>
        <v>1.063003663003663</v>
      </c>
      <c r="AI335" s="13" t="e" cm="1">
        <f t="array" ref="AI335">M335 / _xlfn.XLOOKUP($AD335 &amp; "|" &amp; $H335, $AD:$AD &amp; "|" &amp; $G:$G, M:M)</f>
        <v>#DIV/0!</v>
      </c>
      <c r="AJ335" s="13" t="e" cm="1">
        <f t="array" ref="AJ335">N335 / _xlfn.XLOOKUP($AD335 &amp; "|" &amp; $H335, $AD:$AD &amp; "|" &amp; $G:$G, N:N)</f>
        <v>#DIV/0!</v>
      </c>
      <c r="AK335" s="13" cm="1">
        <f t="array" ref="AK335">O335 / _xlfn.XLOOKUP($AD335 &amp; "|" &amp; $H335, $AD:$AD &amp; "|" &amp; $G:$G, O:O)</f>
        <v>1</v>
      </c>
      <c r="AL335" s="13" t="e" cm="1">
        <f t="array" ref="AL335">P335 / _xlfn.XLOOKUP($AD335 &amp; "|" &amp; $H335, $AD:$AD &amp; "|" &amp; $G:$G, P:P)</f>
        <v>#DIV/0!</v>
      </c>
      <c r="AM335" s="13" cm="1">
        <f t="array" ref="AM335">Q335 / _xlfn.XLOOKUP($AD335 &amp; "|" &amp; $H335, $AD:$AD &amp; "|" &amp; $G:$G, Q:Q)</f>
        <v>0.85263157894736841</v>
      </c>
      <c r="AN335" s="13" t="e" cm="1">
        <f t="array" ref="AN335">R335 / _xlfn.XLOOKUP($AD335 &amp; "|" &amp; $H335, $AD:$AD &amp; "|" &amp; $G:$G, R:R)</f>
        <v>#DIV/0!</v>
      </c>
      <c r="AO335" s="13" t="e" cm="1">
        <f t="array" ref="AO335">S335 / _xlfn.XLOOKUP($AD335 &amp; "|" &amp; $H335, $AD:$AD &amp; "|" &amp; $G:$G, S:S)</f>
        <v>#DIV/0!</v>
      </c>
      <c r="AP335" s="13" t="e" cm="1">
        <f t="array" ref="AP335">T335 / _xlfn.XLOOKUP($AD335 &amp; "|" &amp; $H335, $AD:$AD &amp; "|" &amp; $G:$G, T:T)</f>
        <v>#DIV/0!</v>
      </c>
      <c r="AQ335" s="13" t="e" cm="1">
        <f t="array" ref="AQ335">U335 / _xlfn.XLOOKUP($AD335 &amp; "|" &amp; $H335, $AD:$AD &amp; "|" &amp; $G:$G, U:U)</f>
        <v>#DIV/0!</v>
      </c>
      <c r="AR335" s="13" t="e" cm="1">
        <f t="array" ref="AR335">V335 / _xlfn.XLOOKUP($AD335 &amp; "|" &amp; $H335, $AD:$AD &amp; "|" &amp; $G:$G, V:V)</f>
        <v>#DIV/0!</v>
      </c>
      <c r="AS335" s="13" t="e" cm="1">
        <f t="array" ref="AS335">W335 / _xlfn.XLOOKUP($AD335 &amp; "|" &amp; $H335, $AD:$AD &amp; "|" &amp; $G:$G, W:W)</f>
        <v>#DIV/0!</v>
      </c>
      <c r="AT335" s="13" t="e" cm="1">
        <f t="array" ref="AT335">X335 / _xlfn.XLOOKUP($AD335 &amp; "|" &amp; $H335, $AD:$AD &amp; "|" &amp; $G:$G, X:X)</f>
        <v>#DIV/0!</v>
      </c>
      <c r="AU335" s="13" t="e" cm="1">
        <f t="array" ref="AU335">Y335 / _xlfn.XLOOKUP($AD335 &amp; "|" &amp; $H335, $AD:$AD &amp; "|" &amp; $G:$G, Y:Y)</f>
        <v>#DIV/0!</v>
      </c>
      <c r="AV335" s="13" t="e" cm="1">
        <f t="array" ref="AV335">Z335 / _xlfn.XLOOKUP($AD335 &amp; "|" &amp; $H335, $AD:$AD &amp; "|" &amp; $G:$G, Z:Z)</f>
        <v>#DIV/0!</v>
      </c>
      <c r="AW335" s="13" cm="1">
        <f t="array" ref="AW335">_xlfn.XLOOKUP($AD335 &amp; "|" &amp; $H335, $AD:$AD &amp; "|" &amp; $G:$G, L:L)</f>
        <v>13.65</v>
      </c>
    </row>
    <row r="336" spans="1:49" x14ac:dyDescent="0.2">
      <c r="A336" t="s">
        <v>220</v>
      </c>
      <c r="B336" t="s">
        <v>221</v>
      </c>
      <c r="C336" t="s">
        <v>110</v>
      </c>
      <c r="D336" t="s">
        <v>39</v>
      </c>
      <c r="F336" t="s">
        <v>194</v>
      </c>
      <c r="G336" t="s">
        <v>225</v>
      </c>
      <c r="H336" t="s">
        <v>222</v>
      </c>
      <c r="L336" s="13">
        <v>14.04</v>
      </c>
      <c r="O336" s="16">
        <v>72</v>
      </c>
      <c r="Q336">
        <f>3.95*10^14</f>
        <v>395000000000000</v>
      </c>
      <c r="AD336" t="str">
        <f t="shared" si="23"/>
        <v>Schripp|ECLIF2/ND-MAX|Ground|V2527-A5||Mid-high power</v>
      </c>
      <c r="AE336" s="13" t="e" cm="1">
        <f t="array" ref="AE336">I336 / _xlfn.XLOOKUP($AD336 &amp; "|" &amp; $H336, $AD:$AD &amp; "|" &amp; $G:$G, I:I)</f>
        <v>#DIV/0!</v>
      </c>
      <c r="AF336" s="13" t="e" cm="1">
        <f t="array" ref="AF336">J336 / _xlfn.XLOOKUP($AD336 &amp; "|" &amp; $H336, $AD:$AD &amp; "|" &amp; $G:$G, J:J)</f>
        <v>#DIV/0!</v>
      </c>
      <c r="AG336" s="13" t="e" cm="1">
        <f t="array" ref="AG336">K336 / _xlfn.XLOOKUP($AD336 &amp; "|" &amp; $H336, $AD:$AD &amp; "|" &amp; $G:$G, K:K)</f>
        <v>#DIV/0!</v>
      </c>
      <c r="AH336" s="13" cm="1">
        <f t="array" ref="AH336">L336 / _xlfn.XLOOKUP($AD336 &amp; "|" &amp; $H336, $AD:$AD &amp; "|" &amp; $G:$G, L:L)</f>
        <v>1.0285714285714285</v>
      </c>
      <c r="AI336" s="13" t="e" cm="1">
        <f t="array" ref="AI336">M336 / _xlfn.XLOOKUP($AD336 &amp; "|" &amp; $H336, $AD:$AD &amp; "|" &amp; $G:$G, M:M)</f>
        <v>#DIV/0!</v>
      </c>
      <c r="AJ336" s="13" t="e" cm="1">
        <f t="array" ref="AJ336">N336 / _xlfn.XLOOKUP($AD336 &amp; "|" &amp; $H336, $AD:$AD &amp; "|" &amp; $G:$G, N:N)</f>
        <v>#DIV/0!</v>
      </c>
      <c r="AK336" s="13" cm="1">
        <f t="array" ref="AK336">O336 / _xlfn.XLOOKUP($AD336 &amp; "|" &amp; $H336, $AD:$AD &amp; "|" &amp; $G:$G, O:O)</f>
        <v>1</v>
      </c>
      <c r="AL336" s="13" t="e" cm="1">
        <f t="array" ref="AL336">P336 / _xlfn.XLOOKUP($AD336 &amp; "|" &amp; $H336, $AD:$AD &amp; "|" &amp; $G:$G, P:P)</f>
        <v>#DIV/0!</v>
      </c>
      <c r="AM336" s="13" cm="1">
        <f t="array" ref="AM336">Q336 / _xlfn.XLOOKUP($AD336 &amp; "|" &amp; $H336, $AD:$AD &amp; "|" &amp; $G:$G, Q:Q)</f>
        <v>1.0394736842105263</v>
      </c>
      <c r="AN336" s="13" t="e" cm="1">
        <f t="array" ref="AN336">R336 / _xlfn.XLOOKUP($AD336 &amp; "|" &amp; $H336, $AD:$AD &amp; "|" &amp; $G:$G, R:R)</f>
        <v>#DIV/0!</v>
      </c>
      <c r="AO336" s="13" t="e" cm="1">
        <f t="array" ref="AO336">S336 / _xlfn.XLOOKUP($AD336 &amp; "|" &amp; $H336, $AD:$AD &amp; "|" &amp; $G:$G, S:S)</f>
        <v>#DIV/0!</v>
      </c>
      <c r="AP336" s="13" t="e" cm="1">
        <f t="array" ref="AP336">T336 / _xlfn.XLOOKUP($AD336 &amp; "|" &amp; $H336, $AD:$AD &amp; "|" &amp; $G:$G, T:T)</f>
        <v>#DIV/0!</v>
      </c>
      <c r="AQ336" s="13" t="e" cm="1">
        <f t="array" ref="AQ336">U336 / _xlfn.XLOOKUP($AD336 &amp; "|" &amp; $H336, $AD:$AD &amp; "|" &amp; $G:$G, U:U)</f>
        <v>#DIV/0!</v>
      </c>
      <c r="AR336" s="13" t="e" cm="1">
        <f t="array" ref="AR336">V336 / _xlfn.XLOOKUP($AD336 &amp; "|" &amp; $H336, $AD:$AD &amp; "|" &amp; $G:$G, V:V)</f>
        <v>#DIV/0!</v>
      </c>
      <c r="AS336" s="13" t="e" cm="1">
        <f t="array" ref="AS336">W336 / _xlfn.XLOOKUP($AD336 &amp; "|" &amp; $H336, $AD:$AD &amp; "|" &amp; $G:$G, W:W)</f>
        <v>#DIV/0!</v>
      </c>
      <c r="AT336" s="13" t="e" cm="1">
        <f t="array" ref="AT336">X336 / _xlfn.XLOOKUP($AD336 &amp; "|" &amp; $H336, $AD:$AD &amp; "|" &amp; $G:$G, X:X)</f>
        <v>#DIV/0!</v>
      </c>
      <c r="AU336" s="13" t="e" cm="1">
        <f t="array" ref="AU336">Y336 / _xlfn.XLOOKUP($AD336 &amp; "|" &amp; $H336, $AD:$AD &amp; "|" &amp; $G:$G, Y:Y)</f>
        <v>#DIV/0!</v>
      </c>
      <c r="AV336" s="13" t="e" cm="1">
        <f t="array" ref="AV336">Z336 / _xlfn.XLOOKUP($AD336 &amp; "|" &amp; $H336, $AD:$AD &amp; "|" &amp; $G:$G, Z:Z)</f>
        <v>#DIV/0!</v>
      </c>
      <c r="AW336" s="13" cm="1">
        <f t="array" ref="AW336">_xlfn.XLOOKUP($AD336 &amp; "|" &amp; $H336, $AD:$AD &amp; "|" &amp; $G:$G, L:L)</f>
        <v>13.65</v>
      </c>
    </row>
    <row r="337" spans="1:52" x14ac:dyDescent="0.2">
      <c r="A337" t="s">
        <v>220</v>
      </c>
      <c r="B337" t="s">
        <v>221</v>
      </c>
      <c r="C337" t="s">
        <v>110</v>
      </c>
      <c r="D337" t="s">
        <v>39</v>
      </c>
      <c r="F337" t="s">
        <v>187</v>
      </c>
      <c r="G337" t="s">
        <v>222</v>
      </c>
      <c r="L337" s="13">
        <v>13.65</v>
      </c>
      <c r="O337" s="16">
        <v>85</v>
      </c>
      <c r="Q337">
        <f>2.85*10^14</f>
        <v>285000000000000</v>
      </c>
      <c r="AD337" t="str">
        <f t="shared" si="23"/>
        <v>Schripp|ECLIF2/ND-MAX|Ground|V2527-A5||Climb</v>
      </c>
      <c r="AE337" s="13" t="e" cm="1">
        <f t="array" ref="AE337">I337 / _xlfn.XLOOKUP($AD337 &amp; "|" &amp; $H337, $AD:$AD &amp; "|" &amp; $G:$G, I:I)</f>
        <v>#N/A</v>
      </c>
      <c r="AF337" s="13" t="e" cm="1">
        <f t="array" ref="AF337">J337 / _xlfn.XLOOKUP($AD337 &amp; "|" &amp; $H337, $AD:$AD &amp; "|" &amp; $G:$G, J:J)</f>
        <v>#N/A</v>
      </c>
      <c r="AG337" s="13" t="e" cm="1">
        <f t="array" ref="AG337">K337 / _xlfn.XLOOKUP($AD337 &amp; "|" &amp; $H337, $AD:$AD &amp; "|" &amp; $G:$G, K:K)</f>
        <v>#N/A</v>
      </c>
      <c r="AH337" s="13" t="e" cm="1">
        <f t="array" ref="AH337">L337 / _xlfn.XLOOKUP($AD337 &amp; "|" &amp; $H337, $AD:$AD &amp; "|" &amp; $G:$G, L:L)</f>
        <v>#N/A</v>
      </c>
      <c r="AI337" s="13" t="e" cm="1">
        <f t="array" ref="AI337">M337 / _xlfn.XLOOKUP($AD337 &amp; "|" &amp; $H337, $AD:$AD &amp; "|" &amp; $G:$G, M:M)</f>
        <v>#N/A</v>
      </c>
      <c r="AJ337" s="13" t="e" cm="1">
        <f t="array" ref="AJ337">N337 / _xlfn.XLOOKUP($AD337 &amp; "|" &amp; $H337, $AD:$AD &amp; "|" &amp; $G:$G, N:N)</f>
        <v>#N/A</v>
      </c>
      <c r="AK337" s="13" t="e" cm="1">
        <f t="array" ref="AK337">O337 / _xlfn.XLOOKUP($AD337 &amp; "|" &amp; $H337, $AD:$AD &amp; "|" &amp; $G:$G, O:O)</f>
        <v>#N/A</v>
      </c>
      <c r="AL337" s="13" t="e" cm="1">
        <f t="array" ref="AL337">P337 / _xlfn.XLOOKUP($AD337 &amp; "|" &amp; $H337, $AD:$AD &amp; "|" &amp; $G:$G, P:P)</f>
        <v>#N/A</v>
      </c>
      <c r="AM337" s="13" t="e" cm="1">
        <f t="array" ref="AM337">Q337 / _xlfn.XLOOKUP($AD337 &amp; "|" &amp; $H337, $AD:$AD &amp; "|" &amp; $G:$G, Q:Q)</f>
        <v>#N/A</v>
      </c>
      <c r="AN337" s="13" t="e" cm="1">
        <f t="array" ref="AN337">R337 / _xlfn.XLOOKUP($AD337 &amp; "|" &amp; $H337, $AD:$AD &amp; "|" &amp; $G:$G, R:R)</f>
        <v>#N/A</v>
      </c>
      <c r="AO337" s="13" t="e" cm="1">
        <f t="array" ref="AO337">S337 / _xlfn.XLOOKUP($AD337 &amp; "|" &amp; $H337, $AD:$AD &amp; "|" &amp; $G:$G, S:S)</f>
        <v>#N/A</v>
      </c>
      <c r="AP337" s="13" t="e" cm="1">
        <f t="array" ref="AP337">T337 / _xlfn.XLOOKUP($AD337 &amp; "|" &amp; $H337, $AD:$AD &amp; "|" &amp; $G:$G, T:T)</f>
        <v>#N/A</v>
      </c>
      <c r="AQ337" s="13" t="e" cm="1">
        <f t="array" ref="AQ337">U337 / _xlfn.XLOOKUP($AD337 &amp; "|" &amp; $H337, $AD:$AD &amp; "|" &amp; $G:$G, U:U)</f>
        <v>#N/A</v>
      </c>
      <c r="AR337" s="13" t="e" cm="1">
        <f t="array" ref="AR337">V337 / _xlfn.XLOOKUP($AD337 &amp; "|" &amp; $H337, $AD:$AD &amp; "|" &amp; $G:$G, V:V)</f>
        <v>#N/A</v>
      </c>
      <c r="AS337" s="13" t="e" cm="1">
        <f t="array" ref="AS337">W337 / _xlfn.XLOOKUP($AD337 &amp; "|" &amp; $H337, $AD:$AD &amp; "|" &amp; $G:$G, W:W)</f>
        <v>#N/A</v>
      </c>
      <c r="AT337" s="13" t="e" cm="1">
        <f t="array" ref="AT337">X337 / _xlfn.XLOOKUP($AD337 &amp; "|" &amp; $H337, $AD:$AD &amp; "|" &amp; $G:$G, X:X)</f>
        <v>#N/A</v>
      </c>
      <c r="AU337" s="13" t="e" cm="1">
        <f t="array" ref="AU337">Y337 / _xlfn.XLOOKUP($AD337 &amp; "|" &amp; $H337, $AD:$AD &amp; "|" &amp; $G:$G, Y:Y)</f>
        <v>#N/A</v>
      </c>
      <c r="AV337" s="13" t="e" cm="1">
        <f t="array" ref="AV337">Z337 / _xlfn.XLOOKUP($AD337 &amp; "|" &amp; $H337, $AD:$AD &amp; "|" &amp; $G:$G, Z:Z)</f>
        <v>#N/A</v>
      </c>
      <c r="AW337" s="13" t="e" cm="1">
        <f t="array" ref="AW337">_xlfn.XLOOKUP($AD337 &amp; "|" &amp; $H337, $AD:$AD &amp; "|" &amp; $G:$G, L:L)</f>
        <v>#N/A</v>
      </c>
    </row>
    <row r="338" spans="1:52" x14ac:dyDescent="0.2">
      <c r="A338" t="s">
        <v>220</v>
      </c>
      <c r="B338" t="s">
        <v>221</v>
      </c>
      <c r="C338" t="s">
        <v>110</v>
      </c>
      <c r="D338" t="s">
        <v>39</v>
      </c>
      <c r="F338" t="s">
        <v>187</v>
      </c>
      <c r="G338" t="s">
        <v>223</v>
      </c>
      <c r="H338" t="s">
        <v>222</v>
      </c>
      <c r="L338">
        <v>14.4</v>
      </c>
      <c r="O338" s="16">
        <v>85</v>
      </c>
      <c r="Q338">
        <f>2.5*10^14</f>
        <v>250000000000000</v>
      </c>
      <c r="AD338" t="str">
        <f>A338 &amp; "|" &amp; B338 &amp; "|" &amp; C338 &amp; "|" &amp; D338 &amp; "|" &amp; E338 &amp;"|" &amp; F338</f>
        <v>Schripp|ECLIF2/ND-MAX|Ground|V2527-A5||Climb</v>
      </c>
      <c r="AE338" s="13" t="e" cm="1">
        <f t="array" ref="AE338">I338 / _xlfn.XLOOKUP($AD338 &amp; "|" &amp; $H338, $AD:$AD &amp; "|" &amp; $G:$G, I:I)</f>
        <v>#DIV/0!</v>
      </c>
      <c r="AF338" s="13" t="e" cm="1">
        <f t="array" ref="AF338">J338 / _xlfn.XLOOKUP($AD338 &amp; "|" &amp; $H338, $AD:$AD &amp; "|" &amp; $G:$G, J:J)</f>
        <v>#DIV/0!</v>
      </c>
      <c r="AG338" s="13" t="e" cm="1">
        <f t="array" ref="AG338">K338 / _xlfn.XLOOKUP($AD338 &amp; "|" &amp; $H338, $AD:$AD &amp; "|" &amp; $G:$G, K:K)</f>
        <v>#DIV/0!</v>
      </c>
      <c r="AH338" s="13" cm="1">
        <f t="array" ref="AH338">L338 / _xlfn.XLOOKUP($AD338 &amp; "|" &amp; $H338, $AD:$AD &amp; "|" &amp; $G:$G, L:L)</f>
        <v>1.054945054945055</v>
      </c>
      <c r="AI338" s="13" t="e" cm="1">
        <f t="array" ref="AI338">M338 / _xlfn.XLOOKUP($AD338 &amp; "|" &amp; $H338, $AD:$AD &amp; "|" &amp; $G:$G, M:M)</f>
        <v>#DIV/0!</v>
      </c>
      <c r="AJ338" s="13" t="e" cm="1">
        <f t="array" ref="AJ338">N338 / _xlfn.XLOOKUP($AD338 &amp; "|" &amp; $H338, $AD:$AD &amp; "|" &amp; $G:$G, N:N)</f>
        <v>#DIV/0!</v>
      </c>
      <c r="AK338" s="13" cm="1">
        <f t="array" ref="AK338">O338 / _xlfn.XLOOKUP($AD338 &amp; "|" &amp; $H338, $AD:$AD &amp; "|" &amp; $G:$G, O:O)</f>
        <v>1</v>
      </c>
      <c r="AL338" s="13" t="e" cm="1">
        <f t="array" ref="AL338">P338 / _xlfn.XLOOKUP($AD338 &amp; "|" &amp; $H338, $AD:$AD &amp; "|" &amp; $G:$G, P:P)</f>
        <v>#DIV/0!</v>
      </c>
      <c r="AM338" s="13" cm="1">
        <f t="array" ref="AM338">Q338 / _xlfn.XLOOKUP($AD338 &amp; "|" &amp; $H338, $AD:$AD &amp; "|" &amp; $G:$G, Q:Q)</f>
        <v>0.8771929824561403</v>
      </c>
      <c r="AN338" s="13" t="e" cm="1">
        <f t="array" ref="AN338">R338 / _xlfn.XLOOKUP($AD338 &amp; "|" &amp; $H338, $AD:$AD &amp; "|" &amp; $G:$G, R:R)</f>
        <v>#DIV/0!</v>
      </c>
      <c r="AO338" s="13" t="e" cm="1">
        <f t="array" ref="AO338">S338 / _xlfn.XLOOKUP($AD338 &amp; "|" &amp; $H338, $AD:$AD &amp; "|" &amp; $G:$G, S:S)</f>
        <v>#DIV/0!</v>
      </c>
      <c r="AP338" s="13" t="e" cm="1">
        <f t="array" ref="AP338">T338 / _xlfn.XLOOKUP($AD338 &amp; "|" &amp; $H338, $AD:$AD &amp; "|" &amp; $G:$G, T:T)</f>
        <v>#DIV/0!</v>
      </c>
      <c r="AQ338" s="13" t="e" cm="1">
        <f t="array" ref="AQ338">U338 / _xlfn.XLOOKUP($AD338 &amp; "|" &amp; $H338, $AD:$AD &amp; "|" &amp; $G:$G, U:U)</f>
        <v>#DIV/0!</v>
      </c>
      <c r="AR338" s="13" t="e" cm="1">
        <f t="array" ref="AR338">V338 / _xlfn.XLOOKUP($AD338 &amp; "|" &amp; $H338, $AD:$AD &amp; "|" &amp; $G:$G, V:V)</f>
        <v>#DIV/0!</v>
      </c>
      <c r="AS338" s="13" t="e" cm="1">
        <f t="array" ref="AS338">W338 / _xlfn.XLOOKUP($AD338 &amp; "|" &amp; $H338, $AD:$AD &amp; "|" &amp; $G:$G, W:W)</f>
        <v>#DIV/0!</v>
      </c>
      <c r="AT338" s="13" t="e" cm="1">
        <f t="array" ref="AT338">X338 / _xlfn.XLOOKUP($AD338 &amp; "|" &amp; $H338, $AD:$AD &amp; "|" &amp; $G:$G, X:X)</f>
        <v>#DIV/0!</v>
      </c>
      <c r="AU338" s="13" t="e" cm="1">
        <f t="array" ref="AU338">Y338 / _xlfn.XLOOKUP($AD338 &amp; "|" &amp; $H338, $AD:$AD &amp; "|" &amp; $G:$G, Y:Y)</f>
        <v>#DIV/0!</v>
      </c>
      <c r="AV338" s="13" t="e" cm="1">
        <f t="array" ref="AV338">Z338 / _xlfn.XLOOKUP($AD338 &amp; "|" &amp; $H338, $AD:$AD &amp; "|" &amp; $G:$G, Z:Z)</f>
        <v>#DIV/0!</v>
      </c>
      <c r="AW338" s="13" cm="1">
        <f t="array" ref="AW338">_xlfn.XLOOKUP($AD338 &amp; "|" &amp; $H338, $AD:$AD &amp; "|" &amp; $G:$G, L:L)</f>
        <v>13.65</v>
      </c>
    </row>
    <row r="339" spans="1:52" x14ac:dyDescent="0.2">
      <c r="A339" t="s">
        <v>220</v>
      </c>
      <c r="B339" t="s">
        <v>221</v>
      </c>
      <c r="C339" t="s">
        <v>110</v>
      </c>
      <c r="D339" t="s">
        <v>39</v>
      </c>
      <c r="F339" t="s">
        <v>187</v>
      </c>
      <c r="G339" t="s">
        <v>224</v>
      </c>
      <c r="H339" t="s">
        <v>222</v>
      </c>
      <c r="L339">
        <v>14.51</v>
      </c>
      <c r="O339" s="16">
        <v>85</v>
      </c>
      <c r="Q339">
        <f>2.66*10^14</f>
        <v>266000000000000</v>
      </c>
      <c r="AD339" t="str">
        <f t="shared" si="23"/>
        <v>Schripp|ECLIF2/ND-MAX|Ground|V2527-A5||Climb</v>
      </c>
      <c r="AE339" s="13" t="e" cm="1">
        <f t="array" ref="AE339">I339 / _xlfn.XLOOKUP($AD339 &amp; "|" &amp; $H339, $AD:$AD &amp; "|" &amp; $G:$G, I:I)</f>
        <v>#DIV/0!</v>
      </c>
      <c r="AF339" s="13" t="e" cm="1">
        <f t="array" ref="AF339">J339 / _xlfn.XLOOKUP($AD339 &amp; "|" &amp; $H339, $AD:$AD &amp; "|" &amp; $G:$G, J:J)</f>
        <v>#DIV/0!</v>
      </c>
      <c r="AG339" s="13" t="e" cm="1">
        <f t="array" ref="AG339">K339 / _xlfn.XLOOKUP($AD339 &amp; "|" &amp; $H339, $AD:$AD &amp; "|" &amp; $G:$G, K:K)</f>
        <v>#DIV/0!</v>
      </c>
      <c r="AH339" s="13" cm="1">
        <f t="array" ref="AH339">L339 / _xlfn.XLOOKUP($AD339 &amp; "|" &amp; $H339, $AD:$AD &amp; "|" &amp; $G:$G, L:L)</f>
        <v>1.063003663003663</v>
      </c>
      <c r="AI339" s="13" t="e" cm="1">
        <f t="array" ref="AI339">M339 / _xlfn.XLOOKUP($AD339 &amp; "|" &amp; $H339, $AD:$AD &amp; "|" &amp; $G:$G, M:M)</f>
        <v>#DIV/0!</v>
      </c>
      <c r="AJ339" s="13" t="e" cm="1">
        <f t="array" ref="AJ339">N339 / _xlfn.XLOOKUP($AD339 &amp; "|" &amp; $H339, $AD:$AD &amp; "|" &amp; $G:$G, N:N)</f>
        <v>#DIV/0!</v>
      </c>
      <c r="AK339" s="13" cm="1">
        <f t="array" ref="AK339">O339 / _xlfn.XLOOKUP($AD339 &amp; "|" &amp; $H339, $AD:$AD &amp; "|" &amp; $G:$G, O:O)</f>
        <v>1</v>
      </c>
      <c r="AL339" s="13" t="e" cm="1">
        <f t="array" ref="AL339">P339 / _xlfn.XLOOKUP($AD339 &amp; "|" &amp; $H339, $AD:$AD &amp; "|" &amp; $G:$G, P:P)</f>
        <v>#DIV/0!</v>
      </c>
      <c r="AM339" s="13" cm="1">
        <f t="array" ref="AM339">Q339 / _xlfn.XLOOKUP($AD339 &amp; "|" &amp; $H339, $AD:$AD &amp; "|" &amp; $G:$G, Q:Q)</f>
        <v>0.93333333333333335</v>
      </c>
      <c r="AN339" s="13" t="e" cm="1">
        <f t="array" ref="AN339">R339 / _xlfn.XLOOKUP($AD339 &amp; "|" &amp; $H339, $AD:$AD &amp; "|" &amp; $G:$G, R:R)</f>
        <v>#DIV/0!</v>
      </c>
      <c r="AO339" s="13" t="e" cm="1">
        <f t="array" ref="AO339">S339 / _xlfn.XLOOKUP($AD339 &amp; "|" &amp; $H339, $AD:$AD &amp; "|" &amp; $G:$G, S:S)</f>
        <v>#DIV/0!</v>
      </c>
      <c r="AP339" s="13" t="e" cm="1">
        <f t="array" ref="AP339">T339 / _xlfn.XLOOKUP($AD339 &amp; "|" &amp; $H339, $AD:$AD &amp; "|" &amp; $G:$G, T:T)</f>
        <v>#DIV/0!</v>
      </c>
      <c r="AQ339" s="13" t="e" cm="1">
        <f t="array" ref="AQ339">U339 / _xlfn.XLOOKUP($AD339 &amp; "|" &amp; $H339, $AD:$AD &amp; "|" &amp; $G:$G, U:U)</f>
        <v>#DIV/0!</v>
      </c>
      <c r="AR339" s="13" t="e" cm="1">
        <f t="array" ref="AR339">V339 / _xlfn.XLOOKUP($AD339 &amp; "|" &amp; $H339, $AD:$AD &amp; "|" &amp; $G:$G, V:V)</f>
        <v>#DIV/0!</v>
      </c>
      <c r="AS339" s="13" t="e" cm="1">
        <f t="array" ref="AS339">W339 / _xlfn.XLOOKUP($AD339 &amp; "|" &amp; $H339, $AD:$AD &amp; "|" &amp; $G:$G, W:W)</f>
        <v>#DIV/0!</v>
      </c>
      <c r="AT339" s="13" t="e" cm="1">
        <f t="array" ref="AT339">X339 / _xlfn.XLOOKUP($AD339 &amp; "|" &amp; $H339, $AD:$AD &amp; "|" &amp; $G:$G, X:X)</f>
        <v>#DIV/0!</v>
      </c>
      <c r="AU339" s="13" t="e" cm="1">
        <f t="array" ref="AU339">Y339 / _xlfn.XLOOKUP($AD339 &amp; "|" &amp; $H339, $AD:$AD &amp; "|" &amp; $G:$G, Y:Y)</f>
        <v>#DIV/0!</v>
      </c>
      <c r="AV339" s="13" t="e" cm="1">
        <f t="array" ref="AV339">Z339 / _xlfn.XLOOKUP($AD339 &amp; "|" &amp; $H339, $AD:$AD &amp; "|" &amp; $G:$G, Z:Z)</f>
        <v>#DIV/0!</v>
      </c>
      <c r="AW339" s="13" cm="1">
        <f t="array" ref="AW339">_xlfn.XLOOKUP($AD339 &amp; "|" &amp; $H339, $AD:$AD &amp; "|" &amp; $G:$G, L:L)</f>
        <v>13.65</v>
      </c>
    </row>
    <row r="340" spans="1:52" x14ac:dyDescent="0.2">
      <c r="A340" t="s">
        <v>220</v>
      </c>
      <c r="B340" t="s">
        <v>221</v>
      </c>
      <c r="C340" t="s">
        <v>110</v>
      </c>
      <c r="D340" t="s">
        <v>39</v>
      </c>
      <c r="F340" t="s">
        <v>187</v>
      </c>
      <c r="G340" t="s">
        <v>225</v>
      </c>
      <c r="H340" t="s">
        <v>222</v>
      </c>
      <c r="L340" s="13">
        <v>14.04</v>
      </c>
      <c r="O340" s="16">
        <v>85</v>
      </c>
      <c r="Q340">
        <f>2.66*10^14</f>
        <v>266000000000000</v>
      </c>
      <c r="AD340" t="str">
        <f>A340 &amp; "|" &amp; B340 &amp; "|" &amp; C340 &amp; "|" &amp; D340 &amp; "|" &amp; E340 &amp;"|" &amp; F340</f>
        <v>Schripp|ECLIF2/ND-MAX|Ground|V2527-A5||Climb</v>
      </c>
      <c r="AE340" s="13" t="e" cm="1">
        <f t="array" ref="AE340">I340 / _xlfn.XLOOKUP($AD340 &amp; "|" &amp; $H340, $AD:$AD &amp; "|" &amp; $G:$G, I:I)</f>
        <v>#DIV/0!</v>
      </c>
      <c r="AF340" s="13" t="e" cm="1">
        <f t="array" ref="AF340">J340 / _xlfn.XLOOKUP($AD340 &amp; "|" &amp; $H340, $AD:$AD &amp; "|" &amp; $G:$G, J:J)</f>
        <v>#DIV/0!</v>
      </c>
      <c r="AG340" s="13" t="e" cm="1">
        <f t="array" ref="AG340">K340 / _xlfn.XLOOKUP($AD340 &amp; "|" &amp; $H340, $AD:$AD &amp; "|" &amp; $G:$G, K:K)</f>
        <v>#DIV/0!</v>
      </c>
      <c r="AH340" s="13" cm="1">
        <f t="array" ref="AH340">L340 / _xlfn.XLOOKUP($AD340 &amp; "|" &amp; $H340, $AD:$AD &amp; "|" &amp; $G:$G, L:L)</f>
        <v>1.0285714285714285</v>
      </c>
      <c r="AI340" s="13" t="e" cm="1">
        <f t="array" ref="AI340">M340 / _xlfn.XLOOKUP($AD340 &amp; "|" &amp; $H340, $AD:$AD &amp; "|" &amp; $G:$G, M:M)</f>
        <v>#DIV/0!</v>
      </c>
      <c r="AJ340" s="13" t="e" cm="1">
        <f t="array" ref="AJ340">N340 / _xlfn.XLOOKUP($AD340 &amp; "|" &amp; $H340, $AD:$AD &amp; "|" &amp; $G:$G, N:N)</f>
        <v>#DIV/0!</v>
      </c>
      <c r="AK340" s="13" cm="1">
        <f t="array" ref="AK340">O340 / _xlfn.XLOOKUP($AD340 &amp; "|" &amp; $H340, $AD:$AD &amp; "|" &amp; $G:$G, O:O)</f>
        <v>1</v>
      </c>
      <c r="AL340" s="13" t="e" cm="1">
        <f t="array" ref="AL340">P340 / _xlfn.XLOOKUP($AD340 &amp; "|" &amp; $H340, $AD:$AD &amp; "|" &amp; $G:$G, P:P)</f>
        <v>#DIV/0!</v>
      </c>
      <c r="AM340" s="13" cm="1">
        <f t="array" ref="AM340">Q340 / _xlfn.XLOOKUP($AD340 &amp; "|" &amp; $H340, $AD:$AD &amp; "|" &amp; $G:$G, Q:Q)</f>
        <v>0.93333333333333335</v>
      </c>
      <c r="AN340" s="13" t="e" cm="1">
        <f t="array" ref="AN340">R340 / _xlfn.XLOOKUP($AD340 &amp; "|" &amp; $H340, $AD:$AD &amp; "|" &amp; $G:$G, R:R)</f>
        <v>#DIV/0!</v>
      </c>
      <c r="AO340" s="13" t="e" cm="1">
        <f t="array" ref="AO340">S340 / _xlfn.XLOOKUP($AD340 &amp; "|" &amp; $H340, $AD:$AD &amp; "|" &amp; $G:$G, S:S)</f>
        <v>#DIV/0!</v>
      </c>
      <c r="AP340" s="13" t="e" cm="1">
        <f t="array" ref="AP340">T340 / _xlfn.XLOOKUP($AD340 &amp; "|" &amp; $H340, $AD:$AD &amp; "|" &amp; $G:$G, T:T)</f>
        <v>#DIV/0!</v>
      </c>
      <c r="AQ340" s="13" t="e" cm="1">
        <f t="array" ref="AQ340">U340 / _xlfn.XLOOKUP($AD340 &amp; "|" &amp; $H340, $AD:$AD &amp; "|" &amp; $G:$G, U:U)</f>
        <v>#DIV/0!</v>
      </c>
      <c r="AR340" s="13" t="e" cm="1">
        <f t="array" ref="AR340">V340 / _xlfn.XLOOKUP($AD340 &amp; "|" &amp; $H340, $AD:$AD &amp; "|" &amp; $G:$G, V:V)</f>
        <v>#DIV/0!</v>
      </c>
      <c r="AS340" s="13" t="e" cm="1">
        <f t="array" ref="AS340">W340 / _xlfn.XLOOKUP($AD340 &amp; "|" &amp; $H340, $AD:$AD &amp; "|" &amp; $G:$G, W:W)</f>
        <v>#DIV/0!</v>
      </c>
      <c r="AT340" s="13" t="e" cm="1">
        <f t="array" ref="AT340">X340 / _xlfn.XLOOKUP($AD340 &amp; "|" &amp; $H340, $AD:$AD &amp; "|" &amp; $G:$G, X:X)</f>
        <v>#DIV/0!</v>
      </c>
      <c r="AU340" s="13" t="e" cm="1">
        <f t="array" ref="AU340">Y340 / _xlfn.XLOOKUP($AD340 &amp; "|" &amp; $H340, $AD:$AD &amp; "|" &amp; $G:$G, Y:Y)</f>
        <v>#DIV/0!</v>
      </c>
      <c r="AV340" s="13" t="e" cm="1">
        <f t="array" ref="AV340">Z340 / _xlfn.XLOOKUP($AD340 &amp; "|" &amp; $H340, $AD:$AD &amp; "|" &amp; $G:$G, Z:Z)</f>
        <v>#DIV/0!</v>
      </c>
      <c r="AW340" s="13" cm="1">
        <f t="array" ref="AW340">_xlfn.XLOOKUP($AD340 &amp; "|" &amp; $H340, $AD:$AD &amp; "|" &amp; $G:$G, L:L)</f>
        <v>13.65</v>
      </c>
    </row>
    <row r="341" spans="1:52" x14ac:dyDescent="0.2">
      <c r="A341" t="s">
        <v>236</v>
      </c>
      <c r="B341" t="s">
        <v>237</v>
      </c>
      <c r="C341" t="s">
        <v>36</v>
      </c>
      <c r="D341" t="s">
        <v>238</v>
      </c>
      <c r="G341" t="s">
        <v>79</v>
      </c>
      <c r="K341">
        <v>192</v>
      </c>
      <c r="L341" s="13">
        <v>14.1</v>
      </c>
      <c r="O341" s="16"/>
      <c r="Q341">
        <f>6.71*10^11</f>
        <v>671000000000</v>
      </c>
      <c r="S341">
        <f>2.1*10^15</f>
        <v>2100000000000000</v>
      </c>
      <c r="AD341" t="str">
        <f t="shared" ref="AD341:AD344" si="24">A341 &amp; "|" &amp; B341 &amp; "|" &amp; C341 &amp; "|" &amp; D341 &amp; "|" &amp; E341 &amp;"|" &amp; F341</f>
        <v>Voigt|VOLCAN|Cruise|CFM LEAP-1A (Lean burn)||</v>
      </c>
      <c r="AE341" s="13" t="e" cm="1">
        <f t="array" ref="AE341">I341 / _xlfn.XLOOKUP($AD341 &amp; "|" &amp; $H341, $AD:$AD &amp; "|" &amp; $G:$G, I:I)</f>
        <v>#N/A</v>
      </c>
      <c r="AF341" s="13" t="e" cm="1">
        <f t="array" ref="AF341">J341 / _xlfn.XLOOKUP($AD341 &amp; "|" &amp; $H341, $AD:$AD &amp; "|" &amp; $G:$G, J:J)</f>
        <v>#N/A</v>
      </c>
      <c r="AG341" s="13" t="e" cm="1">
        <f t="array" ref="AG341">K341 / _xlfn.XLOOKUP($AD341 &amp; "|" &amp; $H341, $AD:$AD &amp; "|" &amp; $G:$G, K:K)</f>
        <v>#N/A</v>
      </c>
      <c r="AH341" s="13" t="e" cm="1">
        <f t="array" ref="AH341">L341 / _xlfn.XLOOKUP($AD341 &amp; "|" &amp; $H341, $AD:$AD &amp; "|" &amp; $G:$G, L:L)</f>
        <v>#N/A</v>
      </c>
      <c r="AI341" s="13" t="e" cm="1">
        <f t="array" ref="AI341">M341 / _xlfn.XLOOKUP($AD341 &amp; "|" &amp; $H341, $AD:$AD &amp; "|" &amp; $G:$G, M:M)</f>
        <v>#N/A</v>
      </c>
      <c r="AJ341" s="13" t="e" cm="1">
        <f t="array" ref="AJ341">N341 / _xlfn.XLOOKUP($AD341 &amp; "|" &amp; $H341, $AD:$AD &amp; "|" &amp; $G:$G, N:N)</f>
        <v>#N/A</v>
      </c>
      <c r="AK341" s="13" t="e" cm="1">
        <f t="array" ref="AK341">O341 / _xlfn.XLOOKUP($AD341 &amp; "|" &amp; $H341, $AD:$AD &amp; "|" &amp; $G:$G, O:O)</f>
        <v>#N/A</v>
      </c>
      <c r="AL341" s="13" t="e" cm="1">
        <f t="array" ref="AL341">P341 / _xlfn.XLOOKUP($AD341 &amp; "|" &amp; $H341, $AD:$AD &amp; "|" &amp; $G:$G, P:P)</f>
        <v>#N/A</v>
      </c>
      <c r="AM341" s="13" t="e" cm="1">
        <f t="array" ref="AM341">Q341 / _xlfn.XLOOKUP($AD341 &amp; "|" &amp; $H341, $AD:$AD &amp; "|" &amp; $G:$G, Q:Q)</f>
        <v>#N/A</v>
      </c>
      <c r="AN341" s="13" t="e" cm="1">
        <f t="array" ref="AN341">R341 / _xlfn.XLOOKUP($AD341 &amp; "|" &amp; $H341, $AD:$AD &amp; "|" &amp; $G:$G, R:R)</f>
        <v>#N/A</v>
      </c>
      <c r="AO341" s="13" t="e" cm="1">
        <f t="array" ref="AO341">S341 / _xlfn.XLOOKUP($AD341 &amp; "|" &amp; $H341, $AD:$AD &amp; "|" &amp; $G:$G, S:S)</f>
        <v>#N/A</v>
      </c>
      <c r="AP341" s="13" t="e" cm="1">
        <f t="array" ref="AP341">T341 / _xlfn.XLOOKUP($AD341 &amp; "|" &amp; $H341, $AD:$AD &amp; "|" &amp; $G:$G, T:T)</f>
        <v>#N/A</v>
      </c>
      <c r="AQ341" s="13" t="e" cm="1">
        <f t="array" ref="AQ341">U341 / _xlfn.XLOOKUP($AD341 &amp; "|" &amp; $H341, $AD:$AD &amp; "|" &amp; $G:$G, U:U)</f>
        <v>#N/A</v>
      </c>
      <c r="AR341" s="13" t="e" cm="1">
        <f t="array" ref="AR341">V341 / _xlfn.XLOOKUP($AD341 &amp; "|" &amp; $H341, $AD:$AD &amp; "|" &amp; $G:$G, V:V)</f>
        <v>#N/A</v>
      </c>
      <c r="AS341" s="13" t="e" cm="1">
        <f t="array" ref="AS341">W341 / _xlfn.XLOOKUP($AD341 &amp; "|" &amp; $H341, $AD:$AD &amp; "|" &amp; $G:$G, W:W)</f>
        <v>#N/A</v>
      </c>
      <c r="AT341" s="13" t="e" cm="1">
        <f t="array" ref="AT341">X341 / _xlfn.XLOOKUP($AD341 &amp; "|" &amp; $H341, $AD:$AD &amp; "|" &amp; $G:$G, X:X)</f>
        <v>#N/A</v>
      </c>
      <c r="AU341" s="13" t="e" cm="1">
        <f t="array" ref="AU341">Y341 / _xlfn.XLOOKUP($AD341 &amp; "|" &amp; $H341, $AD:$AD &amp; "|" &amp; $G:$G, Y:Y)</f>
        <v>#N/A</v>
      </c>
      <c r="AV341" s="13" t="e" cm="1">
        <f t="array" ref="AV341">Z341 / _xlfn.XLOOKUP($AD341 &amp; "|" &amp; $H341, $AD:$AD &amp; "|" &amp; $G:$G, Z:Z)</f>
        <v>#N/A</v>
      </c>
      <c r="AW341" s="13" t="e" cm="1">
        <f t="array" ref="AW341">_xlfn.XLOOKUP($AD341 &amp; "|" &amp; $H341, $AD:$AD &amp; "|" &amp; $G:$G, L:L)</f>
        <v>#N/A</v>
      </c>
      <c r="AZ341" t="s">
        <v>241</v>
      </c>
    </row>
    <row r="342" spans="1:52" x14ac:dyDescent="0.2">
      <c r="A342" t="s">
        <v>236</v>
      </c>
      <c r="B342" t="s">
        <v>237</v>
      </c>
      <c r="C342" t="s">
        <v>36</v>
      </c>
      <c r="D342" t="s">
        <v>239</v>
      </c>
      <c r="G342" t="s">
        <v>79</v>
      </c>
      <c r="K342">
        <v>192</v>
      </c>
      <c r="L342" s="13">
        <v>14.1</v>
      </c>
      <c r="Q342">
        <f>8.52*10^14</f>
        <v>852000000000000</v>
      </c>
      <c r="S342">
        <f>2.7*10^15</f>
        <v>2700000000000000</v>
      </c>
      <c r="AD342" t="str">
        <f t="shared" si="24"/>
        <v>Voigt|VOLCAN|Cruise|CFM LEAP-1A (Forced rich burn)||</v>
      </c>
      <c r="AE342" s="13" t="e" cm="1">
        <f t="array" ref="AE342">I342 / _xlfn.XLOOKUP($AD342 &amp; "|" &amp; $H342, $AD:$AD &amp; "|" &amp; $G:$G, I:I)</f>
        <v>#N/A</v>
      </c>
      <c r="AF342" s="13" t="e" cm="1">
        <f t="array" ref="AF342">J342 / _xlfn.XLOOKUP($AD342 &amp; "|" &amp; $H342, $AD:$AD &amp; "|" &amp; $G:$G, J:J)</f>
        <v>#N/A</v>
      </c>
      <c r="AG342" s="13" t="e" cm="1">
        <f t="array" ref="AG342">K342 / _xlfn.XLOOKUP($AD342 &amp; "|" &amp; $H342, $AD:$AD &amp; "|" &amp; $G:$G, K:K)</f>
        <v>#N/A</v>
      </c>
      <c r="AH342" s="13" t="e" cm="1">
        <f t="array" ref="AH342">L342 / _xlfn.XLOOKUP($AD342 &amp; "|" &amp; $H342, $AD:$AD &amp; "|" &amp; $G:$G, L:L)</f>
        <v>#N/A</v>
      </c>
      <c r="AI342" s="13" t="e" cm="1">
        <f t="array" ref="AI342">M342 / _xlfn.XLOOKUP($AD342 &amp; "|" &amp; $H342, $AD:$AD &amp; "|" &amp; $G:$G, M:M)</f>
        <v>#N/A</v>
      </c>
      <c r="AJ342" s="13" t="e" cm="1">
        <f t="array" ref="AJ342">N342 / _xlfn.XLOOKUP($AD342 &amp; "|" &amp; $H342, $AD:$AD &amp; "|" &amp; $G:$G, N:N)</f>
        <v>#N/A</v>
      </c>
      <c r="AK342" s="13" t="e" cm="1">
        <f t="array" ref="AK342">O342 / _xlfn.XLOOKUP($AD342 &amp; "|" &amp; $H342, $AD:$AD &amp; "|" &amp; $G:$G, O:O)</f>
        <v>#N/A</v>
      </c>
      <c r="AL342" s="13" t="e" cm="1">
        <f t="array" ref="AL342">P342 / _xlfn.XLOOKUP($AD342 &amp; "|" &amp; $H342, $AD:$AD &amp; "|" &amp; $G:$G, P:P)</f>
        <v>#N/A</v>
      </c>
      <c r="AM342" s="13" t="e" cm="1">
        <f t="array" ref="AM342">Q342 / _xlfn.XLOOKUP($AD342 &amp; "|" &amp; $H342, $AD:$AD &amp; "|" &amp; $G:$G, Q:Q)</f>
        <v>#N/A</v>
      </c>
      <c r="AN342" s="13" t="e" cm="1">
        <f t="array" ref="AN342">R342 / _xlfn.XLOOKUP($AD342 &amp; "|" &amp; $H342, $AD:$AD &amp; "|" &amp; $G:$G, R:R)</f>
        <v>#N/A</v>
      </c>
      <c r="AO342" s="13" t="e" cm="1">
        <f t="array" ref="AO342">S342 / _xlfn.XLOOKUP($AD342 &amp; "|" &amp; $H342, $AD:$AD &amp; "|" &amp; $G:$G, S:S)</f>
        <v>#N/A</v>
      </c>
      <c r="AP342" s="13" t="e" cm="1">
        <f t="array" ref="AP342">T342 / _xlfn.XLOOKUP($AD342 &amp; "|" &amp; $H342, $AD:$AD &amp; "|" &amp; $G:$G, T:T)</f>
        <v>#N/A</v>
      </c>
      <c r="AQ342" s="13" t="e" cm="1">
        <f t="array" ref="AQ342">U342 / _xlfn.XLOOKUP($AD342 &amp; "|" &amp; $H342, $AD:$AD &amp; "|" &amp; $G:$G, U:U)</f>
        <v>#N/A</v>
      </c>
      <c r="AR342" s="13" t="e" cm="1">
        <f t="array" ref="AR342">V342 / _xlfn.XLOOKUP($AD342 &amp; "|" &amp; $H342, $AD:$AD &amp; "|" &amp; $G:$G, V:V)</f>
        <v>#N/A</v>
      </c>
      <c r="AS342" s="13" t="e" cm="1">
        <f t="array" ref="AS342">W342 / _xlfn.XLOOKUP($AD342 &amp; "|" &amp; $H342, $AD:$AD &amp; "|" &amp; $G:$G, W:W)</f>
        <v>#N/A</v>
      </c>
      <c r="AT342" s="13" t="e" cm="1">
        <f t="array" ref="AT342">X342 / _xlfn.XLOOKUP($AD342 &amp; "|" &amp; $H342, $AD:$AD &amp; "|" &amp; $G:$G, X:X)</f>
        <v>#N/A</v>
      </c>
      <c r="AU342" s="13" t="e" cm="1">
        <f t="array" ref="AU342">Y342 / _xlfn.XLOOKUP($AD342 &amp; "|" &amp; $H342, $AD:$AD &amp; "|" &amp; $G:$G, Y:Y)</f>
        <v>#N/A</v>
      </c>
      <c r="AV342" s="13" t="e" cm="1">
        <f t="array" ref="AV342">Z342 / _xlfn.XLOOKUP($AD342 &amp; "|" &amp; $H342, $AD:$AD &amp; "|" &amp; $G:$G, Z:Z)</f>
        <v>#N/A</v>
      </c>
      <c r="AW342" s="13" t="e" cm="1">
        <f t="array" ref="AW342">_xlfn.XLOOKUP($AD342 &amp; "|" &amp; $H342, $AD:$AD &amp; "|" &amp; $G:$G, L:L)</f>
        <v>#N/A</v>
      </c>
      <c r="AZ342" t="s">
        <v>241</v>
      </c>
    </row>
    <row r="343" spans="1:52" x14ac:dyDescent="0.2">
      <c r="A343" t="s">
        <v>236</v>
      </c>
      <c r="B343" t="s">
        <v>237</v>
      </c>
      <c r="C343" t="s">
        <v>36</v>
      </c>
      <c r="D343" t="s">
        <v>238</v>
      </c>
      <c r="G343" t="s">
        <v>240</v>
      </c>
      <c r="H343" t="s">
        <v>79</v>
      </c>
      <c r="K343">
        <v>15</v>
      </c>
      <c r="L343" s="13">
        <v>14.8</v>
      </c>
      <c r="Q343">
        <f>3.56*10^11</f>
        <v>356000000000</v>
      </c>
      <c r="AD343" t="str">
        <f t="shared" si="24"/>
        <v>Voigt|VOLCAN|Cruise|CFM LEAP-1A (Lean burn)||</v>
      </c>
      <c r="AE343" s="13" t="e" cm="1">
        <f t="array" ref="AE343">I343 / _xlfn.XLOOKUP($AD343 &amp; "|" &amp; $H343, $AD:$AD &amp; "|" &amp; $G:$G, I:I)</f>
        <v>#DIV/0!</v>
      </c>
      <c r="AF343" s="13" t="e" cm="1">
        <f t="array" ref="AF343">J343 / _xlfn.XLOOKUP($AD343 &amp; "|" &amp; $H343, $AD:$AD &amp; "|" &amp; $G:$G, J:J)</f>
        <v>#DIV/0!</v>
      </c>
      <c r="AG343" s="13" cm="1">
        <f t="array" ref="AG343">K343 / _xlfn.XLOOKUP($AD343 &amp; "|" &amp; $H343, $AD:$AD &amp; "|" &amp; $G:$G, K:K)</f>
        <v>7.8125E-2</v>
      </c>
      <c r="AH343" s="13" cm="1">
        <f t="array" ref="AH343">L343 / _xlfn.XLOOKUP($AD343 &amp; "|" &amp; $H343, $AD:$AD &amp; "|" &amp; $G:$G, L:L)</f>
        <v>1.0496453900709222</v>
      </c>
      <c r="AI343" s="13" t="e" cm="1">
        <f t="array" ref="AI343">M343 / _xlfn.XLOOKUP($AD343 &amp; "|" &amp; $H343, $AD:$AD &amp; "|" &amp; $G:$G, M:M)</f>
        <v>#DIV/0!</v>
      </c>
      <c r="AJ343" s="13" t="e" cm="1">
        <f t="array" ref="AJ343">N343 / _xlfn.XLOOKUP($AD343 &amp; "|" &amp; $H343, $AD:$AD &amp; "|" &amp; $G:$G, N:N)</f>
        <v>#DIV/0!</v>
      </c>
      <c r="AK343" s="13" t="e" cm="1">
        <f t="array" ref="AK343">O343 / _xlfn.XLOOKUP($AD343 &amp; "|" &amp; $H343, $AD:$AD &amp; "|" &amp; $G:$G, O:O)</f>
        <v>#DIV/0!</v>
      </c>
      <c r="AL343" s="13" t="e" cm="1">
        <f t="array" ref="AL343">P343 / _xlfn.XLOOKUP($AD343 &amp; "|" &amp; $H343, $AD:$AD &amp; "|" &amp; $G:$G, P:P)</f>
        <v>#DIV/0!</v>
      </c>
      <c r="AM343" s="13" cm="1">
        <f t="array" ref="AM343">Q343 / _xlfn.XLOOKUP($AD343 &amp; "|" &amp; $H343, $AD:$AD &amp; "|" &amp; $G:$G, Q:Q)</f>
        <v>0.53055141579731746</v>
      </c>
      <c r="AN343" s="13" t="e" cm="1">
        <f t="array" ref="AN343">R343 / _xlfn.XLOOKUP($AD343 &amp; "|" &amp; $H343, $AD:$AD &amp; "|" &amp; $G:$G, R:R)</f>
        <v>#DIV/0!</v>
      </c>
      <c r="AO343" s="13" cm="1">
        <f t="array" ref="AO343">S343 / _xlfn.XLOOKUP($AD343 &amp; "|" &amp; $H343, $AD:$AD &amp; "|" &amp; $G:$G, S:S)</f>
        <v>0</v>
      </c>
      <c r="AP343" s="13" t="e" cm="1">
        <f t="array" ref="AP343">T343 / _xlfn.XLOOKUP($AD343 &amp; "|" &amp; $H343, $AD:$AD &amp; "|" &amp; $G:$G, T:T)</f>
        <v>#DIV/0!</v>
      </c>
      <c r="AQ343" s="13" t="e" cm="1">
        <f t="array" ref="AQ343">U343 / _xlfn.XLOOKUP($AD343 &amp; "|" &amp; $H343, $AD:$AD &amp; "|" &amp; $G:$G, U:U)</f>
        <v>#DIV/0!</v>
      </c>
      <c r="AR343" s="13" t="e" cm="1">
        <f t="array" ref="AR343">V343 / _xlfn.XLOOKUP($AD343 &amp; "|" &amp; $H343, $AD:$AD &amp; "|" &amp; $G:$G, V:V)</f>
        <v>#DIV/0!</v>
      </c>
      <c r="AS343" s="13" t="e" cm="1">
        <f t="array" ref="AS343">W343 / _xlfn.XLOOKUP($AD343 &amp; "|" &amp; $H343, $AD:$AD &amp; "|" &amp; $G:$G, W:W)</f>
        <v>#DIV/0!</v>
      </c>
      <c r="AT343" s="13" t="e" cm="1">
        <f t="array" ref="AT343">X343 / _xlfn.XLOOKUP($AD343 &amp; "|" &amp; $H343, $AD:$AD &amp; "|" &amp; $G:$G, X:X)</f>
        <v>#DIV/0!</v>
      </c>
      <c r="AU343" s="13" t="e" cm="1">
        <f t="array" ref="AU343">Y343 / _xlfn.XLOOKUP($AD343 &amp; "|" &amp; $H343, $AD:$AD &amp; "|" &amp; $G:$G, Y:Y)</f>
        <v>#DIV/0!</v>
      </c>
      <c r="AV343" s="13" t="e" cm="1">
        <f t="array" ref="AV343">Z343 / _xlfn.XLOOKUP($AD343 &amp; "|" &amp; $H343, $AD:$AD &amp; "|" &amp; $G:$G, Z:Z)</f>
        <v>#DIV/0!</v>
      </c>
      <c r="AW343" s="13" cm="1">
        <f t="array" ref="AW343">_xlfn.XLOOKUP($AD343 &amp; "|" &amp; $H343, $AD:$AD &amp; "|" &amp; $G:$G, L:L)</f>
        <v>14.1</v>
      </c>
      <c r="AZ343" t="s">
        <v>241</v>
      </c>
    </row>
    <row r="344" spans="1:52" x14ac:dyDescent="0.2">
      <c r="A344" t="s">
        <v>236</v>
      </c>
      <c r="B344" t="s">
        <v>237</v>
      </c>
      <c r="C344" t="s">
        <v>36</v>
      </c>
      <c r="D344" t="s">
        <v>239</v>
      </c>
      <c r="G344" t="s">
        <v>240</v>
      </c>
      <c r="H344" t="s">
        <v>79</v>
      </c>
      <c r="K344">
        <v>75</v>
      </c>
      <c r="L344" s="13">
        <v>14.8</v>
      </c>
      <c r="Q344">
        <f>4.57*10^14</f>
        <v>457000000000000</v>
      </c>
      <c r="AD344" t="str">
        <f t="shared" si="24"/>
        <v>Voigt|VOLCAN|Cruise|CFM LEAP-1A (Forced rich burn)||</v>
      </c>
      <c r="AE344" s="13" t="e" cm="1">
        <f t="array" ref="AE344">I344 / _xlfn.XLOOKUP($AD344 &amp; "|" &amp; $H344, $AD:$AD &amp; "|" &amp; $G:$G, I:I)</f>
        <v>#DIV/0!</v>
      </c>
      <c r="AF344" s="13" t="e" cm="1">
        <f t="array" ref="AF344">J344 / _xlfn.XLOOKUP($AD344 &amp; "|" &amp; $H344, $AD:$AD &amp; "|" &amp; $G:$G, J:J)</f>
        <v>#DIV/0!</v>
      </c>
      <c r="AG344" s="13" cm="1">
        <f t="array" ref="AG344">K344 / _xlfn.XLOOKUP($AD344 &amp; "|" &amp; $H344, $AD:$AD &amp; "|" &amp; $G:$G, K:K)</f>
        <v>0.390625</v>
      </c>
      <c r="AH344" s="13" cm="1">
        <f t="array" ref="AH344">L344 / _xlfn.XLOOKUP($AD344 &amp; "|" &amp; $H344, $AD:$AD &amp; "|" &amp; $G:$G, L:L)</f>
        <v>1.0496453900709222</v>
      </c>
      <c r="AI344" s="13" t="e" cm="1">
        <f t="array" ref="AI344">M344 / _xlfn.XLOOKUP($AD344 &amp; "|" &amp; $H344, $AD:$AD &amp; "|" &amp; $G:$G, M:M)</f>
        <v>#DIV/0!</v>
      </c>
      <c r="AJ344" s="13" t="e" cm="1">
        <f t="array" ref="AJ344">N344 / _xlfn.XLOOKUP($AD344 &amp; "|" &amp; $H344, $AD:$AD &amp; "|" &amp; $G:$G, N:N)</f>
        <v>#DIV/0!</v>
      </c>
      <c r="AK344" s="13" t="e" cm="1">
        <f t="array" ref="AK344">O344 / _xlfn.XLOOKUP($AD344 &amp; "|" &amp; $H344, $AD:$AD &amp; "|" &amp; $G:$G, O:O)</f>
        <v>#DIV/0!</v>
      </c>
      <c r="AL344" s="13" t="e" cm="1">
        <f t="array" ref="AL344">P344 / _xlfn.XLOOKUP($AD344 &amp; "|" &amp; $H344, $AD:$AD &amp; "|" &amp; $G:$G, P:P)</f>
        <v>#DIV/0!</v>
      </c>
      <c r="AM344" s="13" cm="1">
        <f t="array" ref="AM344">Q344 / _xlfn.XLOOKUP($AD344 &amp; "|" &amp; $H344, $AD:$AD &amp; "|" &amp; $G:$G, Q:Q)</f>
        <v>0.53638497652582162</v>
      </c>
      <c r="AN344" s="13" t="e" cm="1">
        <f t="array" ref="AN344">R344 / _xlfn.XLOOKUP($AD344 &amp; "|" &amp; $H344, $AD:$AD &amp; "|" &amp; $G:$G, R:R)</f>
        <v>#DIV/0!</v>
      </c>
      <c r="AO344" s="13" cm="1">
        <f t="array" ref="AO344">S344 / _xlfn.XLOOKUP($AD344 &amp; "|" &amp; $H344, $AD:$AD &amp; "|" &amp; $G:$G, S:S)</f>
        <v>0</v>
      </c>
      <c r="AP344" s="13" t="e" cm="1">
        <f t="array" ref="AP344">T344 / _xlfn.XLOOKUP($AD344 &amp; "|" &amp; $H344, $AD:$AD &amp; "|" &amp; $G:$G, T:T)</f>
        <v>#DIV/0!</v>
      </c>
      <c r="AQ344" s="13" t="e" cm="1">
        <f t="array" ref="AQ344">U344 / _xlfn.XLOOKUP($AD344 &amp; "|" &amp; $H344, $AD:$AD &amp; "|" &amp; $G:$G, U:U)</f>
        <v>#DIV/0!</v>
      </c>
      <c r="AR344" s="13" t="e" cm="1">
        <f t="array" ref="AR344">V344 / _xlfn.XLOOKUP($AD344 &amp; "|" &amp; $H344, $AD:$AD &amp; "|" &amp; $G:$G, V:V)</f>
        <v>#DIV/0!</v>
      </c>
      <c r="AS344" s="13" t="e" cm="1">
        <f t="array" ref="AS344">W344 / _xlfn.XLOOKUP($AD344 &amp; "|" &amp; $H344, $AD:$AD &amp; "|" &amp; $G:$G, W:W)</f>
        <v>#DIV/0!</v>
      </c>
      <c r="AT344" s="13" t="e" cm="1">
        <f t="array" ref="AT344">X344 / _xlfn.XLOOKUP($AD344 &amp; "|" &amp; $H344, $AD:$AD &amp; "|" &amp; $G:$G, X:X)</f>
        <v>#DIV/0!</v>
      </c>
      <c r="AU344" s="13" t="e" cm="1">
        <f t="array" ref="AU344">Y344 / _xlfn.XLOOKUP($AD344 &amp; "|" &amp; $H344, $AD:$AD &amp; "|" &amp; $G:$G, Y:Y)</f>
        <v>#DIV/0!</v>
      </c>
      <c r="AV344" s="13" t="e" cm="1">
        <f t="array" ref="AV344">Z344 / _xlfn.XLOOKUP($AD344 &amp; "|" &amp; $H344, $AD:$AD &amp; "|" &amp; $G:$G, Z:Z)</f>
        <v>#DIV/0!</v>
      </c>
      <c r="AW344" s="13" cm="1">
        <f t="array" ref="AW344">_xlfn.XLOOKUP($AD344 &amp; "|" &amp; $H344, $AD:$AD &amp; "|" &amp; $G:$G, L:L)</f>
        <v>14.1</v>
      </c>
      <c r="AZ344" t="s">
        <v>241</v>
      </c>
    </row>
    <row r="345" spans="1:52" x14ac:dyDescent="0.2"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</row>
    <row r="346" spans="1:52" x14ac:dyDescent="0.2"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spans="1:52" x14ac:dyDescent="0.2"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</row>
    <row r="348" spans="1:52" x14ac:dyDescent="0.2"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spans="1:52" x14ac:dyDescent="0.2"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</row>
    <row r="350" spans="1:52" x14ac:dyDescent="0.2"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spans="1:52" x14ac:dyDescent="0.2"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</row>
    <row r="352" spans="1:52" x14ac:dyDescent="0.2"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</row>
    <row r="353" spans="39:49" x14ac:dyDescent="0.2"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</row>
    <row r="354" spans="39:49" x14ac:dyDescent="0.2"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</row>
    <row r="355" spans="39:49" x14ac:dyDescent="0.2"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</sheetData>
  <phoneticPr fontId="3" type="noConversion"/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6B7D-B3DE-BB49-B4F9-8E9659D8AF9C}">
  <dimension ref="A4:O15"/>
  <sheetViews>
    <sheetView workbookViewId="0">
      <selection activeCell="O10" sqref="O10"/>
    </sheetView>
  </sheetViews>
  <sheetFormatPr baseColWidth="10" defaultRowHeight="16" x14ac:dyDescent="0.2"/>
  <sheetData>
    <row r="4" spans="1:15" x14ac:dyDescent="0.2">
      <c r="A4" t="s">
        <v>213</v>
      </c>
      <c r="B4" t="s">
        <v>17</v>
      </c>
      <c r="C4" t="s">
        <v>8</v>
      </c>
      <c r="D4">
        <v>1.4</v>
      </c>
      <c r="E4">
        <v>0</v>
      </c>
      <c r="F4">
        <v>4</v>
      </c>
      <c r="G4">
        <v>15</v>
      </c>
      <c r="H4">
        <v>285.95</v>
      </c>
      <c r="I4">
        <v>285.95</v>
      </c>
      <c r="J4">
        <v>4</v>
      </c>
      <c r="K4">
        <v>457.2</v>
      </c>
      <c r="L4" t="e">
        <v>#DIV/0!</v>
      </c>
    </row>
    <row r="5" spans="1:15" x14ac:dyDescent="0.2">
      <c r="A5" t="s">
        <v>214</v>
      </c>
      <c r="B5" t="s">
        <v>17</v>
      </c>
      <c r="C5" t="s">
        <v>8</v>
      </c>
      <c r="D5">
        <v>1.4</v>
      </c>
      <c r="E5">
        <v>0</v>
      </c>
      <c r="F5">
        <v>4</v>
      </c>
      <c r="G5">
        <v>15</v>
      </c>
      <c r="H5">
        <v>286.48333333333329</v>
      </c>
      <c r="I5">
        <v>286.48333333333329</v>
      </c>
      <c r="J5">
        <v>7</v>
      </c>
      <c r="K5">
        <v>561.096</v>
      </c>
      <c r="L5">
        <v>32400000000000</v>
      </c>
      <c r="O5">
        <f>L5/L11</f>
        <v>0.10646221248630888</v>
      </c>
    </row>
    <row r="6" spans="1:15" x14ac:dyDescent="0.2">
      <c r="A6" t="s">
        <v>215</v>
      </c>
      <c r="B6" t="s">
        <v>17</v>
      </c>
      <c r="C6" t="s">
        <v>8</v>
      </c>
      <c r="D6">
        <v>1.4</v>
      </c>
      <c r="E6">
        <v>0</v>
      </c>
      <c r="F6">
        <v>4</v>
      </c>
      <c r="G6">
        <v>15</v>
      </c>
      <c r="H6">
        <v>286.75</v>
      </c>
      <c r="I6">
        <v>286.75</v>
      </c>
      <c r="J6">
        <v>30</v>
      </c>
      <c r="K6">
        <v>1231.2000000000003</v>
      </c>
      <c r="L6">
        <v>22100000000000</v>
      </c>
      <c r="O6">
        <f>L6/L12</f>
        <v>0.34504293520686963</v>
      </c>
    </row>
    <row r="7" spans="1:15" x14ac:dyDescent="0.2">
      <c r="A7" t="s">
        <v>216</v>
      </c>
      <c r="B7" t="s">
        <v>17</v>
      </c>
      <c r="C7" t="s">
        <v>8</v>
      </c>
      <c r="D7">
        <v>1.4</v>
      </c>
      <c r="E7">
        <v>0</v>
      </c>
      <c r="F7">
        <v>4</v>
      </c>
      <c r="G7">
        <v>15</v>
      </c>
      <c r="H7">
        <v>286.2</v>
      </c>
      <c r="I7">
        <v>286.2</v>
      </c>
      <c r="J7">
        <v>65</v>
      </c>
      <c r="K7">
        <v>2167.1999999999998</v>
      </c>
      <c r="L7">
        <v>98800000000000</v>
      </c>
      <c r="O7">
        <f>L7/L13</f>
        <v>0.77795275590551183</v>
      </c>
    </row>
    <row r="8" spans="1:15" x14ac:dyDescent="0.2">
      <c r="A8" t="s">
        <v>217</v>
      </c>
      <c r="B8" t="s">
        <v>17</v>
      </c>
      <c r="C8" t="s">
        <v>8</v>
      </c>
      <c r="D8">
        <v>1.4</v>
      </c>
      <c r="E8">
        <v>0</v>
      </c>
      <c r="F8">
        <v>4</v>
      </c>
      <c r="G8">
        <v>15</v>
      </c>
      <c r="H8">
        <v>287.14999999999998</v>
      </c>
      <c r="I8">
        <v>287.14999999999998</v>
      </c>
      <c r="J8">
        <v>85</v>
      </c>
      <c r="K8">
        <v>3041.9999999999995</v>
      </c>
      <c r="L8">
        <v>240000000000000</v>
      </c>
      <c r="O8">
        <f>L8/L14</f>
        <v>0.9486166007905138</v>
      </c>
    </row>
    <row r="9" spans="1:15" x14ac:dyDescent="0.2">
      <c r="A9" t="s">
        <v>212</v>
      </c>
      <c r="B9" t="s">
        <v>17</v>
      </c>
      <c r="C9" t="s">
        <v>8</v>
      </c>
      <c r="D9">
        <v>1.4</v>
      </c>
      <c r="E9">
        <v>0</v>
      </c>
      <c r="F9">
        <v>4</v>
      </c>
      <c r="G9">
        <v>15</v>
      </c>
      <c r="H9">
        <v>286.45</v>
      </c>
      <c r="I9">
        <v>286.45</v>
      </c>
      <c r="J9">
        <v>100</v>
      </c>
      <c r="K9">
        <v>3218.4</v>
      </c>
      <c r="L9">
        <v>314000000000000</v>
      </c>
      <c r="O9">
        <f>L9/L15</f>
        <v>0.94578313253012047</v>
      </c>
    </row>
    <row r="10" spans="1:15" x14ac:dyDescent="0.2">
      <c r="A10" t="s">
        <v>213</v>
      </c>
      <c r="B10" t="s">
        <v>16</v>
      </c>
      <c r="C10" t="s">
        <v>8</v>
      </c>
      <c r="D10">
        <v>2.1</v>
      </c>
      <c r="E10">
        <v>0</v>
      </c>
      <c r="F10">
        <v>1083</v>
      </c>
      <c r="G10">
        <v>15</v>
      </c>
      <c r="H10">
        <v>286.45</v>
      </c>
      <c r="I10">
        <v>286.45</v>
      </c>
      <c r="J10">
        <v>4</v>
      </c>
      <c r="K10">
        <v>457.2</v>
      </c>
      <c r="L10" t="e">
        <v>#DIV/0!</v>
      </c>
    </row>
    <row r="11" spans="1:15" x14ac:dyDescent="0.2">
      <c r="A11" t="s">
        <v>214</v>
      </c>
      <c r="B11" t="s">
        <v>16</v>
      </c>
      <c r="C11" t="s">
        <v>8</v>
      </c>
      <c r="D11">
        <v>2.1</v>
      </c>
      <c r="E11">
        <v>0</v>
      </c>
      <c r="F11">
        <v>1083</v>
      </c>
      <c r="G11">
        <v>15</v>
      </c>
      <c r="H11">
        <v>287.01666666666665</v>
      </c>
      <c r="I11">
        <v>287.01666666666665</v>
      </c>
      <c r="J11">
        <v>7</v>
      </c>
      <c r="K11">
        <v>561.096</v>
      </c>
      <c r="L11">
        <v>304333333333333.31</v>
      </c>
    </row>
    <row r="12" spans="1:15" x14ac:dyDescent="0.2">
      <c r="A12" t="s">
        <v>215</v>
      </c>
      <c r="B12" t="s">
        <v>16</v>
      </c>
      <c r="C12" t="s">
        <v>8</v>
      </c>
      <c r="D12">
        <v>2.1</v>
      </c>
      <c r="E12">
        <v>0</v>
      </c>
      <c r="F12">
        <v>1083</v>
      </c>
      <c r="G12">
        <v>15</v>
      </c>
      <c r="H12">
        <v>287.04999999999995</v>
      </c>
      <c r="I12">
        <v>287.04999999999995</v>
      </c>
      <c r="J12">
        <v>30</v>
      </c>
      <c r="K12">
        <v>1231.2000000000003</v>
      </c>
      <c r="L12">
        <v>64050000000000</v>
      </c>
    </row>
    <row r="13" spans="1:15" x14ac:dyDescent="0.2">
      <c r="A13" t="s">
        <v>216</v>
      </c>
      <c r="B13" t="s">
        <v>16</v>
      </c>
      <c r="C13" t="s">
        <v>8</v>
      </c>
      <c r="D13">
        <v>2.1</v>
      </c>
      <c r="E13">
        <v>0</v>
      </c>
      <c r="F13">
        <v>1083</v>
      </c>
      <c r="G13">
        <v>15</v>
      </c>
      <c r="H13">
        <v>287.29999999999995</v>
      </c>
      <c r="I13">
        <v>287.29999999999995</v>
      </c>
      <c r="J13">
        <v>65</v>
      </c>
      <c r="K13">
        <v>2167.1999999999998</v>
      </c>
      <c r="L13">
        <v>127000000000000</v>
      </c>
    </row>
    <row r="14" spans="1:15" x14ac:dyDescent="0.2">
      <c r="A14" t="s">
        <v>217</v>
      </c>
      <c r="B14" t="s">
        <v>16</v>
      </c>
      <c r="C14" t="s">
        <v>8</v>
      </c>
      <c r="D14">
        <v>2.1</v>
      </c>
      <c r="E14">
        <v>0</v>
      </c>
      <c r="F14">
        <v>1083</v>
      </c>
      <c r="G14">
        <v>15</v>
      </c>
      <c r="H14">
        <v>288.14999999999998</v>
      </c>
      <c r="I14">
        <v>288.14999999999998</v>
      </c>
      <c r="J14">
        <v>85</v>
      </c>
      <c r="K14">
        <v>3041.9999999999995</v>
      </c>
      <c r="L14">
        <v>253000000000000</v>
      </c>
    </row>
    <row r="15" spans="1:15" x14ac:dyDescent="0.2">
      <c r="A15" t="s">
        <v>212</v>
      </c>
      <c r="B15" t="s">
        <v>16</v>
      </c>
      <c r="C15" t="s">
        <v>8</v>
      </c>
      <c r="D15">
        <v>2.1</v>
      </c>
      <c r="E15">
        <v>0</v>
      </c>
      <c r="F15">
        <v>1083</v>
      </c>
      <c r="G15">
        <v>15</v>
      </c>
      <c r="H15">
        <v>287.04999999999995</v>
      </c>
      <c r="I15">
        <v>287.04999999999995</v>
      </c>
      <c r="J15">
        <v>100</v>
      </c>
      <c r="K15">
        <v>3218.4</v>
      </c>
      <c r="L15">
        <v>332000000000000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5932-25AF-084F-994A-33E64DE3DACE}">
  <dimension ref="A1:AM240"/>
  <sheetViews>
    <sheetView topLeftCell="A26" zoomScale="68" workbookViewId="0">
      <selection activeCell="B11" sqref="B11"/>
    </sheetView>
  </sheetViews>
  <sheetFormatPr baseColWidth="10" defaultRowHeight="16" x14ac:dyDescent="0.2"/>
  <sheetData>
    <row r="1" spans="1:39" x14ac:dyDescent="0.2">
      <c r="A1" t="s">
        <v>145</v>
      </c>
      <c r="B1" t="s">
        <v>0</v>
      </c>
      <c r="C1" t="s">
        <v>20</v>
      </c>
      <c r="D1" t="s">
        <v>7</v>
      </c>
      <c r="E1" t="s">
        <v>21</v>
      </c>
      <c r="F1" t="s">
        <v>22</v>
      </c>
      <c r="G1" t="s">
        <v>9</v>
      </c>
      <c r="H1" t="s">
        <v>25</v>
      </c>
      <c r="I1" t="s">
        <v>23</v>
      </c>
      <c r="J1" t="s">
        <v>26</v>
      </c>
      <c r="K1" t="s">
        <v>31</v>
      </c>
      <c r="L1" t="s">
        <v>27</v>
      </c>
      <c r="M1" t="s">
        <v>29</v>
      </c>
      <c r="N1" t="s">
        <v>30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  <c r="AD1" t="s">
        <v>131</v>
      </c>
      <c r="AE1" t="s">
        <v>132</v>
      </c>
      <c r="AF1" t="s">
        <v>133</v>
      </c>
      <c r="AG1" t="s">
        <v>134</v>
      </c>
      <c r="AI1" t="s">
        <v>144</v>
      </c>
      <c r="AK1" t="s">
        <v>146</v>
      </c>
      <c r="AL1" t="s">
        <v>147</v>
      </c>
      <c r="AM1" t="s">
        <v>148</v>
      </c>
    </row>
    <row r="2" spans="1:39" x14ac:dyDescent="0.2">
      <c r="A2">
        <v>1</v>
      </c>
      <c r="B2" t="s">
        <v>1</v>
      </c>
      <c r="C2">
        <v>3</v>
      </c>
      <c r="D2" t="s">
        <v>8</v>
      </c>
      <c r="E2">
        <v>17.600000000000001</v>
      </c>
      <c r="F2">
        <v>0.93</v>
      </c>
      <c r="G2">
        <v>383</v>
      </c>
      <c r="H2">
        <v>13.69</v>
      </c>
      <c r="I2">
        <v>21</v>
      </c>
      <c r="J2">
        <v>30</v>
      </c>
      <c r="K2">
        <v>0.34156213800000002</v>
      </c>
      <c r="L2" s="4">
        <v>203000000000000</v>
      </c>
      <c r="M2" s="4">
        <v>8110000000000000</v>
      </c>
      <c r="N2" s="4">
        <v>8320000000000000</v>
      </c>
      <c r="O2">
        <v>2.2330000000000001</v>
      </c>
      <c r="P2" t="s">
        <v>24</v>
      </c>
      <c r="Q2" t="s">
        <v>24</v>
      </c>
      <c r="R2" t="s">
        <v>24</v>
      </c>
      <c r="S2" t="s">
        <v>24</v>
      </c>
      <c r="X2">
        <v>0</v>
      </c>
      <c r="Y2">
        <v>1</v>
      </c>
      <c r="Z2">
        <v>54.8</v>
      </c>
      <c r="AA2">
        <v>83</v>
      </c>
      <c r="AB2">
        <v>786</v>
      </c>
      <c r="AD2">
        <v>16.205195</v>
      </c>
      <c r="AE2">
        <v>37.435572499999999</v>
      </c>
      <c r="AF2">
        <v>17.008134999999999</v>
      </c>
      <c r="AG2">
        <v>47.752870000000001</v>
      </c>
      <c r="AI2">
        <v>158</v>
      </c>
      <c r="AK2">
        <v>59</v>
      </c>
      <c r="AL2">
        <v>18</v>
      </c>
      <c r="AM2">
        <v>41.1</v>
      </c>
    </row>
    <row r="3" spans="1:39" x14ac:dyDescent="0.2">
      <c r="A3">
        <v>2</v>
      </c>
      <c r="B3" t="s">
        <v>1</v>
      </c>
      <c r="C3">
        <v>3</v>
      </c>
      <c r="D3" t="s">
        <v>8</v>
      </c>
      <c r="E3">
        <v>17.600000000000001</v>
      </c>
      <c r="F3">
        <v>0.93</v>
      </c>
      <c r="G3">
        <v>383</v>
      </c>
      <c r="H3">
        <v>13.69</v>
      </c>
      <c r="I3">
        <v>22</v>
      </c>
      <c r="J3">
        <v>30</v>
      </c>
      <c r="K3">
        <v>0.34156213800000002</v>
      </c>
      <c r="L3" s="4">
        <v>156000000000000</v>
      </c>
      <c r="M3" s="4">
        <v>1.2E+16</v>
      </c>
      <c r="N3" s="4">
        <v>1.21E+16</v>
      </c>
      <c r="O3">
        <v>4.9249999999999998</v>
      </c>
      <c r="P3" t="s">
        <v>24</v>
      </c>
      <c r="Q3" t="s">
        <v>24</v>
      </c>
      <c r="R3" t="s">
        <v>24</v>
      </c>
      <c r="S3" t="s">
        <v>24</v>
      </c>
      <c r="X3">
        <v>0</v>
      </c>
      <c r="Y3">
        <v>1</v>
      </c>
      <c r="Z3">
        <v>53.5</v>
      </c>
      <c r="AA3">
        <v>83</v>
      </c>
      <c r="AB3">
        <v>779</v>
      </c>
      <c r="AD3">
        <v>15.16255</v>
      </c>
      <c r="AE3">
        <v>24.211165000000001</v>
      </c>
      <c r="AF3">
        <v>17.517810000000001</v>
      </c>
      <c r="AG3">
        <v>47.422130000000003</v>
      </c>
      <c r="AI3">
        <v>191</v>
      </c>
      <c r="AK3">
        <v>58.2</v>
      </c>
      <c r="AL3">
        <v>13.4</v>
      </c>
      <c r="AM3">
        <v>44.8</v>
      </c>
    </row>
    <row r="4" spans="1:39" x14ac:dyDescent="0.2">
      <c r="A4">
        <v>3</v>
      </c>
      <c r="B4" t="s">
        <v>1</v>
      </c>
      <c r="C4">
        <v>3</v>
      </c>
      <c r="D4" t="s">
        <v>8</v>
      </c>
      <c r="E4">
        <v>17.600000000000001</v>
      </c>
      <c r="F4">
        <v>0.93</v>
      </c>
      <c r="G4">
        <v>383</v>
      </c>
      <c r="H4">
        <v>13.69</v>
      </c>
      <c r="I4">
        <v>25</v>
      </c>
      <c r="J4">
        <v>30</v>
      </c>
      <c r="K4">
        <v>0.34156213800000002</v>
      </c>
      <c r="L4" s="4">
        <v>271000000000000</v>
      </c>
      <c r="M4" s="4">
        <v>1.16E+16</v>
      </c>
      <c r="N4" s="4">
        <v>1.19E+16</v>
      </c>
      <c r="O4">
        <v>4.6319999999999997</v>
      </c>
      <c r="P4" t="s">
        <v>24</v>
      </c>
      <c r="Q4" t="s">
        <v>24</v>
      </c>
      <c r="R4" t="s">
        <v>24</v>
      </c>
      <c r="S4" t="s">
        <v>24</v>
      </c>
      <c r="X4">
        <v>0</v>
      </c>
      <c r="Y4">
        <v>1</v>
      </c>
      <c r="Z4">
        <v>52.5</v>
      </c>
      <c r="AA4">
        <v>85</v>
      </c>
      <c r="AB4">
        <v>781</v>
      </c>
      <c r="AD4">
        <v>16.7512325</v>
      </c>
      <c r="AE4">
        <v>25.482320000000001</v>
      </c>
      <c r="AF4">
        <v>12.523087500000001</v>
      </c>
      <c r="AG4">
        <v>56.265082499999998</v>
      </c>
      <c r="AI4">
        <v>277</v>
      </c>
      <c r="AK4">
        <v>93.4</v>
      </c>
      <c r="AL4">
        <v>22.5</v>
      </c>
      <c r="AM4">
        <v>70.900000000000006</v>
      </c>
    </row>
    <row r="5" spans="1:39" x14ac:dyDescent="0.2">
      <c r="A5">
        <v>4</v>
      </c>
      <c r="B5" t="s">
        <v>1</v>
      </c>
      <c r="C5">
        <v>3</v>
      </c>
      <c r="D5" t="s">
        <v>8</v>
      </c>
      <c r="E5">
        <v>17.600000000000001</v>
      </c>
      <c r="F5">
        <v>0.93</v>
      </c>
      <c r="G5">
        <v>383</v>
      </c>
      <c r="H5">
        <v>13.69</v>
      </c>
      <c r="I5">
        <v>27</v>
      </c>
      <c r="J5">
        <v>30</v>
      </c>
      <c r="K5">
        <v>0.34156213800000002</v>
      </c>
      <c r="L5" s="4">
        <v>225000000000000</v>
      </c>
      <c r="M5" s="4">
        <v>1.22E+16</v>
      </c>
      <c r="N5" s="4">
        <v>1.24E+16</v>
      </c>
      <c r="O5">
        <v>3.3330000000000002</v>
      </c>
      <c r="P5" t="s">
        <v>24</v>
      </c>
      <c r="Q5" t="s">
        <v>24</v>
      </c>
      <c r="R5" t="s">
        <v>24</v>
      </c>
      <c r="S5" t="s">
        <v>24</v>
      </c>
      <c r="X5">
        <v>0</v>
      </c>
      <c r="Y5">
        <v>1</v>
      </c>
      <c r="Z5">
        <v>53.5</v>
      </c>
      <c r="AA5">
        <v>84</v>
      </c>
      <c r="AB5">
        <v>771</v>
      </c>
      <c r="AD5">
        <v>16.220578329999999</v>
      </c>
      <c r="AE5">
        <v>23.82061667</v>
      </c>
      <c r="AF5">
        <v>12.56352</v>
      </c>
      <c r="AG5">
        <v>56.896790000000003</v>
      </c>
      <c r="AI5">
        <v>332</v>
      </c>
      <c r="AK5">
        <v>70.5</v>
      </c>
      <c r="AL5">
        <v>21.2</v>
      </c>
      <c r="AM5">
        <v>49.4</v>
      </c>
    </row>
    <row r="6" spans="1:39" x14ac:dyDescent="0.2">
      <c r="A6">
        <v>5</v>
      </c>
      <c r="B6" t="s">
        <v>1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>
        <v>30</v>
      </c>
      <c r="K6">
        <v>0.34156213800000002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  <c r="AD6" t="s">
        <v>24</v>
      </c>
      <c r="AE6" t="s">
        <v>24</v>
      </c>
      <c r="AF6" t="s">
        <v>24</v>
      </c>
      <c r="AG6" t="s">
        <v>24</v>
      </c>
      <c r="AI6" t="s">
        <v>24</v>
      </c>
      <c r="AK6" t="s">
        <v>24</v>
      </c>
      <c r="AL6" t="s">
        <v>24</v>
      </c>
      <c r="AM6" t="s">
        <v>24</v>
      </c>
    </row>
    <row r="7" spans="1:39" x14ac:dyDescent="0.2">
      <c r="A7">
        <v>6</v>
      </c>
      <c r="B7" t="s">
        <v>1</v>
      </c>
      <c r="C7">
        <v>3</v>
      </c>
      <c r="D7" t="s">
        <v>8</v>
      </c>
      <c r="E7">
        <v>17.600000000000001</v>
      </c>
      <c r="F7">
        <v>0.93</v>
      </c>
      <c r="G7">
        <v>383</v>
      </c>
      <c r="H7">
        <v>13.69</v>
      </c>
      <c r="I7">
        <v>33</v>
      </c>
      <c r="J7">
        <v>30</v>
      </c>
      <c r="K7">
        <v>0.34156213800000002</v>
      </c>
      <c r="L7" s="4">
        <v>285000000000000</v>
      </c>
      <c r="M7" s="4">
        <v>1.52E+16</v>
      </c>
      <c r="N7" s="4">
        <v>1.55E+16</v>
      </c>
      <c r="O7">
        <v>4.1849999999999996</v>
      </c>
      <c r="P7" t="s">
        <v>24</v>
      </c>
      <c r="Q7" t="s">
        <v>24</v>
      </c>
      <c r="R7" t="s">
        <v>24</v>
      </c>
      <c r="S7" t="s">
        <v>24</v>
      </c>
      <c r="X7">
        <v>0</v>
      </c>
      <c r="Y7">
        <v>1</v>
      </c>
      <c r="Z7">
        <v>52</v>
      </c>
      <c r="AA7">
        <v>70</v>
      </c>
      <c r="AB7">
        <v>804</v>
      </c>
      <c r="AD7">
        <v>12.1854175</v>
      </c>
      <c r="AE7">
        <v>23.2016475</v>
      </c>
      <c r="AF7">
        <v>13.37111</v>
      </c>
      <c r="AG7">
        <v>56.779736669999998</v>
      </c>
      <c r="AI7">
        <v>327</v>
      </c>
      <c r="AK7">
        <v>32.9</v>
      </c>
      <c r="AL7">
        <v>19.100000000000001</v>
      </c>
      <c r="AM7">
        <v>13.8</v>
      </c>
    </row>
    <row r="8" spans="1:39" x14ac:dyDescent="0.2">
      <c r="A8">
        <v>7</v>
      </c>
      <c r="B8" t="s">
        <v>1</v>
      </c>
      <c r="C8">
        <v>3</v>
      </c>
      <c r="D8" t="s">
        <v>8</v>
      </c>
      <c r="E8">
        <v>17.600000000000001</v>
      </c>
      <c r="F8">
        <v>0.93</v>
      </c>
      <c r="G8">
        <v>383</v>
      </c>
      <c r="H8">
        <v>13.69</v>
      </c>
      <c r="I8">
        <v>24</v>
      </c>
      <c r="J8">
        <v>30</v>
      </c>
      <c r="K8">
        <v>0.34156213800000002</v>
      </c>
      <c r="L8" s="4">
        <v>112000000000000</v>
      </c>
      <c r="M8" s="4">
        <v>2.58E+16</v>
      </c>
      <c r="N8" s="4">
        <v>2.59E+16</v>
      </c>
      <c r="O8">
        <v>7.8959999999999999</v>
      </c>
      <c r="P8">
        <v>0.76700000000000002</v>
      </c>
      <c r="Q8">
        <v>0.23300000000000001</v>
      </c>
      <c r="R8">
        <v>21.059776549999999</v>
      </c>
      <c r="S8">
        <v>6.4099935930000003</v>
      </c>
      <c r="X8">
        <v>0</v>
      </c>
      <c r="Y8">
        <v>1</v>
      </c>
      <c r="Z8">
        <v>53</v>
      </c>
      <c r="AA8">
        <v>85</v>
      </c>
      <c r="AB8">
        <v>792</v>
      </c>
      <c r="AD8">
        <v>12.002846</v>
      </c>
      <c r="AE8">
        <v>19.144358</v>
      </c>
      <c r="AF8">
        <v>15.177210000000001</v>
      </c>
      <c r="AG8">
        <v>50.698226669999997</v>
      </c>
      <c r="AI8">
        <v>280</v>
      </c>
      <c r="AK8">
        <v>35.799999999999997</v>
      </c>
      <c r="AL8">
        <v>12.9</v>
      </c>
      <c r="AM8">
        <v>22.9</v>
      </c>
    </row>
    <row r="9" spans="1:39" x14ac:dyDescent="0.2">
      <c r="A9">
        <v>8</v>
      </c>
      <c r="B9" t="s">
        <v>1</v>
      </c>
      <c r="C9">
        <v>3</v>
      </c>
      <c r="D9" t="s">
        <v>8</v>
      </c>
      <c r="E9">
        <v>17.600000000000001</v>
      </c>
      <c r="F9">
        <v>0.93</v>
      </c>
      <c r="G9">
        <v>383</v>
      </c>
      <c r="H9">
        <v>13.69</v>
      </c>
      <c r="I9">
        <v>34</v>
      </c>
      <c r="J9">
        <v>30</v>
      </c>
      <c r="K9">
        <v>0.34156213800000002</v>
      </c>
      <c r="L9" s="4">
        <v>168000000000000</v>
      </c>
      <c r="M9" s="4">
        <v>1.23E+16</v>
      </c>
      <c r="N9" s="4">
        <v>1.24E+16</v>
      </c>
      <c r="O9">
        <v>5.7389999999999999</v>
      </c>
      <c r="P9">
        <v>0.48099999999999998</v>
      </c>
      <c r="Q9">
        <v>0.51900000000000002</v>
      </c>
      <c r="R9">
        <v>12.456538630000001</v>
      </c>
      <c r="S9">
        <v>13.42722084</v>
      </c>
      <c r="X9">
        <v>0</v>
      </c>
      <c r="Y9">
        <v>1</v>
      </c>
      <c r="Z9">
        <v>54</v>
      </c>
      <c r="AA9">
        <v>85</v>
      </c>
      <c r="AB9">
        <v>805</v>
      </c>
      <c r="AD9">
        <v>12.696178</v>
      </c>
      <c r="AE9">
        <v>23.133877999999999</v>
      </c>
      <c r="AF9">
        <v>12.11744</v>
      </c>
      <c r="AG9">
        <v>51.418053329999999</v>
      </c>
      <c r="AI9">
        <v>225</v>
      </c>
      <c r="AK9">
        <v>37.700000000000003</v>
      </c>
      <c r="AL9">
        <v>16.100000000000001</v>
      </c>
      <c r="AM9">
        <v>21.6</v>
      </c>
    </row>
    <row r="10" spans="1:39" x14ac:dyDescent="0.2">
      <c r="A10">
        <v>9</v>
      </c>
      <c r="B10" t="s">
        <v>1</v>
      </c>
      <c r="C10">
        <v>3</v>
      </c>
      <c r="D10" t="s">
        <v>9</v>
      </c>
      <c r="E10">
        <v>17.3</v>
      </c>
      <c r="F10">
        <v>1.31</v>
      </c>
      <c r="G10">
        <v>1595</v>
      </c>
      <c r="H10">
        <v>13.67</v>
      </c>
      <c r="I10">
        <v>33</v>
      </c>
      <c r="J10">
        <v>30</v>
      </c>
      <c r="K10">
        <v>0.34156213800000002</v>
      </c>
      <c r="L10" s="4">
        <v>184000000000000</v>
      </c>
      <c r="M10" s="4">
        <v>5.49E+16</v>
      </c>
      <c r="N10" s="4">
        <v>5.51E+16</v>
      </c>
      <c r="O10">
        <v>5.12</v>
      </c>
      <c r="P10" t="s">
        <v>24</v>
      </c>
      <c r="Q10" t="s">
        <v>24</v>
      </c>
      <c r="R10" t="s">
        <v>24</v>
      </c>
      <c r="S10" t="s">
        <v>24</v>
      </c>
      <c r="X10">
        <v>0</v>
      </c>
      <c r="Y10">
        <v>1</v>
      </c>
      <c r="Z10">
        <v>52.5</v>
      </c>
      <c r="AA10">
        <v>85</v>
      </c>
      <c r="AB10">
        <v>784</v>
      </c>
      <c r="AD10">
        <v>15.54323625</v>
      </c>
      <c r="AE10">
        <v>20.587301249999999</v>
      </c>
      <c r="AF10">
        <v>11.289617140000001</v>
      </c>
      <c r="AG10">
        <v>44.919875709999999</v>
      </c>
      <c r="AI10">
        <v>287</v>
      </c>
      <c r="AK10">
        <v>133.69999999999999</v>
      </c>
      <c r="AL10">
        <v>12.6</v>
      </c>
      <c r="AM10">
        <v>121.1</v>
      </c>
    </row>
    <row r="11" spans="1:39" x14ac:dyDescent="0.2">
      <c r="A11">
        <v>10</v>
      </c>
      <c r="B11" t="s">
        <v>1</v>
      </c>
      <c r="C11">
        <v>3</v>
      </c>
      <c r="D11" t="s">
        <v>9</v>
      </c>
      <c r="E11">
        <v>17.3</v>
      </c>
      <c r="F11">
        <v>1.31</v>
      </c>
      <c r="G11">
        <v>1595</v>
      </c>
      <c r="H11">
        <v>13.67</v>
      </c>
      <c r="I11">
        <v>26</v>
      </c>
      <c r="J11">
        <v>30</v>
      </c>
      <c r="K11">
        <v>0.34156213800000002</v>
      </c>
      <c r="L11" s="4">
        <v>105000000000000</v>
      </c>
      <c r="M11" s="4">
        <v>6.54E+16</v>
      </c>
      <c r="N11" s="4">
        <v>6.55E+16</v>
      </c>
      <c r="O11">
        <v>6.2709999999999999</v>
      </c>
      <c r="P11">
        <v>0.58599999999999997</v>
      </c>
      <c r="Q11">
        <v>0.41399999999999998</v>
      </c>
      <c r="R11">
        <v>112.4066969</v>
      </c>
      <c r="S11">
        <v>79.452462560000001</v>
      </c>
      <c r="X11">
        <v>0</v>
      </c>
      <c r="Y11">
        <v>1</v>
      </c>
      <c r="Z11">
        <v>52.8</v>
      </c>
      <c r="AA11">
        <v>84</v>
      </c>
      <c r="AB11">
        <v>774</v>
      </c>
      <c r="AD11">
        <v>15.585522859999999</v>
      </c>
      <c r="AE11">
        <v>20.277694289999999</v>
      </c>
      <c r="AF11">
        <v>12.73251833</v>
      </c>
      <c r="AG11">
        <v>45.947151669999997</v>
      </c>
      <c r="AI11">
        <v>243</v>
      </c>
      <c r="AK11">
        <v>172.4</v>
      </c>
      <c r="AL11">
        <v>12.6</v>
      </c>
      <c r="AM11">
        <v>159.9</v>
      </c>
    </row>
    <row r="12" spans="1:39" x14ac:dyDescent="0.2">
      <c r="A12">
        <v>11</v>
      </c>
      <c r="B12" t="s">
        <v>1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>
        <v>30</v>
      </c>
      <c r="K12">
        <v>0.34156213800000002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X12" t="s">
        <v>24</v>
      </c>
      <c r="Y12" t="s">
        <v>24</v>
      </c>
      <c r="Z12" t="s">
        <v>24</v>
      </c>
      <c r="AA12" t="s">
        <v>24</v>
      </c>
      <c r="AB12" t="s">
        <v>24</v>
      </c>
      <c r="AD12">
        <v>14.66341077</v>
      </c>
      <c r="AE12">
        <v>24.97017692</v>
      </c>
      <c r="AF12" t="s">
        <v>24</v>
      </c>
      <c r="AG12" t="s">
        <v>24</v>
      </c>
      <c r="AI12" t="s">
        <v>24</v>
      </c>
      <c r="AK12" t="s">
        <v>24</v>
      </c>
      <c r="AL12" t="s">
        <v>24</v>
      </c>
      <c r="AM12" t="s">
        <v>24</v>
      </c>
    </row>
    <row r="13" spans="1:39" x14ac:dyDescent="0.2">
      <c r="A13">
        <v>12</v>
      </c>
      <c r="B13" t="s">
        <v>1</v>
      </c>
      <c r="C13">
        <v>3</v>
      </c>
      <c r="D13" t="s">
        <v>10</v>
      </c>
      <c r="E13">
        <v>21.8</v>
      </c>
      <c r="F13">
        <v>1.34</v>
      </c>
      <c r="G13">
        <v>530</v>
      </c>
      <c r="H13">
        <v>13.7</v>
      </c>
      <c r="I13">
        <v>30</v>
      </c>
      <c r="J13">
        <v>30</v>
      </c>
      <c r="K13">
        <v>0.34156213800000002</v>
      </c>
      <c r="L13" s="4">
        <v>83800000000000</v>
      </c>
      <c r="M13" s="4">
        <v>2.97E+16</v>
      </c>
      <c r="N13" s="4">
        <v>2.98E+16</v>
      </c>
      <c r="O13">
        <v>5.12</v>
      </c>
      <c r="P13">
        <v>0.51900000000000002</v>
      </c>
      <c r="Q13">
        <v>0.48099999999999998</v>
      </c>
      <c r="R13">
        <v>21.20708823</v>
      </c>
      <c r="S13">
        <v>19.65215654</v>
      </c>
      <c r="X13">
        <v>0</v>
      </c>
      <c r="Y13">
        <v>1</v>
      </c>
      <c r="Z13">
        <v>53.5</v>
      </c>
      <c r="AA13">
        <v>85</v>
      </c>
      <c r="AB13">
        <v>780</v>
      </c>
      <c r="AD13">
        <v>11.93553</v>
      </c>
      <c r="AE13">
        <v>17.244990000000001</v>
      </c>
      <c r="AF13">
        <v>17.361536000000001</v>
      </c>
      <c r="AG13">
        <v>54.593308</v>
      </c>
      <c r="AI13">
        <v>230</v>
      </c>
      <c r="AK13">
        <v>47.3</v>
      </c>
      <c r="AL13">
        <v>13.2</v>
      </c>
      <c r="AM13">
        <v>34</v>
      </c>
    </row>
    <row r="14" spans="1:39" x14ac:dyDescent="0.2">
      <c r="A14">
        <v>13</v>
      </c>
      <c r="B14" t="s">
        <v>1</v>
      </c>
      <c r="C14">
        <v>3</v>
      </c>
      <c r="D14" t="s">
        <v>10</v>
      </c>
      <c r="E14">
        <v>21.8</v>
      </c>
      <c r="F14">
        <v>1.34</v>
      </c>
      <c r="G14">
        <v>530</v>
      </c>
      <c r="H14">
        <v>13.7</v>
      </c>
      <c r="I14">
        <v>21</v>
      </c>
      <c r="J14">
        <v>30</v>
      </c>
      <c r="K14">
        <v>0.34156213800000002</v>
      </c>
      <c r="L14" s="4">
        <v>125000000000000</v>
      </c>
      <c r="M14" s="4">
        <v>3.93E+16</v>
      </c>
      <c r="N14" s="4">
        <v>3.94E+16</v>
      </c>
      <c r="O14">
        <v>4.3280000000000003</v>
      </c>
      <c r="P14">
        <v>0.67400000000000004</v>
      </c>
      <c r="Q14">
        <v>0.32600000000000001</v>
      </c>
      <c r="R14">
        <v>36.234058990000001</v>
      </c>
      <c r="S14">
        <v>17.531852990000001</v>
      </c>
      <c r="X14">
        <v>0</v>
      </c>
      <c r="Y14">
        <v>1</v>
      </c>
      <c r="Z14">
        <v>53</v>
      </c>
      <c r="AA14">
        <v>83</v>
      </c>
      <c r="AB14">
        <v>776</v>
      </c>
      <c r="AD14">
        <v>12.74672857</v>
      </c>
      <c r="AE14">
        <v>17.56399571</v>
      </c>
      <c r="AF14">
        <v>19.248055000000001</v>
      </c>
      <c r="AG14">
        <v>46.032951670000003</v>
      </c>
      <c r="AI14">
        <v>217</v>
      </c>
      <c r="AK14">
        <v>54.9</v>
      </c>
      <c r="AL14">
        <v>10.1</v>
      </c>
      <c r="AM14">
        <v>44.8</v>
      </c>
    </row>
    <row r="15" spans="1:39" x14ac:dyDescent="0.2">
      <c r="A15">
        <v>14</v>
      </c>
      <c r="B15" t="s">
        <v>1</v>
      </c>
      <c r="C15">
        <v>3</v>
      </c>
      <c r="D15" t="s">
        <v>9</v>
      </c>
      <c r="E15">
        <v>17.3</v>
      </c>
      <c r="F15">
        <v>1.31</v>
      </c>
      <c r="G15">
        <v>1595</v>
      </c>
      <c r="H15">
        <v>13.67</v>
      </c>
      <c r="I15">
        <v>24</v>
      </c>
      <c r="J15">
        <v>30</v>
      </c>
      <c r="K15">
        <v>0.34156213800000002</v>
      </c>
      <c r="L15" s="4">
        <v>227000000000000</v>
      </c>
      <c r="M15" s="4">
        <v>3.84E+16</v>
      </c>
      <c r="N15" s="4">
        <v>3.87E+16</v>
      </c>
      <c r="O15">
        <v>31.728999999999999</v>
      </c>
      <c r="P15">
        <v>0.63700000000000001</v>
      </c>
      <c r="Q15">
        <v>0.36299999999999999</v>
      </c>
      <c r="R15">
        <v>89.646387099999998</v>
      </c>
      <c r="S15">
        <v>51.142377170000003</v>
      </c>
      <c r="X15">
        <v>0</v>
      </c>
      <c r="Y15">
        <v>1</v>
      </c>
      <c r="Z15">
        <v>52</v>
      </c>
      <c r="AA15">
        <v>85</v>
      </c>
      <c r="AB15">
        <v>807</v>
      </c>
      <c r="AD15">
        <v>14.452360000000001</v>
      </c>
      <c r="AE15">
        <v>31.603603329999999</v>
      </c>
      <c r="AF15">
        <v>20.453679999999999</v>
      </c>
      <c r="AG15">
        <v>58.117223330000002</v>
      </c>
      <c r="AI15">
        <v>216</v>
      </c>
      <c r="AK15">
        <v>177.4</v>
      </c>
      <c r="AL15">
        <v>60.1</v>
      </c>
      <c r="AM15">
        <v>117.3</v>
      </c>
    </row>
    <row r="16" spans="1:39" x14ac:dyDescent="0.2">
      <c r="A16">
        <v>15</v>
      </c>
      <c r="B16" t="s">
        <v>1</v>
      </c>
      <c r="C16">
        <v>3</v>
      </c>
      <c r="D16" t="s">
        <v>9</v>
      </c>
      <c r="E16">
        <v>17.3</v>
      </c>
      <c r="F16">
        <v>1.31</v>
      </c>
      <c r="G16">
        <v>1595</v>
      </c>
      <c r="H16">
        <v>13.67</v>
      </c>
      <c r="I16">
        <v>24</v>
      </c>
      <c r="J16">
        <v>30</v>
      </c>
      <c r="K16">
        <v>0.34156213800000002</v>
      </c>
      <c r="L16" s="4">
        <v>91400000000000</v>
      </c>
      <c r="M16" s="4">
        <v>5.81E+16</v>
      </c>
      <c r="N16" s="4">
        <v>5.82E+16</v>
      </c>
      <c r="O16">
        <v>4.3010000000000002</v>
      </c>
      <c r="P16">
        <v>0.61299999999999999</v>
      </c>
      <c r="Q16">
        <v>0.38700000000000001</v>
      </c>
      <c r="R16">
        <v>90.989846170000007</v>
      </c>
      <c r="S16">
        <v>57.386533559999997</v>
      </c>
      <c r="X16">
        <v>0</v>
      </c>
      <c r="Y16">
        <v>1</v>
      </c>
      <c r="Z16">
        <v>53</v>
      </c>
      <c r="AA16">
        <v>83</v>
      </c>
      <c r="AB16">
        <v>819</v>
      </c>
      <c r="AD16">
        <v>14.43933</v>
      </c>
      <c r="AE16">
        <v>22.868701250000001</v>
      </c>
      <c r="AF16">
        <v>14.704304</v>
      </c>
      <c r="AG16">
        <v>58.579777999999997</v>
      </c>
      <c r="AI16">
        <v>259</v>
      </c>
      <c r="AK16">
        <v>136.19999999999999</v>
      </c>
      <c r="AL16">
        <v>12.6</v>
      </c>
      <c r="AM16">
        <v>123.6</v>
      </c>
    </row>
    <row r="17" spans="1:39" x14ac:dyDescent="0.2">
      <c r="A17">
        <v>16</v>
      </c>
      <c r="B17" t="s">
        <v>2</v>
      </c>
      <c r="C17">
        <v>3</v>
      </c>
      <c r="D17" t="s">
        <v>8</v>
      </c>
      <c r="E17">
        <v>18.600000000000001</v>
      </c>
      <c r="F17">
        <v>1.6</v>
      </c>
      <c r="G17">
        <v>1148</v>
      </c>
      <c r="H17">
        <v>13.6</v>
      </c>
      <c r="I17">
        <v>5.6</v>
      </c>
      <c r="J17">
        <v>30</v>
      </c>
      <c r="K17">
        <v>0.34156213800000002</v>
      </c>
      <c r="L17" s="4">
        <v>360000000000000</v>
      </c>
      <c r="M17" s="4">
        <v>2.65E+16</v>
      </c>
      <c r="N17" s="4">
        <v>2.7E+16</v>
      </c>
      <c r="O17">
        <v>8.9619999999999997</v>
      </c>
      <c r="P17" t="s">
        <v>24</v>
      </c>
      <c r="Q17" t="s">
        <v>24</v>
      </c>
      <c r="R17" t="s">
        <v>24</v>
      </c>
      <c r="S17" t="s">
        <v>24</v>
      </c>
      <c r="X17">
        <v>0</v>
      </c>
      <c r="Y17">
        <v>1</v>
      </c>
      <c r="Z17">
        <v>53</v>
      </c>
      <c r="AA17">
        <v>71</v>
      </c>
      <c r="AB17">
        <v>763</v>
      </c>
      <c r="AD17">
        <v>12.757099999999999</v>
      </c>
      <c r="AE17">
        <v>19.855</v>
      </c>
      <c r="AF17">
        <v>13.153</v>
      </c>
      <c r="AG17">
        <v>49.475900000000003</v>
      </c>
      <c r="AI17">
        <v>140</v>
      </c>
      <c r="AK17">
        <v>68.400000000000006</v>
      </c>
      <c r="AL17">
        <v>8</v>
      </c>
      <c r="AM17">
        <v>60.4</v>
      </c>
    </row>
    <row r="18" spans="1:39" x14ac:dyDescent="0.2">
      <c r="A18">
        <v>17</v>
      </c>
      <c r="B18" t="s">
        <v>2</v>
      </c>
      <c r="C18">
        <v>2</v>
      </c>
      <c r="D18" t="s">
        <v>8</v>
      </c>
      <c r="E18">
        <v>18.600000000000001</v>
      </c>
      <c r="F18">
        <v>1.6</v>
      </c>
      <c r="G18">
        <v>1148</v>
      </c>
      <c r="H18">
        <v>13.6</v>
      </c>
      <c r="I18">
        <v>5.7</v>
      </c>
      <c r="J18">
        <v>30</v>
      </c>
      <c r="K18">
        <v>0.34156213800000002</v>
      </c>
      <c r="L18" s="4">
        <v>500000000000000</v>
      </c>
      <c r="M18" s="4">
        <v>2.54E+16</v>
      </c>
      <c r="N18" s="4">
        <v>2.6E+16</v>
      </c>
      <c r="O18">
        <v>13.029</v>
      </c>
      <c r="P18" t="s">
        <v>24</v>
      </c>
      <c r="Q18" t="s">
        <v>24</v>
      </c>
      <c r="R18" t="s">
        <v>24</v>
      </c>
      <c r="S18" t="s">
        <v>24</v>
      </c>
      <c r="X18">
        <v>1</v>
      </c>
      <c r="Y18">
        <v>0</v>
      </c>
      <c r="Z18" t="s">
        <v>24</v>
      </c>
      <c r="AA18" t="s">
        <v>24</v>
      </c>
      <c r="AB18" t="s">
        <v>24</v>
      </c>
      <c r="AD18">
        <v>13.716900000000001</v>
      </c>
      <c r="AE18">
        <v>22.215199999999999</v>
      </c>
      <c r="AF18">
        <v>15.594900000000001</v>
      </c>
      <c r="AG18">
        <v>54.044199999999996</v>
      </c>
      <c r="AI18">
        <v>140</v>
      </c>
      <c r="AK18">
        <v>80.7</v>
      </c>
      <c r="AL18">
        <v>10.8</v>
      </c>
      <c r="AM18">
        <v>69.900000000000006</v>
      </c>
    </row>
    <row r="19" spans="1:39" x14ac:dyDescent="0.2">
      <c r="A19">
        <v>18</v>
      </c>
      <c r="B19" t="s">
        <v>2</v>
      </c>
      <c r="C19">
        <v>3</v>
      </c>
      <c r="D19" t="s">
        <v>8</v>
      </c>
      <c r="E19">
        <v>18.600000000000001</v>
      </c>
      <c r="F19">
        <v>1.6</v>
      </c>
      <c r="G19">
        <v>1148</v>
      </c>
      <c r="H19">
        <v>13.6</v>
      </c>
      <c r="I19">
        <v>5.8</v>
      </c>
      <c r="J19">
        <v>30</v>
      </c>
      <c r="K19">
        <v>0.34156213800000002</v>
      </c>
      <c r="L19" s="4">
        <v>550000000000000</v>
      </c>
      <c r="M19" s="4">
        <v>4.4E+16</v>
      </c>
      <c r="N19" s="4">
        <v>4.5E+16</v>
      </c>
      <c r="O19">
        <v>11.631</v>
      </c>
      <c r="P19" t="s">
        <v>24</v>
      </c>
      <c r="Q19" t="s">
        <v>24</v>
      </c>
      <c r="R19" t="s">
        <v>24</v>
      </c>
      <c r="S19" t="s">
        <v>24</v>
      </c>
      <c r="X19">
        <v>0</v>
      </c>
      <c r="Y19">
        <v>1</v>
      </c>
      <c r="Z19">
        <v>83</v>
      </c>
      <c r="AA19">
        <v>81</v>
      </c>
      <c r="AB19">
        <v>766</v>
      </c>
      <c r="AD19">
        <v>15.3705</v>
      </c>
      <c r="AE19">
        <v>28.300699999999999</v>
      </c>
      <c r="AF19">
        <v>15.039199999999999</v>
      </c>
      <c r="AG19">
        <v>165.18600000000001</v>
      </c>
      <c r="AI19">
        <v>45</v>
      </c>
      <c r="AK19">
        <v>104.4</v>
      </c>
      <c r="AL19">
        <v>45.8</v>
      </c>
      <c r="AM19">
        <v>58.6</v>
      </c>
    </row>
    <row r="20" spans="1:39" x14ac:dyDescent="0.2">
      <c r="A20">
        <v>19</v>
      </c>
      <c r="B20" t="s">
        <v>2</v>
      </c>
      <c r="C20">
        <v>2</v>
      </c>
      <c r="D20" t="s">
        <v>8</v>
      </c>
      <c r="E20">
        <v>18.600000000000001</v>
      </c>
      <c r="F20">
        <v>1.6</v>
      </c>
      <c r="G20">
        <v>1148</v>
      </c>
      <c r="H20">
        <v>13.6</v>
      </c>
      <c r="I20">
        <v>4.8</v>
      </c>
      <c r="J20">
        <v>30</v>
      </c>
      <c r="K20">
        <v>0.34156213800000002</v>
      </c>
      <c r="L20" s="4">
        <v>620000000000000</v>
      </c>
      <c r="M20" s="4">
        <v>2.97E+16</v>
      </c>
      <c r="N20" s="4">
        <v>3E+16</v>
      </c>
      <c r="O20">
        <v>22.116</v>
      </c>
      <c r="P20" t="s">
        <v>24</v>
      </c>
      <c r="Q20" t="s">
        <v>24</v>
      </c>
      <c r="R20" t="s">
        <v>24</v>
      </c>
      <c r="S20" t="s">
        <v>24</v>
      </c>
      <c r="X20">
        <v>1</v>
      </c>
      <c r="Y20">
        <v>0</v>
      </c>
      <c r="Z20" t="s">
        <v>24</v>
      </c>
      <c r="AA20" t="s">
        <v>24</v>
      </c>
      <c r="AB20" t="s">
        <v>24</v>
      </c>
      <c r="AD20">
        <v>15.7994</v>
      </c>
      <c r="AE20">
        <v>32.405299999999997</v>
      </c>
      <c r="AF20">
        <v>16.357500000000002</v>
      </c>
      <c r="AG20">
        <v>122.11799999999999</v>
      </c>
      <c r="AI20">
        <v>64</v>
      </c>
      <c r="AK20">
        <v>92.3</v>
      </c>
      <c r="AL20">
        <v>39.700000000000003</v>
      </c>
      <c r="AM20">
        <v>52.6</v>
      </c>
    </row>
    <row r="21" spans="1:39" x14ac:dyDescent="0.2">
      <c r="A21">
        <v>20</v>
      </c>
      <c r="B21" t="s">
        <v>2</v>
      </c>
      <c r="C21">
        <v>2</v>
      </c>
      <c r="D21" t="s">
        <v>8</v>
      </c>
      <c r="E21">
        <v>18.600000000000001</v>
      </c>
      <c r="F21">
        <v>1.6</v>
      </c>
      <c r="G21">
        <v>1148</v>
      </c>
      <c r="H21">
        <v>13.6</v>
      </c>
      <c r="I21">
        <v>9.1999999999999993</v>
      </c>
      <c r="J21">
        <v>30</v>
      </c>
      <c r="K21">
        <v>0.34156213800000002</v>
      </c>
      <c r="L21" s="4">
        <v>750000000000000</v>
      </c>
      <c r="M21" s="4">
        <v>7400000000000000</v>
      </c>
      <c r="N21" s="4">
        <v>8100000000000000</v>
      </c>
      <c r="O21">
        <v>27.266999999999999</v>
      </c>
      <c r="P21" t="s">
        <v>24</v>
      </c>
      <c r="Q21" t="s">
        <v>24</v>
      </c>
      <c r="R21" t="s">
        <v>24</v>
      </c>
      <c r="S21" t="s">
        <v>24</v>
      </c>
      <c r="X21">
        <v>1</v>
      </c>
      <c r="Y21">
        <v>0</v>
      </c>
      <c r="Z21" t="s">
        <v>24</v>
      </c>
      <c r="AA21" t="s">
        <v>24</v>
      </c>
      <c r="AB21" t="s">
        <v>24</v>
      </c>
      <c r="AD21">
        <v>14.450699999999999</v>
      </c>
      <c r="AE21">
        <v>27.444600000000001</v>
      </c>
      <c r="AF21">
        <v>16.451499999999999</v>
      </c>
      <c r="AG21">
        <v>57.129100000000001</v>
      </c>
      <c r="AI21">
        <v>159</v>
      </c>
      <c r="AK21">
        <v>105.8</v>
      </c>
      <c r="AL21">
        <v>22.6</v>
      </c>
      <c r="AM21">
        <v>83.1</v>
      </c>
    </row>
    <row r="22" spans="1:39" x14ac:dyDescent="0.2">
      <c r="A22">
        <v>21</v>
      </c>
      <c r="B22" t="s">
        <v>2</v>
      </c>
      <c r="C22">
        <v>3</v>
      </c>
      <c r="D22" t="s">
        <v>8</v>
      </c>
      <c r="E22">
        <v>18.600000000000001</v>
      </c>
      <c r="F22">
        <v>1.6</v>
      </c>
      <c r="G22">
        <v>1148</v>
      </c>
      <c r="H22">
        <v>13.6</v>
      </c>
      <c r="I22">
        <v>9.1999999999999993</v>
      </c>
      <c r="J22">
        <v>30</v>
      </c>
      <c r="K22">
        <v>0.34156213800000002</v>
      </c>
      <c r="L22" s="4">
        <v>470000000000000</v>
      </c>
      <c r="M22" s="4">
        <v>3.25E+16</v>
      </c>
      <c r="N22" s="4">
        <v>3.3E+16</v>
      </c>
      <c r="O22">
        <v>12.352</v>
      </c>
      <c r="P22" t="s">
        <v>24</v>
      </c>
      <c r="Q22" t="s">
        <v>24</v>
      </c>
      <c r="R22" t="s">
        <v>24</v>
      </c>
      <c r="S22" t="s">
        <v>24</v>
      </c>
      <c r="X22">
        <v>0</v>
      </c>
      <c r="Y22">
        <v>1</v>
      </c>
      <c r="Z22">
        <v>53</v>
      </c>
      <c r="AA22">
        <v>81</v>
      </c>
      <c r="AB22">
        <v>769</v>
      </c>
      <c r="AD22">
        <v>12.7026</v>
      </c>
      <c r="AE22">
        <v>19.836600000000001</v>
      </c>
      <c r="AF22">
        <v>14.1073</v>
      </c>
      <c r="AG22">
        <v>52.265799999999999</v>
      </c>
      <c r="AI22">
        <v>210</v>
      </c>
      <c r="AK22">
        <v>75.5</v>
      </c>
      <c r="AL22">
        <v>13.2</v>
      </c>
      <c r="AM22">
        <v>62.3</v>
      </c>
    </row>
    <row r="23" spans="1:39" x14ac:dyDescent="0.2">
      <c r="A23">
        <v>22</v>
      </c>
      <c r="B23" t="s">
        <v>2</v>
      </c>
      <c r="C23">
        <v>3</v>
      </c>
      <c r="D23" t="s">
        <v>8</v>
      </c>
      <c r="E23">
        <v>18.600000000000001</v>
      </c>
      <c r="F23">
        <v>1.6</v>
      </c>
      <c r="G23">
        <v>1148</v>
      </c>
      <c r="H23">
        <v>13.6</v>
      </c>
      <c r="I23">
        <v>10</v>
      </c>
      <c r="J23">
        <v>30</v>
      </c>
      <c r="K23">
        <v>0.34156213800000002</v>
      </c>
      <c r="L23" s="4">
        <v>410000000000000</v>
      </c>
      <c r="M23" s="4">
        <v>3.15E+16</v>
      </c>
      <c r="N23" s="4">
        <v>3.2E+16</v>
      </c>
      <c r="O23">
        <v>10.888999999999999</v>
      </c>
      <c r="P23" t="s">
        <v>24</v>
      </c>
      <c r="Q23" t="s">
        <v>24</v>
      </c>
      <c r="R23" t="s">
        <v>24</v>
      </c>
      <c r="S23" t="s">
        <v>24</v>
      </c>
      <c r="X23">
        <v>0</v>
      </c>
      <c r="Y23">
        <v>1</v>
      </c>
      <c r="Z23">
        <v>53</v>
      </c>
      <c r="AA23">
        <v>81</v>
      </c>
      <c r="AB23">
        <v>746</v>
      </c>
      <c r="AD23">
        <v>13.173500000000001</v>
      </c>
      <c r="AE23">
        <v>20.8428</v>
      </c>
      <c r="AF23">
        <v>15.6302</v>
      </c>
      <c r="AG23">
        <v>50.555500000000002</v>
      </c>
      <c r="AI23">
        <v>110</v>
      </c>
      <c r="AK23">
        <v>75.400000000000006</v>
      </c>
      <c r="AL23">
        <v>11</v>
      </c>
      <c r="AM23">
        <v>64.5</v>
      </c>
    </row>
    <row r="24" spans="1:39" x14ac:dyDescent="0.2">
      <c r="A24">
        <v>23</v>
      </c>
      <c r="B24" t="s">
        <v>2</v>
      </c>
      <c r="C24">
        <v>3</v>
      </c>
      <c r="D24" t="s">
        <v>8</v>
      </c>
      <c r="E24">
        <v>18.600000000000001</v>
      </c>
      <c r="F24">
        <v>1.6</v>
      </c>
      <c r="G24">
        <v>1148</v>
      </c>
      <c r="H24">
        <v>13.6</v>
      </c>
      <c r="I24">
        <v>-4.0999999999999996</v>
      </c>
      <c r="J24">
        <v>30</v>
      </c>
      <c r="K24">
        <v>0.34156213800000002</v>
      </c>
      <c r="L24" s="4">
        <v>570000000000000</v>
      </c>
      <c r="M24" s="4">
        <v>3.94E+16</v>
      </c>
      <c r="N24" s="4">
        <v>4E+16</v>
      </c>
      <c r="O24">
        <v>15.952</v>
      </c>
      <c r="P24" t="s">
        <v>24</v>
      </c>
      <c r="Q24" t="s">
        <v>24</v>
      </c>
      <c r="R24" t="s">
        <v>24</v>
      </c>
      <c r="S24" t="s">
        <v>24</v>
      </c>
      <c r="X24">
        <v>0</v>
      </c>
      <c r="Y24">
        <v>1</v>
      </c>
      <c r="Z24">
        <v>54</v>
      </c>
      <c r="AA24">
        <v>81</v>
      </c>
      <c r="AB24">
        <v>745</v>
      </c>
      <c r="AD24">
        <v>13.282299999999999</v>
      </c>
      <c r="AE24">
        <v>22.190300000000001</v>
      </c>
      <c r="AF24">
        <v>17.076599999999999</v>
      </c>
      <c r="AG24">
        <v>57.116700000000002</v>
      </c>
      <c r="AI24">
        <v>83</v>
      </c>
      <c r="AK24">
        <v>97.1</v>
      </c>
      <c r="AL24">
        <v>18.5</v>
      </c>
      <c r="AM24">
        <v>78.599999999999994</v>
      </c>
    </row>
    <row r="25" spans="1:39" x14ac:dyDescent="0.2">
      <c r="A25">
        <v>24</v>
      </c>
      <c r="B25" t="s">
        <v>2</v>
      </c>
      <c r="C25">
        <v>2</v>
      </c>
      <c r="D25" t="s">
        <v>8</v>
      </c>
      <c r="E25">
        <v>18.600000000000001</v>
      </c>
      <c r="F25">
        <v>1.6</v>
      </c>
      <c r="G25">
        <v>1148</v>
      </c>
      <c r="H25">
        <v>13.6</v>
      </c>
      <c r="I25">
        <v>-3.7</v>
      </c>
      <c r="J25">
        <v>30</v>
      </c>
      <c r="K25">
        <v>0.34156213800000002</v>
      </c>
      <c r="L25" s="4">
        <v>770000000000000</v>
      </c>
      <c r="M25" s="4">
        <v>3.16E+16</v>
      </c>
      <c r="N25" s="4">
        <v>3.2E+16</v>
      </c>
      <c r="O25">
        <v>27.91</v>
      </c>
      <c r="P25" t="s">
        <v>24</v>
      </c>
      <c r="Q25" t="s">
        <v>24</v>
      </c>
      <c r="R25" t="s">
        <v>24</v>
      </c>
      <c r="S25" t="s">
        <v>24</v>
      </c>
      <c r="X25">
        <v>1</v>
      </c>
      <c r="Y25">
        <v>0</v>
      </c>
      <c r="Z25" t="s">
        <v>24</v>
      </c>
      <c r="AA25" t="s">
        <v>24</v>
      </c>
      <c r="AB25" t="s">
        <v>24</v>
      </c>
      <c r="AD25">
        <v>14.4476</v>
      </c>
      <c r="AE25">
        <v>26.572299999999998</v>
      </c>
      <c r="AF25">
        <v>17.4739</v>
      </c>
      <c r="AG25">
        <v>57.724299999999999</v>
      </c>
      <c r="AI25">
        <v>166</v>
      </c>
      <c r="AK25">
        <v>124.1</v>
      </c>
      <c r="AL25">
        <v>29.3</v>
      </c>
      <c r="AM25">
        <v>94.8</v>
      </c>
    </row>
    <row r="26" spans="1:39" x14ac:dyDescent="0.2">
      <c r="A26">
        <v>25</v>
      </c>
      <c r="B26" t="s">
        <v>2</v>
      </c>
      <c r="C26">
        <v>3</v>
      </c>
      <c r="D26" t="s">
        <v>8</v>
      </c>
      <c r="E26">
        <v>18.600000000000001</v>
      </c>
      <c r="F26">
        <v>1.6</v>
      </c>
      <c r="G26">
        <v>1148</v>
      </c>
      <c r="H26">
        <v>13.6</v>
      </c>
      <c r="I26">
        <v>3</v>
      </c>
      <c r="J26">
        <v>30</v>
      </c>
      <c r="K26">
        <v>0.34156213800000002</v>
      </c>
      <c r="L26" s="4">
        <v>9400000000000000</v>
      </c>
      <c r="M26" s="4">
        <v>2.46E+16</v>
      </c>
      <c r="N26" s="4">
        <v>3.4E+16</v>
      </c>
      <c r="O26">
        <v>16.027999999999999</v>
      </c>
      <c r="P26" t="s">
        <v>24</v>
      </c>
      <c r="Q26" t="s">
        <v>24</v>
      </c>
      <c r="R26" t="s">
        <v>24</v>
      </c>
      <c r="S26" t="s">
        <v>24</v>
      </c>
      <c r="X26">
        <v>0</v>
      </c>
      <c r="Y26">
        <v>1</v>
      </c>
      <c r="Z26">
        <v>53</v>
      </c>
      <c r="AA26">
        <v>81</v>
      </c>
      <c r="AB26">
        <v>736</v>
      </c>
      <c r="AD26">
        <v>12.990500000000001</v>
      </c>
      <c r="AE26">
        <v>22.184100000000001</v>
      </c>
      <c r="AF26">
        <v>12.968299999999999</v>
      </c>
      <c r="AG26">
        <v>25.1876</v>
      </c>
      <c r="AI26">
        <v>184</v>
      </c>
      <c r="AK26">
        <v>94.8</v>
      </c>
      <c r="AL26">
        <v>74.2</v>
      </c>
      <c r="AM26">
        <v>20.6</v>
      </c>
    </row>
    <row r="27" spans="1:39" x14ac:dyDescent="0.2">
      <c r="A27">
        <v>26</v>
      </c>
      <c r="B27" t="s">
        <v>2</v>
      </c>
      <c r="C27">
        <v>2</v>
      </c>
      <c r="D27" t="s">
        <v>8</v>
      </c>
      <c r="E27">
        <v>18.600000000000001</v>
      </c>
      <c r="F27">
        <v>1.6</v>
      </c>
      <c r="G27">
        <v>1148</v>
      </c>
      <c r="H27">
        <v>13.6</v>
      </c>
      <c r="I27">
        <v>13.5</v>
      </c>
      <c r="J27">
        <v>30</v>
      </c>
      <c r="K27">
        <v>0.34156213800000002</v>
      </c>
      <c r="L27" s="4">
        <v>600000000000000</v>
      </c>
      <c r="M27" s="4">
        <v>2.62E+16</v>
      </c>
      <c r="N27" s="4">
        <v>2.7E+16</v>
      </c>
      <c r="O27">
        <v>21.594000000000001</v>
      </c>
      <c r="P27" t="s">
        <v>24</v>
      </c>
      <c r="Q27" t="s">
        <v>24</v>
      </c>
      <c r="R27" t="s">
        <v>24</v>
      </c>
      <c r="S27" t="s">
        <v>24</v>
      </c>
      <c r="X27">
        <v>1</v>
      </c>
      <c r="Y27">
        <v>0</v>
      </c>
      <c r="Z27" t="s">
        <v>24</v>
      </c>
      <c r="AA27" t="s">
        <v>24</v>
      </c>
      <c r="AB27" t="s">
        <v>24</v>
      </c>
      <c r="AD27">
        <v>14.005599999999999</v>
      </c>
      <c r="AE27">
        <v>27.8019</v>
      </c>
      <c r="AF27">
        <v>18.3978</v>
      </c>
      <c r="AG27">
        <v>59.920499999999997</v>
      </c>
      <c r="AI27">
        <v>150</v>
      </c>
      <c r="AK27">
        <v>85.8</v>
      </c>
      <c r="AL27">
        <v>24.4</v>
      </c>
      <c r="AM27">
        <v>61.4</v>
      </c>
    </row>
    <row r="28" spans="1:39" x14ac:dyDescent="0.2">
      <c r="A28">
        <v>27</v>
      </c>
      <c r="B28" t="s">
        <v>2</v>
      </c>
      <c r="C28">
        <v>3</v>
      </c>
      <c r="D28" t="s">
        <v>12</v>
      </c>
      <c r="E28">
        <v>0</v>
      </c>
      <c r="F28">
        <v>0</v>
      </c>
      <c r="G28">
        <v>19</v>
      </c>
      <c r="H28">
        <v>15.5</v>
      </c>
      <c r="I28">
        <v>13.4</v>
      </c>
      <c r="J28">
        <v>30</v>
      </c>
      <c r="K28">
        <v>0.34156213800000002</v>
      </c>
      <c r="L28" s="4">
        <v>23000000000000</v>
      </c>
      <c r="M28" s="4">
        <v>1570000000000000</v>
      </c>
      <c r="N28" s="4">
        <v>1600000000000000</v>
      </c>
      <c r="O28">
        <v>1.988</v>
      </c>
      <c r="P28">
        <v>0.94599999999999995</v>
      </c>
      <c r="Q28">
        <v>5.3999999999999999E-2</v>
      </c>
      <c r="R28">
        <v>0.95322967800000002</v>
      </c>
      <c r="S28">
        <v>5.4278321999999997E-2</v>
      </c>
      <c r="X28">
        <v>0</v>
      </c>
      <c r="Y28">
        <v>1</v>
      </c>
      <c r="Z28">
        <v>53</v>
      </c>
      <c r="AA28">
        <v>82</v>
      </c>
      <c r="AB28">
        <v>769</v>
      </c>
      <c r="AD28">
        <v>13.238200000000001</v>
      </c>
      <c r="AE28">
        <v>37.911799999999999</v>
      </c>
      <c r="AF28">
        <v>15.2972</v>
      </c>
      <c r="AG28">
        <v>70.042000000000002</v>
      </c>
      <c r="AI28">
        <v>165</v>
      </c>
      <c r="AK28">
        <v>1.9</v>
      </c>
      <c r="AL28">
        <v>1</v>
      </c>
      <c r="AM28">
        <v>0.8</v>
      </c>
    </row>
    <row r="29" spans="1:39" x14ac:dyDescent="0.2">
      <c r="A29">
        <v>28</v>
      </c>
      <c r="B29" t="s">
        <v>2</v>
      </c>
      <c r="C29">
        <v>3</v>
      </c>
      <c r="D29" t="s">
        <v>12</v>
      </c>
      <c r="E29">
        <v>0</v>
      </c>
      <c r="F29">
        <v>0</v>
      </c>
      <c r="G29">
        <v>19</v>
      </c>
      <c r="H29">
        <v>15.5</v>
      </c>
      <c r="I29">
        <v>15</v>
      </c>
      <c r="J29">
        <v>30</v>
      </c>
      <c r="K29">
        <v>0.34156213800000002</v>
      </c>
      <c r="L29" s="4">
        <v>9400000000000</v>
      </c>
      <c r="M29" s="4">
        <v>805000000000000</v>
      </c>
      <c r="N29" s="4">
        <v>810000000000000</v>
      </c>
      <c r="O29">
        <v>3.6789999999999998</v>
      </c>
      <c r="P29">
        <v>0.65</v>
      </c>
      <c r="Q29">
        <v>0.35</v>
      </c>
      <c r="R29">
        <v>0.61894145300000003</v>
      </c>
      <c r="S29">
        <v>0.33359454700000002</v>
      </c>
      <c r="X29">
        <v>0</v>
      </c>
      <c r="Y29">
        <v>1</v>
      </c>
      <c r="Z29">
        <v>53</v>
      </c>
      <c r="AA29">
        <v>82</v>
      </c>
      <c r="AB29">
        <v>749</v>
      </c>
      <c r="AD29">
        <v>17.653400000000001</v>
      </c>
      <c r="AE29">
        <v>89.474000000000004</v>
      </c>
      <c r="AF29">
        <v>18.6721</v>
      </c>
      <c r="AG29">
        <v>84.499499999999998</v>
      </c>
      <c r="AI29">
        <v>200</v>
      </c>
      <c r="AK29">
        <v>1.1000000000000001</v>
      </c>
      <c r="AL29">
        <v>0.3</v>
      </c>
      <c r="AM29">
        <v>0.8</v>
      </c>
    </row>
    <row r="30" spans="1:39" x14ac:dyDescent="0.2">
      <c r="A30">
        <v>29</v>
      </c>
      <c r="B30" t="s">
        <v>2</v>
      </c>
      <c r="C30">
        <v>2</v>
      </c>
      <c r="D30" t="s">
        <v>8</v>
      </c>
      <c r="E30">
        <v>18.600000000000001</v>
      </c>
      <c r="F30">
        <v>1.6</v>
      </c>
      <c r="G30">
        <v>1148</v>
      </c>
      <c r="H30">
        <v>13.6</v>
      </c>
      <c r="I30">
        <v>0.5</v>
      </c>
      <c r="J30">
        <v>30</v>
      </c>
      <c r="K30">
        <v>0.34156213800000002</v>
      </c>
      <c r="L30" s="4">
        <v>670000000000000</v>
      </c>
      <c r="M30" s="4">
        <v>3.13E+16</v>
      </c>
      <c r="N30" s="4">
        <v>3.2E+16</v>
      </c>
      <c r="O30">
        <v>24.492999999999999</v>
      </c>
      <c r="P30" t="s">
        <v>24</v>
      </c>
      <c r="Q30" t="s">
        <v>24</v>
      </c>
      <c r="R30" t="s">
        <v>24</v>
      </c>
      <c r="S30" t="s">
        <v>24</v>
      </c>
      <c r="X30">
        <v>1</v>
      </c>
      <c r="Y30">
        <v>0</v>
      </c>
      <c r="Z30" t="s">
        <v>24</v>
      </c>
      <c r="AA30" t="s">
        <v>24</v>
      </c>
      <c r="AB30" t="s">
        <v>24</v>
      </c>
      <c r="AD30">
        <v>14.010899999999999</v>
      </c>
      <c r="AE30">
        <v>19.819500000000001</v>
      </c>
      <c r="AF30">
        <v>16.142700000000001</v>
      </c>
      <c r="AG30">
        <v>31.9145</v>
      </c>
      <c r="AI30">
        <v>120</v>
      </c>
      <c r="AK30">
        <v>89.4</v>
      </c>
      <c r="AL30">
        <v>9</v>
      </c>
      <c r="AM30">
        <v>80.400000000000006</v>
      </c>
    </row>
    <row r="31" spans="1:39" x14ac:dyDescent="0.2">
      <c r="A31">
        <v>30</v>
      </c>
      <c r="B31" t="s">
        <v>2</v>
      </c>
      <c r="C31">
        <v>3</v>
      </c>
      <c r="D31" t="s">
        <v>12</v>
      </c>
      <c r="E31">
        <v>0</v>
      </c>
      <c r="F31">
        <v>0</v>
      </c>
      <c r="G31">
        <v>19</v>
      </c>
      <c r="H31">
        <v>15.5</v>
      </c>
      <c r="I31">
        <v>0.5</v>
      </c>
      <c r="J31">
        <v>30</v>
      </c>
      <c r="K31">
        <v>0.34156213800000002</v>
      </c>
      <c r="L31" s="4">
        <v>14000000000000</v>
      </c>
      <c r="M31" s="4">
        <v>1540000000000000</v>
      </c>
      <c r="N31" s="4">
        <v>1600000000000000</v>
      </c>
      <c r="O31">
        <v>2.4</v>
      </c>
      <c r="P31" t="s">
        <v>24</v>
      </c>
      <c r="Q31" t="s">
        <v>24</v>
      </c>
      <c r="R31" t="s">
        <v>24</v>
      </c>
      <c r="S31" t="s">
        <v>24</v>
      </c>
      <c r="X31">
        <v>0</v>
      </c>
      <c r="Y31">
        <v>1</v>
      </c>
      <c r="Z31">
        <v>54</v>
      </c>
      <c r="AA31">
        <v>80</v>
      </c>
      <c r="AB31">
        <v>752</v>
      </c>
      <c r="AD31">
        <v>13.837199999999999</v>
      </c>
      <c r="AE31">
        <v>19.8002</v>
      </c>
      <c r="AF31">
        <v>15.9284</v>
      </c>
      <c r="AG31">
        <v>31.4375</v>
      </c>
      <c r="AI31">
        <v>150</v>
      </c>
      <c r="AK31">
        <v>20.399999999999999</v>
      </c>
      <c r="AL31">
        <v>2.2000000000000002</v>
      </c>
      <c r="AM31">
        <v>18.2</v>
      </c>
    </row>
    <row r="32" spans="1:39" x14ac:dyDescent="0.2">
      <c r="A32">
        <v>31</v>
      </c>
      <c r="B32" t="s">
        <v>2</v>
      </c>
      <c r="C32">
        <v>3</v>
      </c>
      <c r="D32" t="s">
        <v>12</v>
      </c>
      <c r="E32">
        <v>0</v>
      </c>
      <c r="F32">
        <v>0</v>
      </c>
      <c r="G32">
        <v>19</v>
      </c>
      <c r="H32">
        <v>15.5</v>
      </c>
      <c r="I32">
        <v>4</v>
      </c>
      <c r="J32">
        <v>30</v>
      </c>
      <c r="K32">
        <v>0.34156213800000002</v>
      </c>
      <c r="L32" s="4">
        <v>33000000000000</v>
      </c>
      <c r="M32" s="4">
        <v>1570000000000000</v>
      </c>
      <c r="N32" s="4">
        <v>1600000000000000</v>
      </c>
      <c r="O32">
        <v>3.04</v>
      </c>
      <c r="P32">
        <v>0.64400000000000002</v>
      </c>
      <c r="Q32">
        <v>0.35599999999999998</v>
      </c>
      <c r="R32">
        <v>0.46376927099999998</v>
      </c>
      <c r="S32">
        <v>0.25652112900000001</v>
      </c>
      <c r="X32">
        <v>0</v>
      </c>
      <c r="Y32">
        <v>1</v>
      </c>
      <c r="Z32">
        <v>54</v>
      </c>
      <c r="AA32">
        <v>80</v>
      </c>
      <c r="AB32">
        <v>737</v>
      </c>
      <c r="AD32">
        <v>12.4598</v>
      </c>
      <c r="AE32">
        <v>28.456499999999998</v>
      </c>
      <c r="AF32">
        <v>15.2867</v>
      </c>
      <c r="AG32">
        <v>30.986899999999999</v>
      </c>
      <c r="AI32">
        <v>90</v>
      </c>
      <c r="AK32">
        <v>0.8</v>
      </c>
      <c r="AL32">
        <v>0.2</v>
      </c>
      <c r="AM32">
        <v>0.6</v>
      </c>
    </row>
    <row r="33" spans="1:39" x14ac:dyDescent="0.2">
      <c r="A33">
        <v>32</v>
      </c>
      <c r="B33" t="s">
        <v>2</v>
      </c>
      <c r="C33">
        <v>2</v>
      </c>
      <c r="D33" t="s">
        <v>8</v>
      </c>
      <c r="E33">
        <v>18.600000000000001</v>
      </c>
      <c r="F33">
        <v>1.6</v>
      </c>
      <c r="G33">
        <v>1148</v>
      </c>
      <c r="H33">
        <v>13.6</v>
      </c>
      <c r="I33">
        <v>0.7</v>
      </c>
      <c r="J33">
        <v>30</v>
      </c>
      <c r="K33">
        <v>0.34156213800000002</v>
      </c>
      <c r="L33" s="4">
        <v>650000000000000</v>
      </c>
      <c r="M33" s="4">
        <v>2.74E+16</v>
      </c>
      <c r="N33" s="4">
        <v>2.8E+16</v>
      </c>
      <c r="O33">
        <v>25.927</v>
      </c>
      <c r="P33" t="s">
        <v>24</v>
      </c>
      <c r="Q33" t="s">
        <v>24</v>
      </c>
      <c r="R33" t="s">
        <v>24</v>
      </c>
      <c r="S33" t="s">
        <v>24</v>
      </c>
      <c r="X33">
        <v>1</v>
      </c>
      <c r="Y33">
        <v>0</v>
      </c>
      <c r="Z33" t="s">
        <v>24</v>
      </c>
      <c r="AA33" t="s">
        <v>24</v>
      </c>
      <c r="AB33" t="s">
        <v>24</v>
      </c>
      <c r="AD33">
        <v>14.270899999999999</v>
      </c>
      <c r="AE33">
        <v>25.843699999999998</v>
      </c>
      <c r="AF33">
        <v>17.2302</v>
      </c>
      <c r="AG33">
        <v>56.649900000000002</v>
      </c>
      <c r="AI33">
        <v>190</v>
      </c>
      <c r="AK33">
        <v>102</v>
      </c>
      <c r="AL33">
        <v>19.5</v>
      </c>
      <c r="AM33">
        <v>82.5</v>
      </c>
    </row>
    <row r="34" spans="1:39" x14ac:dyDescent="0.2">
      <c r="A34">
        <v>33</v>
      </c>
      <c r="B34" t="s">
        <v>2</v>
      </c>
      <c r="C34">
        <v>3</v>
      </c>
      <c r="D34" t="s">
        <v>14</v>
      </c>
      <c r="E34">
        <v>8</v>
      </c>
      <c r="F34">
        <v>0.8</v>
      </c>
      <c r="G34">
        <v>699</v>
      </c>
      <c r="H34">
        <v>14.5</v>
      </c>
      <c r="I34">
        <v>1.1000000000000001</v>
      </c>
      <c r="J34">
        <v>30</v>
      </c>
      <c r="K34">
        <v>0.34156213800000002</v>
      </c>
      <c r="L34" s="4">
        <v>150000000000000</v>
      </c>
      <c r="M34" s="4">
        <v>1.72E+16</v>
      </c>
      <c r="N34" s="4">
        <v>1.7E+16</v>
      </c>
      <c r="O34">
        <v>3.9409999999999998</v>
      </c>
      <c r="P34">
        <v>0.48599999999999999</v>
      </c>
      <c r="Q34">
        <v>0.51400000000000001</v>
      </c>
      <c r="R34">
        <v>21.767481539999999</v>
      </c>
      <c r="S34">
        <v>23.022374460000002</v>
      </c>
      <c r="X34">
        <v>0</v>
      </c>
      <c r="Y34">
        <v>1</v>
      </c>
      <c r="Z34">
        <v>54</v>
      </c>
      <c r="AA34">
        <v>81</v>
      </c>
      <c r="AB34">
        <v>756</v>
      </c>
      <c r="AD34">
        <v>12.3141</v>
      </c>
      <c r="AE34">
        <v>17.4361</v>
      </c>
      <c r="AF34">
        <v>13.8719</v>
      </c>
      <c r="AG34">
        <v>55.824300000000001</v>
      </c>
      <c r="AI34">
        <v>185</v>
      </c>
      <c r="AK34">
        <v>42.5</v>
      </c>
      <c r="AL34">
        <v>5.2</v>
      </c>
      <c r="AM34">
        <v>37.299999999999997</v>
      </c>
    </row>
    <row r="35" spans="1:39" x14ac:dyDescent="0.2">
      <c r="A35">
        <v>34</v>
      </c>
      <c r="B35" t="s">
        <v>2</v>
      </c>
      <c r="C35">
        <v>3</v>
      </c>
      <c r="D35" t="s">
        <v>14</v>
      </c>
      <c r="E35">
        <v>8</v>
      </c>
      <c r="F35">
        <v>0.8</v>
      </c>
      <c r="G35">
        <v>699</v>
      </c>
      <c r="H35">
        <v>14.5</v>
      </c>
      <c r="I35">
        <v>9</v>
      </c>
      <c r="J35">
        <v>30</v>
      </c>
      <c r="K35">
        <v>0.34156213800000002</v>
      </c>
      <c r="L35" s="4">
        <v>130000000000000</v>
      </c>
      <c r="M35" s="4">
        <v>1.65E+16</v>
      </c>
      <c r="N35" s="4">
        <v>1.7E+16</v>
      </c>
      <c r="O35">
        <v>3.5049999999999999</v>
      </c>
      <c r="P35">
        <v>0.20499999999999999</v>
      </c>
      <c r="Q35">
        <v>0.79500000000000004</v>
      </c>
      <c r="R35">
        <v>7.139851663</v>
      </c>
      <c r="S35">
        <v>27.676276340000001</v>
      </c>
      <c r="X35">
        <v>0</v>
      </c>
      <c r="Y35">
        <v>1</v>
      </c>
      <c r="Z35">
        <v>53</v>
      </c>
      <c r="AA35">
        <v>81</v>
      </c>
      <c r="AB35">
        <v>750</v>
      </c>
      <c r="AD35">
        <v>11.9496</v>
      </c>
      <c r="AE35">
        <v>17.008299999999998</v>
      </c>
      <c r="AF35">
        <v>14.2468</v>
      </c>
      <c r="AG35">
        <v>57.630899999999997</v>
      </c>
      <c r="AI35">
        <v>180</v>
      </c>
      <c r="AK35">
        <v>33.4</v>
      </c>
      <c r="AL35">
        <v>4.4000000000000004</v>
      </c>
      <c r="AM35">
        <v>29</v>
      </c>
    </row>
    <row r="36" spans="1:39" x14ac:dyDescent="0.2">
      <c r="A36">
        <v>35</v>
      </c>
      <c r="B36" t="s">
        <v>2</v>
      </c>
      <c r="C36">
        <v>2</v>
      </c>
      <c r="D36" t="s">
        <v>8</v>
      </c>
      <c r="E36">
        <v>18.600000000000001</v>
      </c>
      <c r="F36">
        <v>1.6</v>
      </c>
      <c r="G36">
        <v>1148</v>
      </c>
      <c r="H36">
        <v>13.6</v>
      </c>
      <c r="I36">
        <v>15.6</v>
      </c>
      <c r="J36">
        <v>30</v>
      </c>
      <c r="K36">
        <v>0.34156213800000002</v>
      </c>
      <c r="L36" s="4">
        <v>540000000000000</v>
      </c>
      <c r="M36" s="4">
        <v>2.57E+16</v>
      </c>
      <c r="N36" s="4">
        <v>2.6E+16</v>
      </c>
      <c r="O36">
        <v>19.937999999999999</v>
      </c>
      <c r="P36">
        <v>0.72799999999999998</v>
      </c>
      <c r="Q36">
        <v>0.27200000000000002</v>
      </c>
      <c r="R36">
        <v>69.298475370000006</v>
      </c>
      <c r="S36">
        <v>25.933404629999998</v>
      </c>
      <c r="X36">
        <v>1</v>
      </c>
      <c r="Y36">
        <v>0</v>
      </c>
      <c r="Z36" t="s">
        <v>24</v>
      </c>
      <c r="AA36" t="s">
        <v>24</v>
      </c>
      <c r="AB36" t="s">
        <v>24</v>
      </c>
      <c r="AD36">
        <v>14.1281</v>
      </c>
      <c r="AE36">
        <v>24.6554</v>
      </c>
      <c r="AF36">
        <v>18.646100000000001</v>
      </c>
      <c r="AG36">
        <v>57.353499999999997</v>
      </c>
      <c r="AI36">
        <v>170</v>
      </c>
      <c r="AK36">
        <v>98.8</v>
      </c>
      <c r="AL36">
        <v>19.399999999999999</v>
      </c>
      <c r="AM36">
        <v>79.400000000000006</v>
      </c>
    </row>
    <row r="37" spans="1:39" x14ac:dyDescent="0.2">
      <c r="A37">
        <v>36</v>
      </c>
      <c r="B37" t="s">
        <v>2</v>
      </c>
      <c r="C37">
        <v>3</v>
      </c>
      <c r="D37" t="s">
        <v>11</v>
      </c>
      <c r="E37">
        <v>0.6</v>
      </c>
      <c r="F37">
        <v>0</v>
      </c>
      <c r="G37">
        <v>22</v>
      </c>
      <c r="H37">
        <v>15.1</v>
      </c>
      <c r="I37">
        <v>15.6</v>
      </c>
      <c r="J37">
        <v>30</v>
      </c>
      <c r="K37">
        <v>0.34156213800000002</v>
      </c>
      <c r="L37" s="4">
        <v>32000000000000</v>
      </c>
      <c r="M37" s="4">
        <v>1520000000000000</v>
      </c>
      <c r="N37" s="4">
        <v>1600000000000000</v>
      </c>
      <c r="O37">
        <v>1.766</v>
      </c>
      <c r="P37" t="s">
        <v>24</v>
      </c>
      <c r="Q37" t="s">
        <v>24</v>
      </c>
      <c r="R37" t="s">
        <v>24</v>
      </c>
      <c r="S37" t="s">
        <v>24</v>
      </c>
      <c r="X37">
        <v>0</v>
      </c>
      <c r="Y37">
        <v>1</v>
      </c>
      <c r="Z37">
        <v>53</v>
      </c>
      <c r="AA37">
        <v>82</v>
      </c>
      <c r="AB37">
        <v>779</v>
      </c>
      <c r="AD37">
        <v>14.342700000000001</v>
      </c>
      <c r="AE37">
        <v>25.5947</v>
      </c>
      <c r="AF37">
        <v>16.247399999999999</v>
      </c>
      <c r="AG37">
        <v>73.708100000000002</v>
      </c>
      <c r="AI37">
        <v>130</v>
      </c>
      <c r="AK37">
        <v>29.5</v>
      </c>
      <c r="AL37">
        <v>0.8</v>
      </c>
      <c r="AM37">
        <v>28.7</v>
      </c>
    </row>
    <row r="38" spans="1:39" x14ac:dyDescent="0.2">
      <c r="A38">
        <v>37</v>
      </c>
      <c r="B38" t="s">
        <v>2</v>
      </c>
      <c r="C38">
        <v>3</v>
      </c>
      <c r="D38" t="s">
        <v>11</v>
      </c>
      <c r="E38">
        <v>0.6</v>
      </c>
      <c r="F38">
        <v>0</v>
      </c>
      <c r="G38">
        <v>22</v>
      </c>
      <c r="H38">
        <v>15.1</v>
      </c>
      <c r="I38">
        <v>17.899999999999999</v>
      </c>
      <c r="J38">
        <v>30</v>
      </c>
      <c r="K38">
        <v>0.34156213800000002</v>
      </c>
      <c r="L38" s="4">
        <v>19000000000000</v>
      </c>
      <c r="M38" s="4">
        <v>827000000000000</v>
      </c>
      <c r="N38" s="4">
        <v>850000000000000</v>
      </c>
      <c r="O38">
        <v>1.7789999999999999</v>
      </c>
      <c r="P38">
        <v>0.73099999999999998</v>
      </c>
      <c r="Q38">
        <v>0.26900000000000002</v>
      </c>
      <c r="R38">
        <v>0.36165238100000002</v>
      </c>
      <c r="S38">
        <v>0.13309441899999999</v>
      </c>
      <c r="X38">
        <v>0</v>
      </c>
      <c r="Y38">
        <v>1</v>
      </c>
      <c r="Z38">
        <v>52</v>
      </c>
      <c r="AA38">
        <v>82</v>
      </c>
      <c r="AB38">
        <v>759</v>
      </c>
      <c r="AD38">
        <v>12.5916</v>
      </c>
      <c r="AE38">
        <v>54.727899999999998</v>
      </c>
      <c r="AF38">
        <v>15.2187</v>
      </c>
      <c r="AG38">
        <v>38.843800000000002</v>
      </c>
      <c r="AI38">
        <v>110</v>
      </c>
      <c r="AK38">
        <v>0.5</v>
      </c>
      <c r="AL38">
        <v>0.1</v>
      </c>
      <c r="AM38">
        <v>0.4</v>
      </c>
    </row>
    <row r="39" spans="1:39" x14ac:dyDescent="0.2">
      <c r="A39">
        <v>38</v>
      </c>
      <c r="B39" t="s">
        <v>2</v>
      </c>
      <c r="C39">
        <v>2</v>
      </c>
      <c r="D39" t="s">
        <v>8</v>
      </c>
      <c r="E39">
        <v>18.600000000000001</v>
      </c>
      <c r="F39">
        <v>1.6</v>
      </c>
      <c r="G39">
        <v>1148</v>
      </c>
      <c r="H39">
        <v>13.6</v>
      </c>
      <c r="I39">
        <v>-0.1</v>
      </c>
      <c r="J39">
        <v>30</v>
      </c>
      <c r="K39">
        <v>0.34156213800000002</v>
      </c>
      <c r="L39" s="4">
        <v>630000000000000</v>
      </c>
      <c r="M39" s="4">
        <v>2.76E+16</v>
      </c>
      <c r="N39" s="4">
        <v>2.8E+16</v>
      </c>
      <c r="O39">
        <v>21.81</v>
      </c>
      <c r="P39">
        <v>0.81</v>
      </c>
      <c r="Q39">
        <v>0.19</v>
      </c>
      <c r="R39">
        <v>67.668122580000002</v>
      </c>
      <c r="S39">
        <v>15.860277419999999</v>
      </c>
      <c r="X39">
        <v>1</v>
      </c>
      <c r="Y39">
        <v>0</v>
      </c>
      <c r="Z39" t="s">
        <v>24</v>
      </c>
      <c r="AA39" t="s">
        <v>24</v>
      </c>
      <c r="AB39" t="s">
        <v>24</v>
      </c>
      <c r="AD39">
        <v>13.779500000000001</v>
      </c>
      <c r="AE39">
        <v>24.523599999999998</v>
      </c>
      <c r="AF39">
        <v>18.2575</v>
      </c>
      <c r="AG39">
        <v>56.4086</v>
      </c>
      <c r="AI39">
        <v>180</v>
      </c>
      <c r="AK39">
        <v>84</v>
      </c>
      <c r="AL39">
        <v>14.4</v>
      </c>
      <c r="AM39">
        <v>69.599999999999994</v>
      </c>
    </row>
    <row r="40" spans="1:39" x14ac:dyDescent="0.2">
      <c r="A40">
        <v>39</v>
      </c>
      <c r="B40" t="s">
        <v>2</v>
      </c>
      <c r="C40">
        <v>3</v>
      </c>
      <c r="D40" t="s">
        <v>11</v>
      </c>
      <c r="E40">
        <v>0.6</v>
      </c>
      <c r="F40">
        <v>0</v>
      </c>
      <c r="G40">
        <v>22</v>
      </c>
      <c r="H40">
        <v>15.1</v>
      </c>
      <c r="I40">
        <v>0</v>
      </c>
      <c r="J40">
        <v>30</v>
      </c>
      <c r="K40">
        <v>0.34156213800000002</v>
      </c>
      <c r="L40" s="4">
        <v>65000000000000</v>
      </c>
      <c r="M40" s="4">
        <v>1260000000000000</v>
      </c>
      <c r="N40" s="4">
        <v>1300000000000000</v>
      </c>
      <c r="O40">
        <v>2.5939999999999999</v>
      </c>
      <c r="P40" t="s">
        <v>24</v>
      </c>
      <c r="Q40" t="s">
        <v>24</v>
      </c>
      <c r="R40" t="s">
        <v>24</v>
      </c>
      <c r="S40" t="s">
        <v>24</v>
      </c>
      <c r="X40">
        <v>0</v>
      </c>
      <c r="Y40">
        <v>1</v>
      </c>
      <c r="Z40">
        <v>54</v>
      </c>
      <c r="AA40">
        <v>81</v>
      </c>
      <c r="AB40">
        <v>758</v>
      </c>
      <c r="AD40">
        <v>14.0886</v>
      </c>
      <c r="AE40">
        <v>37.898200000000003</v>
      </c>
      <c r="AF40">
        <v>15.622999999999999</v>
      </c>
      <c r="AG40">
        <v>59.223100000000002</v>
      </c>
      <c r="AI40">
        <v>140</v>
      </c>
      <c r="AK40">
        <v>6.4</v>
      </c>
      <c r="AL40">
        <v>0.9</v>
      </c>
      <c r="AM40">
        <v>5.5</v>
      </c>
    </row>
    <row r="41" spans="1:39" x14ac:dyDescent="0.2">
      <c r="A41">
        <v>40</v>
      </c>
      <c r="B41" t="s">
        <v>2</v>
      </c>
      <c r="C41">
        <v>2</v>
      </c>
      <c r="D41" t="s">
        <v>8</v>
      </c>
      <c r="E41">
        <v>18.600000000000001</v>
      </c>
      <c r="F41">
        <v>1.6</v>
      </c>
      <c r="G41">
        <v>1148</v>
      </c>
      <c r="H41">
        <v>13.6</v>
      </c>
      <c r="I41">
        <v>9.3000000000000007</v>
      </c>
      <c r="J41">
        <v>30</v>
      </c>
      <c r="K41">
        <v>0.34156213800000002</v>
      </c>
      <c r="L41" s="4">
        <v>560000000000000</v>
      </c>
      <c r="M41" s="4">
        <v>2.55E+16</v>
      </c>
      <c r="N41" s="4">
        <v>2.6E+16</v>
      </c>
      <c r="O41">
        <v>20.332000000000001</v>
      </c>
      <c r="P41" t="s">
        <v>24</v>
      </c>
      <c r="Q41" t="s">
        <v>24</v>
      </c>
      <c r="R41" t="s">
        <v>24</v>
      </c>
      <c r="S41" t="s">
        <v>24</v>
      </c>
      <c r="X41">
        <v>1</v>
      </c>
      <c r="Y41">
        <v>0</v>
      </c>
      <c r="Z41" t="s">
        <v>24</v>
      </c>
      <c r="AA41" t="s">
        <v>24</v>
      </c>
      <c r="AB41" t="s">
        <v>24</v>
      </c>
      <c r="AD41">
        <v>13.7392</v>
      </c>
      <c r="AE41">
        <v>25.1812</v>
      </c>
      <c r="AF41">
        <v>14.972099999999999</v>
      </c>
      <c r="AG41">
        <v>55.921799999999998</v>
      </c>
      <c r="AI41">
        <v>160</v>
      </c>
      <c r="AK41">
        <v>89.7</v>
      </c>
      <c r="AL41">
        <v>15.5</v>
      </c>
      <c r="AM41">
        <v>74.2</v>
      </c>
    </row>
    <row r="42" spans="1:39" x14ac:dyDescent="0.2">
      <c r="A42">
        <v>41</v>
      </c>
      <c r="B42" t="s">
        <v>2</v>
      </c>
      <c r="C42">
        <v>3</v>
      </c>
      <c r="D42" t="s">
        <v>13</v>
      </c>
      <c r="E42">
        <v>9.1</v>
      </c>
      <c r="F42">
        <v>0.8</v>
      </c>
      <c r="G42">
        <v>658</v>
      </c>
      <c r="H42">
        <v>14.3</v>
      </c>
      <c r="I42">
        <v>9.5</v>
      </c>
      <c r="J42">
        <v>30</v>
      </c>
      <c r="K42">
        <v>0.34156213800000002</v>
      </c>
      <c r="L42" s="4">
        <v>160000000000000</v>
      </c>
      <c r="M42" s="4">
        <v>1.36E+16</v>
      </c>
      <c r="N42" s="4">
        <v>1.4E+16</v>
      </c>
      <c r="O42">
        <v>3.6139999999999999</v>
      </c>
      <c r="P42" t="s">
        <v>24</v>
      </c>
      <c r="Q42" t="s">
        <v>24</v>
      </c>
      <c r="R42" t="s">
        <v>24</v>
      </c>
      <c r="S42" t="s">
        <v>24</v>
      </c>
      <c r="X42">
        <v>0</v>
      </c>
      <c r="Y42">
        <v>1</v>
      </c>
      <c r="Z42">
        <v>83</v>
      </c>
      <c r="AA42">
        <v>94</v>
      </c>
      <c r="AB42">
        <v>975</v>
      </c>
      <c r="AD42">
        <v>12.1511</v>
      </c>
      <c r="AE42">
        <v>20.122800000000002</v>
      </c>
      <c r="AF42">
        <v>14.428699999999999</v>
      </c>
      <c r="AG42">
        <v>59.046599999999998</v>
      </c>
      <c r="AI42">
        <v>140</v>
      </c>
      <c r="AK42">
        <v>45.4</v>
      </c>
      <c r="AL42">
        <v>7.7</v>
      </c>
      <c r="AM42">
        <v>37.700000000000003</v>
      </c>
    </row>
    <row r="43" spans="1:39" x14ac:dyDescent="0.2">
      <c r="A43">
        <v>42</v>
      </c>
      <c r="B43" t="s">
        <v>2</v>
      </c>
      <c r="C43">
        <v>3</v>
      </c>
      <c r="D43" t="s">
        <v>13</v>
      </c>
      <c r="E43">
        <v>9.1</v>
      </c>
      <c r="F43">
        <v>0.8</v>
      </c>
      <c r="G43">
        <v>658</v>
      </c>
      <c r="H43">
        <v>14.3</v>
      </c>
      <c r="I43">
        <v>12.9</v>
      </c>
      <c r="J43">
        <v>30</v>
      </c>
      <c r="K43">
        <v>0.34156213800000002</v>
      </c>
      <c r="L43" s="4">
        <v>140000000000000</v>
      </c>
      <c r="M43" s="4">
        <v>1.41E+16</v>
      </c>
      <c r="N43" s="4">
        <v>1.4E+16</v>
      </c>
      <c r="O43">
        <v>3.786</v>
      </c>
      <c r="P43" t="s">
        <v>24</v>
      </c>
      <c r="Q43" t="s">
        <v>24</v>
      </c>
      <c r="R43" t="s">
        <v>24</v>
      </c>
      <c r="S43" t="s">
        <v>24</v>
      </c>
      <c r="X43">
        <v>0</v>
      </c>
      <c r="Y43">
        <v>1</v>
      </c>
      <c r="Z43">
        <v>20</v>
      </c>
      <c r="AA43">
        <v>58</v>
      </c>
      <c r="AB43">
        <v>745</v>
      </c>
      <c r="AD43">
        <v>11.574999999999999</v>
      </c>
      <c r="AE43">
        <v>17.3063</v>
      </c>
      <c r="AF43">
        <v>13.589700000000001</v>
      </c>
      <c r="AG43">
        <v>62.021999999999998</v>
      </c>
      <c r="AI43">
        <v>150</v>
      </c>
      <c r="AK43">
        <v>32.1</v>
      </c>
      <c r="AL43">
        <v>3.9</v>
      </c>
      <c r="AM43">
        <v>28.2</v>
      </c>
    </row>
    <row r="44" spans="1:39" x14ac:dyDescent="0.2">
      <c r="A44">
        <v>43</v>
      </c>
      <c r="B44" t="s">
        <v>2</v>
      </c>
      <c r="C44">
        <v>3</v>
      </c>
      <c r="D44" t="s">
        <v>8</v>
      </c>
      <c r="E44">
        <v>18.600000000000001</v>
      </c>
      <c r="F44">
        <v>1.6</v>
      </c>
      <c r="G44">
        <v>1148</v>
      </c>
      <c r="H44">
        <v>13.6</v>
      </c>
      <c r="I44">
        <v>19.899999999999999</v>
      </c>
      <c r="J44">
        <v>30</v>
      </c>
      <c r="K44">
        <v>0.34156213800000002</v>
      </c>
      <c r="L44" s="4">
        <v>400000000000000</v>
      </c>
      <c r="M44" s="4">
        <v>2.58E+16</v>
      </c>
      <c r="N44" s="4">
        <v>2.6E+16</v>
      </c>
      <c r="O44">
        <v>10.731</v>
      </c>
      <c r="P44" t="s">
        <v>24</v>
      </c>
      <c r="Q44" t="s">
        <v>24</v>
      </c>
      <c r="R44" t="s">
        <v>24</v>
      </c>
      <c r="S44" t="s">
        <v>24</v>
      </c>
      <c r="X44">
        <v>0</v>
      </c>
      <c r="Y44">
        <v>1</v>
      </c>
      <c r="Z44">
        <v>53</v>
      </c>
      <c r="AA44">
        <v>81</v>
      </c>
      <c r="AB44">
        <v>768</v>
      </c>
      <c r="AD44">
        <v>12.4818</v>
      </c>
      <c r="AE44">
        <v>18.8644</v>
      </c>
      <c r="AF44">
        <v>15.674200000000001</v>
      </c>
      <c r="AG44">
        <v>54.471499999999999</v>
      </c>
      <c r="AI44">
        <v>150</v>
      </c>
      <c r="AK44">
        <v>66.2</v>
      </c>
      <c r="AL44">
        <v>8.3000000000000007</v>
      </c>
      <c r="AM44">
        <v>57.9</v>
      </c>
    </row>
    <row r="45" spans="1:39" x14ac:dyDescent="0.2">
      <c r="A45">
        <v>44</v>
      </c>
      <c r="B45" t="s">
        <v>3</v>
      </c>
      <c r="C45">
        <v>2</v>
      </c>
      <c r="D45" t="s">
        <v>8</v>
      </c>
      <c r="E45">
        <v>21.8</v>
      </c>
      <c r="F45">
        <v>1.3</v>
      </c>
      <c r="G45">
        <v>188</v>
      </c>
      <c r="H45">
        <v>13.5</v>
      </c>
      <c r="I45">
        <v>13.3</v>
      </c>
      <c r="J45">
        <v>30</v>
      </c>
      <c r="K45">
        <v>0.34156213800000002</v>
      </c>
      <c r="L45" s="4">
        <v>435000000000000</v>
      </c>
      <c r="M45" s="4">
        <v>6780000000000000</v>
      </c>
      <c r="N45" s="4">
        <v>7220000000000000</v>
      </c>
      <c r="O45">
        <v>14.763999999999999</v>
      </c>
      <c r="P45">
        <v>0.81899999999999995</v>
      </c>
      <c r="Q45">
        <v>0.18099999999999999</v>
      </c>
      <c r="R45">
        <v>16.413061549999998</v>
      </c>
      <c r="S45">
        <v>3.628150448</v>
      </c>
      <c r="X45">
        <v>1</v>
      </c>
      <c r="Y45">
        <v>0</v>
      </c>
      <c r="Z45" t="s">
        <v>24</v>
      </c>
      <c r="AA45" t="s">
        <v>24</v>
      </c>
      <c r="AB45" t="s">
        <v>24</v>
      </c>
      <c r="AD45">
        <v>12.716699999999999</v>
      </c>
      <c r="AE45">
        <v>33.202199999999998</v>
      </c>
      <c r="AF45">
        <v>20.308700000000002</v>
      </c>
      <c r="AG45">
        <v>54.203899999999997</v>
      </c>
      <c r="AI45">
        <v>200</v>
      </c>
      <c r="AK45">
        <v>25.359000000000002</v>
      </c>
      <c r="AL45">
        <v>8.6579899999999999</v>
      </c>
      <c r="AM45">
        <v>16.7</v>
      </c>
    </row>
    <row r="46" spans="1:39" x14ac:dyDescent="0.2">
      <c r="A46">
        <v>45</v>
      </c>
      <c r="B46" t="s">
        <v>3</v>
      </c>
      <c r="C46">
        <v>3</v>
      </c>
      <c r="D46" t="s">
        <v>8</v>
      </c>
      <c r="E46">
        <v>21.8</v>
      </c>
      <c r="F46">
        <v>1.3</v>
      </c>
      <c r="G46">
        <v>188</v>
      </c>
      <c r="H46">
        <v>13.5</v>
      </c>
      <c r="I46">
        <v>13.3</v>
      </c>
      <c r="J46">
        <v>30</v>
      </c>
      <c r="K46">
        <v>0.34156213800000002</v>
      </c>
      <c r="L46" s="4">
        <v>338000000000000</v>
      </c>
      <c r="M46" s="4">
        <v>3700000000000000</v>
      </c>
      <c r="N46" s="4">
        <v>4040000000000000</v>
      </c>
      <c r="O46">
        <v>9.1159999999999997</v>
      </c>
      <c r="P46">
        <v>0.79600000000000004</v>
      </c>
      <c r="Q46">
        <v>0.20399999999999999</v>
      </c>
      <c r="R46">
        <v>7.2843690319999999</v>
      </c>
      <c r="S46">
        <v>1.8703109680000001</v>
      </c>
      <c r="X46">
        <v>0</v>
      </c>
      <c r="Y46">
        <v>1</v>
      </c>
      <c r="Z46" t="s">
        <v>24</v>
      </c>
      <c r="AA46" t="s">
        <v>24</v>
      </c>
      <c r="AB46" t="s">
        <v>24</v>
      </c>
      <c r="AD46">
        <v>11.0619</v>
      </c>
      <c r="AE46">
        <v>35.304000000000002</v>
      </c>
      <c r="AF46">
        <v>19.084900000000001</v>
      </c>
      <c r="AG46">
        <v>51.186500000000002</v>
      </c>
      <c r="AI46">
        <v>150</v>
      </c>
      <c r="AK46">
        <v>12.238</v>
      </c>
      <c r="AL46">
        <v>4.6090999999999998</v>
      </c>
      <c r="AM46">
        <v>7.6</v>
      </c>
    </row>
    <row r="47" spans="1:39" x14ac:dyDescent="0.2">
      <c r="A47">
        <v>46</v>
      </c>
      <c r="B47" t="s">
        <v>3</v>
      </c>
      <c r="C47">
        <v>3</v>
      </c>
      <c r="D47" t="s">
        <v>8</v>
      </c>
      <c r="E47">
        <v>21.8</v>
      </c>
      <c r="F47">
        <v>1.3</v>
      </c>
      <c r="G47">
        <v>188</v>
      </c>
      <c r="H47">
        <v>13.5</v>
      </c>
      <c r="I47">
        <v>17.2</v>
      </c>
      <c r="J47">
        <v>30</v>
      </c>
      <c r="K47">
        <v>0.34156213800000002</v>
      </c>
      <c r="L47" s="4">
        <v>262000000000000</v>
      </c>
      <c r="M47" s="4">
        <v>2780000000000000</v>
      </c>
      <c r="N47" s="4">
        <v>3040000000000000</v>
      </c>
      <c r="O47">
        <v>4.9859999999999998</v>
      </c>
      <c r="P47">
        <v>0.77</v>
      </c>
      <c r="Q47">
        <v>0.23</v>
      </c>
      <c r="R47">
        <v>3.5998776549999998</v>
      </c>
      <c r="S47">
        <v>1.0745903450000001</v>
      </c>
      <c r="X47">
        <v>0</v>
      </c>
      <c r="Y47">
        <v>1</v>
      </c>
      <c r="Z47" t="s">
        <v>24</v>
      </c>
      <c r="AA47" t="s">
        <v>24</v>
      </c>
      <c r="AB47" t="s">
        <v>24</v>
      </c>
      <c r="AD47">
        <v>10.7904</v>
      </c>
      <c r="AE47">
        <v>34.292999999999999</v>
      </c>
      <c r="AF47">
        <v>18.4343</v>
      </c>
      <c r="AG47">
        <v>54.555700000000002</v>
      </c>
      <c r="AI47">
        <v>140</v>
      </c>
      <c r="AK47">
        <v>6.7998200000000004</v>
      </c>
      <c r="AL47">
        <v>2.9044300000000001</v>
      </c>
      <c r="AM47">
        <v>3.9</v>
      </c>
    </row>
    <row r="48" spans="1:39" x14ac:dyDescent="0.2">
      <c r="A48">
        <v>47</v>
      </c>
      <c r="B48" t="s">
        <v>3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>
        <v>30</v>
      </c>
      <c r="K48">
        <v>0.34156213800000002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X48" t="s">
        <v>24</v>
      </c>
      <c r="Y48" t="s">
        <v>24</v>
      </c>
      <c r="Z48" t="s">
        <v>24</v>
      </c>
      <c r="AA48" t="s">
        <v>24</v>
      </c>
      <c r="AB48" t="s">
        <v>24</v>
      </c>
      <c r="AD48">
        <v>18.039300000000001</v>
      </c>
      <c r="AE48">
        <v>51.506500000000003</v>
      </c>
      <c r="AF48">
        <v>15.525700000000001</v>
      </c>
      <c r="AG48">
        <v>40.706000000000003</v>
      </c>
      <c r="AI48" t="s">
        <v>24</v>
      </c>
      <c r="AK48" t="s">
        <v>24</v>
      </c>
      <c r="AL48" t="s">
        <v>24</v>
      </c>
      <c r="AM48" t="s">
        <v>24</v>
      </c>
    </row>
    <row r="49" spans="1:39" x14ac:dyDescent="0.2">
      <c r="A49">
        <v>48</v>
      </c>
      <c r="B49" t="s">
        <v>3</v>
      </c>
      <c r="C49">
        <v>3</v>
      </c>
      <c r="D49" t="s">
        <v>8</v>
      </c>
      <c r="E49">
        <v>21.8</v>
      </c>
      <c r="F49">
        <v>1.3</v>
      </c>
      <c r="G49">
        <v>188</v>
      </c>
      <c r="H49">
        <v>13.5</v>
      </c>
      <c r="I49">
        <v>17.2</v>
      </c>
      <c r="J49">
        <v>30</v>
      </c>
      <c r="K49">
        <v>0.34156213800000002</v>
      </c>
      <c r="L49" s="4">
        <v>286000000000000</v>
      </c>
      <c r="M49" s="4">
        <v>2090000000000000</v>
      </c>
      <c r="N49" s="4">
        <v>2380000000000000</v>
      </c>
      <c r="O49">
        <v>7.5090000000000003</v>
      </c>
      <c r="P49">
        <v>0.71699999999999997</v>
      </c>
      <c r="Q49">
        <v>0.28299999999999997</v>
      </c>
      <c r="R49">
        <v>6.1435654550000001</v>
      </c>
      <c r="S49">
        <v>2.422814545</v>
      </c>
      <c r="X49">
        <v>0</v>
      </c>
      <c r="Y49">
        <v>1</v>
      </c>
      <c r="Z49" t="s">
        <v>24</v>
      </c>
      <c r="AA49" t="s">
        <v>24</v>
      </c>
      <c r="AB49" t="s">
        <v>24</v>
      </c>
      <c r="AD49">
        <v>11.1776</v>
      </c>
      <c r="AE49">
        <v>56.392600000000002</v>
      </c>
      <c r="AF49">
        <v>18.814900000000002</v>
      </c>
      <c r="AG49">
        <v>51.429400000000001</v>
      </c>
      <c r="AI49">
        <v>160</v>
      </c>
      <c r="AK49">
        <v>10.861800000000001</v>
      </c>
      <c r="AL49">
        <v>3.72315</v>
      </c>
      <c r="AM49">
        <v>7.1</v>
      </c>
    </row>
    <row r="50" spans="1:39" x14ac:dyDescent="0.2">
      <c r="A50">
        <v>49</v>
      </c>
      <c r="B50" t="s">
        <v>3</v>
      </c>
      <c r="C50">
        <v>3</v>
      </c>
      <c r="D50" t="s">
        <v>8</v>
      </c>
      <c r="E50">
        <v>21.8</v>
      </c>
      <c r="F50">
        <v>1.3</v>
      </c>
      <c r="G50">
        <v>188</v>
      </c>
      <c r="H50">
        <v>13.5</v>
      </c>
      <c r="I50">
        <v>16.7</v>
      </c>
      <c r="J50">
        <v>30</v>
      </c>
      <c r="K50">
        <v>0.34156213800000002</v>
      </c>
      <c r="L50" s="4">
        <v>262000000000000</v>
      </c>
      <c r="M50" s="4">
        <v>3700000000000000</v>
      </c>
      <c r="N50" s="4">
        <v>3960000000000000</v>
      </c>
      <c r="O50">
        <v>7.968</v>
      </c>
      <c r="P50">
        <v>0.69199999999999995</v>
      </c>
      <c r="Q50">
        <v>0.308</v>
      </c>
      <c r="R50">
        <v>5.9219099740000001</v>
      </c>
      <c r="S50">
        <v>2.6403420259999999</v>
      </c>
      <c r="X50">
        <v>0</v>
      </c>
      <c r="Y50">
        <v>1</v>
      </c>
      <c r="Z50" t="s">
        <v>24</v>
      </c>
      <c r="AA50" t="s">
        <v>24</v>
      </c>
      <c r="AB50" t="s">
        <v>24</v>
      </c>
      <c r="AD50">
        <v>10.6053</v>
      </c>
      <c r="AE50">
        <v>46.774500000000003</v>
      </c>
      <c r="AF50">
        <v>18.151700000000002</v>
      </c>
      <c r="AG50">
        <v>46.7896</v>
      </c>
      <c r="AI50">
        <v>120</v>
      </c>
      <c r="AK50">
        <v>9.8071699999999993</v>
      </c>
      <c r="AL50">
        <v>2.6719599999999999</v>
      </c>
      <c r="AM50">
        <v>7.1</v>
      </c>
    </row>
    <row r="51" spans="1:39" x14ac:dyDescent="0.2">
      <c r="A51">
        <v>50</v>
      </c>
      <c r="B51" t="s">
        <v>3</v>
      </c>
      <c r="C51">
        <v>2</v>
      </c>
      <c r="D51" t="s">
        <v>8</v>
      </c>
      <c r="E51">
        <v>21.8</v>
      </c>
      <c r="F51">
        <v>1.3</v>
      </c>
      <c r="G51">
        <v>188</v>
      </c>
      <c r="H51">
        <v>13.5</v>
      </c>
      <c r="I51">
        <v>8.9</v>
      </c>
      <c r="J51">
        <v>30</v>
      </c>
      <c r="K51">
        <v>0.34156213800000002</v>
      </c>
      <c r="L51" s="4">
        <v>446000000000000</v>
      </c>
      <c r="M51" s="4">
        <v>6170000000000000</v>
      </c>
      <c r="N51" s="4">
        <v>6620000000000000</v>
      </c>
      <c r="O51">
        <v>18.984999999999999</v>
      </c>
      <c r="P51">
        <v>0.73699999999999999</v>
      </c>
      <c r="Q51">
        <v>0.26300000000000001</v>
      </c>
      <c r="R51">
        <v>14.801055740000001</v>
      </c>
      <c r="S51">
        <v>5.2938082580000003</v>
      </c>
      <c r="X51">
        <v>1</v>
      </c>
      <c r="Y51">
        <v>0</v>
      </c>
      <c r="Z51" t="s">
        <v>24</v>
      </c>
      <c r="AA51" t="s">
        <v>24</v>
      </c>
      <c r="AB51" t="s">
        <v>24</v>
      </c>
      <c r="AD51">
        <v>12.2194</v>
      </c>
      <c r="AE51">
        <v>44.807400000000001</v>
      </c>
      <c r="AF51">
        <v>19.861999999999998</v>
      </c>
      <c r="AG51">
        <v>60.6783</v>
      </c>
      <c r="AI51">
        <v>155</v>
      </c>
      <c r="AK51">
        <v>25.693000000000001</v>
      </c>
      <c r="AL51">
        <v>8.9472799999999992</v>
      </c>
      <c r="AM51">
        <v>16.7</v>
      </c>
    </row>
    <row r="52" spans="1:39" x14ac:dyDescent="0.2">
      <c r="A52">
        <v>51</v>
      </c>
      <c r="B52" t="s">
        <v>3</v>
      </c>
      <c r="C52">
        <v>3</v>
      </c>
      <c r="D52" t="s">
        <v>15</v>
      </c>
      <c r="E52">
        <v>0.4</v>
      </c>
      <c r="F52">
        <v>0</v>
      </c>
      <c r="G52">
        <v>6</v>
      </c>
      <c r="H52">
        <v>15.3</v>
      </c>
      <c r="I52">
        <v>8.9</v>
      </c>
      <c r="J52">
        <v>30</v>
      </c>
      <c r="K52">
        <v>0.34156213800000002</v>
      </c>
      <c r="L52" s="4">
        <v>25100000000000</v>
      </c>
      <c r="M52" s="4">
        <v>1490000000000000</v>
      </c>
      <c r="N52" s="4">
        <v>1520000000000000</v>
      </c>
      <c r="O52">
        <v>4.0220000000000002</v>
      </c>
      <c r="P52">
        <v>0.70899999999999996</v>
      </c>
      <c r="Q52">
        <v>0.29099999999999998</v>
      </c>
      <c r="R52">
        <v>2.3673356760000002</v>
      </c>
      <c r="S52">
        <v>0.96948032399999995</v>
      </c>
      <c r="X52">
        <v>0</v>
      </c>
      <c r="Y52">
        <v>1</v>
      </c>
      <c r="Z52" t="s">
        <v>24</v>
      </c>
      <c r="AA52" t="s">
        <v>24</v>
      </c>
      <c r="AB52" t="s">
        <v>24</v>
      </c>
      <c r="AD52">
        <v>11.609400000000001</v>
      </c>
      <c r="AE52">
        <v>131.09200000000001</v>
      </c>
      <c r="AF52">
        <v>20.474699999999999</v>
      </c>
      <c r="AG52">
        <v>122.41</v>
      </c>
      <c r="AI52">
        <v>195</v>
      </c>
      <c r="AK52">
        <v>4.3583999999999996</v>
      </c>
      <c r="AL52">
        <v>1.57772</v>
      </c>
      <c r="AM52">
        <v>2.8</v>
      </c>
    </row>
    <row r="53" spans="1:39" x14ac:dyDescent="0.2">
      <c r="A53">
        <v>52</v>
      </c>
      <c r="B53" t="s">
        <v>3</v>
      </c>
      <c r="C53">
        <v>3</v>
      </c>
      <c r="D53" t="s">
        <v>15</v>
      </c>
      <c r="E53">
        <v>0.4</v>
      </c>
      <c r="F53">
        <v>0</v>
      </c>
      <c r="G53">
        <v>6</v>
      </c>
      <c r="H53">
        <v>15.3</v>
      </c>
      <c r="I53">
        <v>12.2</v>
      </c>
      <c r="J53">
        <v>30</v>
      </c>
      <c r="K53">
        <v>0.34156213800000002</v>
      </c>
      <c r="L53" s="4">
        <v>15600000000000</v>
      </c>
      <c r="M53" s="4">
        <v>1450000000000000</v>
      </c>
      <c r="N53" s="4">
        <v>1460000000000000</v>
      </c>
      <c r="O53">
        <v>2.7080000000000002</v>
      </c>
      <c r="P53">
        <v>0.66100000000000003</v>
      </c>
      <c r="Q53">
        <v>0.33900000000000002</v>
      </c>
      <c r="R53">
        <v>1.6982333999999999</v>
      </c>
      <c r="S53">
        <v>0.8720658</v>
      </c>
      <c r="X53">
        <v>0</v>
      </c>
      <c r="Y53">
        <v>1</v>
      </c>
      <c r="Z53" t="s">
        <v>24</v>
      </c>
      <c r="AA53" t="s">
        <v>24</v>
      </c>
      <c r="AB53" t="s">
        <v>24</v>
      </c>
      <c r="AD53">
        <v>10.1608</v>
      </c>
      <c r="AE53">
        <v>142.727</v>
      </c>
      <c r="AF53">
        <v>16.527899999999999</v>
      </c>
      <c r="AG53">
        <v>107.857</v>
      </c>
      <c r="AI53">
        <v>260</v>
      </c>
      <c r="AK53">
        <v>2.4070399999999998</v>
      </c>
      <c r="AL53">
        <v>0.26512400000000003</v>
      </c>
      <c r="AM53">
        <v>2.1</v>
      </c>
    </row>
    <row r="54" spans="1:39" x14ac:dyDescent="0.2">
      <c r="A54">
        <v>53</v>
      </c>
      <c r="B54" t="s">
        <v>3</v>
      </c>
      <c r="C54">
        <v>2</v>
      </c>
      <c r="D54" t="s">
        <v>8</v>
      </c>
      <c r="E54">
        <v>21.8</v>
      </c>
      <c r="F54">
        <v>1.3</v>
      </c>
      <c r="G54">
        <v>188</v>
      </c>
      <c r="H54">
        <v>13.5</v>
      </c>
      <c r="I54">
        <v>16.7</v>
      </c>
      <c r="J54">
        <v>30</v>
      </c>
      <c r="K54">
        <v>0.34156213800000002</v>
      </c>
      <c r="L54" s="4">
        <v>404000000000000</v>
      </c>
      <c r="M54" s="4">
        <v>4890000000000000</v>
      </c>
      <c r="N54" s="4">
        <v>5300000000000000</v>
      </c>
      <c r="O54">
        <v>13.756</v>
      </c>
      <c r="P54">
        <v>0.67300000000000004</v>
      </c>
      <c r="Q54">
        <v>0.32700000000000001</v>
      </c>
      <c r="R54">
        <v>11.870269710000001</v>
      </c>
      <c r="S54">
        <v>5.7552822859999999</v>
      </c>
      <c r="X54">
        <v>1</v>
      </c>
      <c r="Y54">
        <v>0</v>
      </c>
      <c r="Z54" t="s">
        <v>24</v>
      </c>
      <c r="AA54" t="s">
        <v>24</v>
      </c>
      <c r="AB54" t="s">
        <v>24</v>
      </c>
      <c r="AD54">
        <v>11.8339</v>
      </c>
      <c r="AE54">
        <v>45.246200000000002</v>
      </c>
      <c r="AF54">
        <v>19.5654</v>
      </c>
      <c r="AG54">
        <v>54.505400000000002</v>
      </c>
      <c r="AI54">
        <v>135</v>
      </c>
      <c r="AK54">
        <v>22.194700000000001</v>
      </c>
      <c r="AL54">
        <v>7.5067399999999997</v>
      </c>
      <c r="AM54">
        <v>14.7</v>
      </c>
    </row>
    <row r="55" spans="1:39" x14ac:dyDescent="0.2">
      <c r="A55">
        <v>54</v>
      </c>
      <c r="B55" t="s">
        <v>3</v>
      </c>
      <c r="C55">
        <v>3</v>
      </c>
      <c r="D55" t="s">
        <v>15</v>
      </c>
      <c r="E55">
        <v>0.4</v>
      </c>
      <c r="F55">
        <v>0</v>
      </c>
      <c r="G55">
        <v>6</v>
      </c>
      <c r="H55">
        <v>15.3</v>
      </c>
      <c r="I55">
        <v>17.2</v>
      </c>
      <c r="J55">
        <v>30</v>
      </c>
      <c r="K55">
        <v>0.34156213800000002</v>
      </c>
      <c r="L55" s="4">
        <v>19000000000000</v>
      </c>
      <c r="M55" s="4">
        <v>1100000000000000</v>
      </c>
      <c r="N55" s="4">
        <v>1120000000000000</v>
      </c>
      <c r="O55">
        <v>5.8049999999999997</v>
      </c>
      <c r="P55">
        <v>0.67200000000000004</v>
      </c>
      <c r="Q55">
        <v>0.32800000000000001</v>
      </c>
      <c r="R55">
        <v>0.91610319399999995</v>
      </c>
      <c r="S55">
        <v>0.44771960599999999</v>
      </c>
      <c r="X55">
        <v>0</v>
      </c>
      <c r="Y55">
        <v>1</v>
      </c>
      <c r="Z55" t="s">
        <v>24</v>
      </c>
      <c r="AA55" t="s">
        <v>24</v>
      </c>
      <c r="AB55" t="s">
        <v>24</v>
      </c>
      <c r="AD55">
        <v>10.709</v>
      </c>
      <c r="AE55">
        <v>47.186700000000002</v>
      </c>
      <c r="AF55">
        <v>14.569800000000001</v>
      </c>
      <c r="AG55">
        <v>48.674500000000002</v>
      </c>
      <c r="AI55">
        <v>120</v>
      </c>
      <c r="AK55">
        <v>1.3055000000000001</v>
      </c>
      <c r="AL55">
        <v>0.16898099999999999</v>
      </c>
      <c r="AM55">
        <v>1.1000000000000001</v>
      </c>
    </row>
    <row r="56" spans="1:39" x14ac:dyDescent="0.2">
      <c r="A56">
        <v>55</v>
      </c>
      <c r="B56" t="s">
        <v>3</v>
      </c>
      <c r="C56">
        <v>3</v>
      </c>
      <c r="D56" t="s">
        <v>15</v>
      </c>
      <c r="E56">
        <v>0.4</v>
      </c>
      <c r="F56">
        <v>0</v>
      </c>
      <c r="G56">
        <v>6</v>
      </c>
      <c r="H56">
        <v>15.3</v>
      </c>
      <c r="I56">
        <v>19.399999999999999</v>
      </c>
      <c r="J56">
        <v>30</v>
      </c>
      <c r="K56">
        <v>0.34156213800000002</v>
      </c>
      <c r="L56" s="4">
        <v>14100000000000</v>
      </c>
      <c r="M56" s="4">
        <v>586000000000000</v>
      </c>
      <c r="N56" s="4">
        <v>600000000000000</v>
      </c>
      <c r="O56">
        <v>3.3420000000000001</v>
      </c>
      <c r="P56">
        <v>0.71199999999999997</v>
      </c>
      <c r="Q56">
        <v>0.28799999999999998</v>
      </c>
      <c r="R56">
        <v>0.60801616199999997</v>
      </c>
      <c r="S56">
        <v>0.246493038</v>
      </c>
      <c r="X56">
        <v>0</v>
      </c>
      <c r="Y56">
        <v>1</v>
      </c>
      <c r="Z56" t="s">
        <v>24</v>
      </c>
      <c r="AA56" t="s">
        <v>24</v>
      </c>
      <c r="AB56" t="s">
        <v>24</v>
      </c>
      <c r="AD56">
        <v>10.2438</v>
      </c>
      <c r="AE56">
        <v>86.394999999999996</v>
      </c>
      <c r="AF56">
        <v>17.185099999999998</v>
      </c>
      <c r="AG56">
        <v>49.047800000000002</v>
      </c>
      <c r="AI56">
        <v>145</v>
      </c>
      <c r="AK56">
        <v>0.81976099999999996</v>
      </c>
      <c r="AL56">
        <v>0.10767</v>
      </c>
      <c r="AM56">
        <v>0.7</v>
      </c>
    </row>
    <row r="57" spans="1:39" x14ac:dyDescent="0.2">
      <c r="A57">
        <v>56</v>
      </c>
      <c r="B57" t="s">
        <v>3</v>
      </c>
      <c r="C57">
        <v>2</v>
      </c>
      <c r="D57" t="s">
        <v>8</v>
      </c>
      <c r="E57">
        <v>21.8</v>
      </c>
      <c r="F57">
        <v>1.3</v>
      </c>
      <c r="G57">
        <v>188</v>
      </c>
      <c r="H57">
        <v>13.5</v>
      </c>
      <c r="I57">
        <v>22.2</v>
      </c>
      <c r="J57">
        <v>30</v>
      </c>
      <c r="K57">
        <v>0.34156213800000002</v>
      </c>
      <c r="L57" s="4">
        <v>401000000000000</v>
      </c>
      <c r="M57" s="4">
        <v>3280000000000000</v>
      </c>
      <c r="N57" s="4">
        <v>3680000000000000</v>
      </c>
      <c r="O57">
        <v>13.755000000000001</v>
      </c>
      <c r="P57">
        <v>0.74</v>
      </c>
      <c r="Q57">
        <v>0.26</v>
      </c>
      <c r="R57">
        <v>8.7190990129999992</v>
      </c>
      <c r="S57">
        <v>3.0593329869999999</v>
      </c>
      <c r="X57">
        <v>1</v>
      </c>
      <c r="Y57">
        <v>0</v>
      </c>
      <c r="Z57" t="s">
        <v>24</v>
      </c>
      <c r="AA57" t="s">
        <v>24</v>
      </c>
      <c r="AB57" t="s">
        <v>24</v>
      </c>
      <c r="AD57">
        <v>11.8673</v>
      </c>
      <c r="AE57">
        <v>47.881599999999999</v>
      </c>
      <c r="AF57">
        <v>19.8552</v>
      </c>
      <c r="AG57">
        <v>54.1402</v>
      </c>
      <c r="AI57">
        <v>120</v>
      </c>
      <c r="AK57">
        <v>16.812799999999999</v>
      </c>
      <c r="AL57">
        <v>6.9974400000000001</v>
      </c>
      <c r="AM57">
        <v>9.8000000000000007</v>
      </c>
    </row>
    <row r="58" spans="1:39" x14ac:dyDescent="0.2">
      <c r="A58">
        <v>57</v>
      </c>
      <c r="B58" t="s">
        <v>3</v>
      </c>
      <c r="C58">
        <v>3</v>
      </c>
      <c r="D58" t="s">
        <v>15</v>
      </c>
      <c r="E58">
        <v>0.4</v>
      </c>
      <c r="F58">
        <v>0</v>
      </c>
      <c r="G58">
        <v>6</v>
      </c>
      <c r="H58">
        <v>15.3</v>
      </c>
      <c r="I58">
        <v>22.8</v>
      </c>
      <c r="J58">
        <v>30</v>
      </c>
      <c r="K58">
        <v>0.34156213800000002</v>
      </c>
      <c r="L58" s="4">
        <v>11700000000000</v>
      </c>
      <c r="M58" s="4">
        <v>234000000000000</v>
      </c>
      <c r="N58" s="4">
        <v>245000000000000</v>
      </c>
      <c r="O58">
        <v>1.62</v>
      </c>
      <c r="P58">
        <v>0.72199999999999998</v>
      </c>
      <c r="Q58">
        <v>0.27800000000000002</v>
      </c>
      <c r="R58">
        <v>1.335137102</v>
      </c>
      <c r="S58">
        <v>0.51445649800000004</v>
      </c>
      <c r="X58">
        <v>0</v>
      </c>
      <c r="Y58">
        <v>1</v>
      </c>
      <c r="Z58" t="s">
        <v>24</v>
      </c>
      <c r="AA58" t="s">
        <v>24</v>
      </c>
      <c r="AB58" t="s">
        <v>24</v>
      </c>
      <c r="AD58">
        <v>14.8139</v>
      </c>
      <c r="AE58">
        <v>143.673</v>
      </c>
      <c r="AF58">
        <v>17.371500000000001</v>
      </c>
      <c r="AG58">
        <v>48.2806</v>
      </c>
      <c r="AI58">
        <v>130</v>
      </c>
      <c r="AK58">
        <v>1.6438699999999999</v>
      </c>
      <c r="AL58">
        <v>0.10254199999999999</v>
      </c>
      <c r="AM58">
        <v>1.5</v>
      </c>
    </row>
    <row r="59" spans="1:39" x14ac:dyDescent="0.2">
      <c r="A59">
        <v>58</v>
      </c>
      <c r="B59" t="s">
        <v>3</v>
      </c>
      <c r="C59">
        <v>3</v>
      </c>
      <c r="D59" t="s">
        <v>15</v>
      </c>
      <c r="E59">
        <v>0.4</v>
      </c>
      <c r="F59">
        <v>0</v>
      </c>
      <c r="G59">
        <v>6</v>
      </c>
      <c r="H59">
        <v>15.3</v>
      </c>
      <c r="I59">
        <v>23.3</v>
      </c>
      <c r="J59">
        <v>30</v>
      </c>
      <c r="K59">
        <v>0.34156213800000002</v>
      </c>
      <c r="L59" s="4">
        <v>9800000000000</v>
      </c>
      <c r="M59" s="4">
        <v>249000000000000</v>
      </c>
      <c r="N59" s="4">
        <v>259000000000000</v>
      </c>
      <c r="O59">
        <v>5.2690000000000001</v>
      </c>
      <c r="P59">
        <v>0.71399999999999997</v>
      </c>
      <c r="Q59">
        <v>0.28599999999999998</v>
      </c>
      <c r="R59">
        <v>1.1906674290000001</v>
      </c>
      <c r="S59">
        <v>0.47626697099999998</v>
      </c>
      <c r="X59">
        <v>0</v>
      </c>
      <c r="Y59">
        <v>1</v>
      </c>
      <c r="Z59" t="s">
        <v>24</v>
      </c>
      <c r="AA59" t="s">
        <v>24</v>
      </c>
      <c r="AB59" t="s">
        <v>24</v>
      </c>
      <c r="AD59">
        <v>17.502800000000001</v>
      </c>
      <c r="AE59">
        <v>161.548</v>
      </c>
      <c r="AF59">
        <v>16.3062</v>
      </c>
      <c r="AG59">
        <v>91.572599999999994</v>
      </c>
      <c r="AI59">
        <v>158</v>
      </c>
      <c r="AK59">
        <v>1.5201</v>
      </c>
      <c r="AL59">
        <v>0.13098799999999999</v>
      </c>
      <c r="AM59">
        <v>1.4</v>
      </c>
    </row>
    <row r="60" spans="1:39" x14ac:dyDescent="0.2">
      <c r="A60">
        <v>59</v>
      </c>
      <c r="B60" t="s">
        <v>3</v>
      </c>
      <c r="C60">
        <v>2</v>
      </c>
      <c r="D60" t="s">
        <v>8</v>
      </c>
      <c r="E60">
        <v>21.8</v>
      </c>
      <c r="F60">
        <v>1.3</v>
      </c>
      <c r="G60">
        <v>188</v>
      </c>
      <c r="H60">
        <v>13.5</v>
      </c>
      <c r="I60">
        <v>12.2</v>
      </c>
      <c r="J60">
        <v>30</v>
      </c>
      <c r="K60">
        <v>0.34156213800000002</v>
      </c>
      <c r="L60" s="4">
        <v>420000000000000</v>
      </c>
      <c r="M60" s="4">
        <v>5070000000000000</v>
      </c>
      <c r="N60" s="4">
        <v>5490000000000000</v>
      </c>
      <c r="O60">
        <v>20.74</v>
      </c>
      <c r="P60">
        <v>0.754</v>
      </c>
      <c r="Q60">
        <v>0.246</v>
      </c>
      <c r="R60">
        <v>17.89320824</v>
      </c>
      <c r="S60">
        <v>5.8462957610000004</v>
      </c>
      <c r="X60">
        <v>1</v>
      </c>
      <c r="Y60">
        <v>0</v>
      </c>
      <c r="Z60" t="s">
        <v>24</v>
      </c>
      <c r="AA60" t="s">
        <v>24</v>
      </c>
      <c r="AB60" t="s">
        <v>24</v>
      </c>
      <c r="AD60">
        <v>12.000500000000001</v>
      </c>
      <c r="AE60">
        <v>54.116199999999999</v>
      </c>
      <c r="AF60">
        <v>20.087499999999999</v>
      </c>
      <c r="AG60">
        <v>66.326400000000007</v>
      </c>
      <c r="AI60">
        <v>135</v>
      </c>
      <c r="AK60">
        <v>28.639199999999999</v>
      </c>
      <c r="AL60">
        <v>8.8562799999999999</v>
      </c>
      <c r="AM60">
        <v>19.8</v>
      </c>
    </row>
    <row r="61" spans="1:39" x14ac:dyDescent="0.2">
      <c r="A61">
        <v>60</v>
      </c>
      <c r="B61" t="s">
        <v>3</v>
      </c>
      <c r="C61">
        <v>3</v>
      </c>
      <c r="D61" t="s">
        <v>17</v>
      </c>
      <c r="E61">
        <v>1.4</v>
      </c>
      <c r="F61">
        <v>0</v>
      </c>
      <c r="G61">
        <v>4</v>
      </c>
      <c r="H61">
        <v>15</v>
      </c>
      <c r="I61">
        <v>12.2</v>
      </c>
      <c r="J61">
        <v>30</v>
      </c>
      <c r="K61">
        <v>0.34156213800000002</v>
      </c>
      <c r="L61" s="4">
        <v>29300000000000</v>
      </c>
      <c r="M61" s="4">
        <v>1940000000000000</v>
      </c>
      <c r="N61" s="4">
        <v>1970000000000000</v>
      </c>
      <c r="O61">
        <v>4.55</v>
      </c>
      <c r="P61">
        <v>0.73899999999999999</v>
      </c>
      <c r="Q61">
        <v>0.26100000000000001</v>
      </c>
      <c r="R61">
        <v>5.2751473039999999</v>
      </c>
      <c r="S61">
        <v>1.861816696</v>
      </c>
      <c r="X61">
        <v>0</v>
      </c>
      <c r="Y61">
        <v>1</v>
      </c>
      <c r="Z61" t="s">
        <v>24</v>
      </c>
      <c r="AA61" t="s">
        <v>24</v>
      </c>
      <c r="AB61" t="s">
        <v>24</v>
      </c>
      <c r="AD61">
        <v>10.0688</v>
      </c>
      <c r="AE61">
        <v>132.72200000000001</v>
      </c>
      <c r="AF61">
        <v>19.0307</v>
      </c>
      <c r="AG61">
        <v>143.624</v>
      </c>
      <c r="AI61">
        <v>195</v>
      </c>
      <c r="AK61">
        <v>7.5321800000000003</v>
      </c>
      <c r="AL61">
        <v>1.5847100000000001</v>
      </c>
      <c r="AM61">
        <v>5.9</v>
      </c>
    </row>
    <row r="62" spans="1:39" x14ac:dyDescent="0.2">
      <c r="A62">
        <v>61</v>
      </c>
      <c r="B62" t="s">
        <v>3</v>
      </c>
      <c r="C62">
        <v>3</v>
      </c>
      <c r="D62" t="s">
        <v>17</v>
      </c>
      <c r="E62">
        <v>1.4</v>
      </c>
      <c r="F62">
        <v>0</v>
      </c>
      <c r="G62">
        <v>4</v>
      </c>
      <c r="H62">
        <v>15</v>
      </c>
      <c r="I62">
        <v>15</v>
      </c>
      <c r="J62">
        <v>30</v>
      </c>
      <c r="K62">
        <v>0.34156213800000002</v>
      </c>
      <c r="L62" s="4">
        <v>14900000000000</v>
      </c>
      <c r="M62" s="4">
        <v>805000000000000</v>
      </c>
      <c r="N62" s="4">
        <v>819000000000000</v>
      </c>
      <c r="O62">
        <v>2.089</v>
      </c>
      <c r="P62">
        <v>0.67500000000000004</v>
      </c>
      <c r="Q62">
        <v>0.32500000000000001</v>
      </c>
      <c r="R62">
        <v>3.1209307370000001</v>
      </c>
      <c r="S62">
        <v>1.5047344629999999</v>
      </c>
      <c r="X62">
        <v>0</v>
      </c>
      <c r="Y62">
        <v>1</v>
      </c>
      <c r="Z62" t="s">
        <v>24</v>
      </c>
      <c r="AA62" t="s">
        <v>24</v>
      </c>
      <c r="AB62" t="s">
        <v>24</v>
      </c>
      <c r="AD62">
        <v>10.4795</v>
      </c>
      <c r="AE62">
        <v>172.71899999999999</v>
      </c>
      <c r="AF62">
        <v>17.934899999999999</v>
      </c>
      <c r="AG62">
        <v>125.797</v>
      </c>
      <c r="AI62">
        <v>170</v>
      </c>
      <c r="AK62">
        <v>4.3496199999999998</v>
      </c>
      <c r="AL62">
        <v>0.49489899999999998</v>
      </c>
      <c r="AM62">
        <v>3.9</v>
      </c>
    </row>
    <row r="63" spans="1:39" x14ac:dyDescent="0.2">
      <c r="A63">
        <v>62</v>
      </c>
      <c r="B63" t="s">
        <v>3</v>
      </c>
      <c r="C63">
        <v>2</v>
      </c>
      <c r="D63" t="s">
        <v>8</v>
      </c>
      <c r="E63">
        <v>21.8</v>
      </c>
      <c r="F63">
        <v>1.3</v>
      </c>
      <c r="G63">
        <v>188</v>
      </c>
      <c r="H63">
        <v>13.5</v>
      </c>
      <c r="I63">
        <v>22.8</v>
      </c>
      <c r="J63">
        <v>30</v>
      </c>
      <c r="K63">
        <v>0.34156213800000002</v>
      </c>
      <c r="L63" s="4">
        <v>430000000000000</v>
      </c>
      <c r="M63" s="4">
        <v>4810000000000000</v>
      </c>
      <c r="N63" s="4">
        <v>5240000000000000</v>
      </c>
      <c r="O63">
        <v>14.435</v>
      </c>
      <c r="P63">
        <v>0.73699999999999999</v>
      </c>
      <c r="Q63">
        <v>0.26300000000000001</v>
      </c>
      <c r="R63">
        <v>14.10061082</v>
      </c>
      <c r="S63">
        <v>5.0288891749999998</v>
      </c>
      <c r="X63">
        <v>1</v>
      </c>
      <c r="Y63">
        <v>0</v>
      </c>
      <c r="Z63" t="s">
        <v>24</v>
      </c>
      <c r="AA63" t="s">
        <v>24</v>
      </c>
      <c r="AB63" t="s">
        <v>24</v>
      </c>
      <c r="AD63">
        <v>11.9756</v>
      </c>
      <c r="AE63">
        <v>49.061999999999998</v>
      </c>
      <c r="AF63">
        <v>20.4771</v>
      </c>
      <c r="AG63">
        <v>53.056800000000003</v>
      </c>
      <c r="AI63">
        <v>155</v>
      </c>
      <c r="AK63">
        <v>23.144600000000001</v>
      </c>
      <c r="AL63">
        <v>7.2033500000000004</v>
      </c>
      <c r="AM63">
        <v>15.9</v>
      </c>
    </row>
    <row r="64" spans="1:39" x14ac:dyDescent="0.2">
      <c r="A64">
        <v>63</v>
      </c>
      <c r="B64" t="s">
        <v>3</v>
      </c>
      <c r="C64">
        <v>3</v>
      </c>
      <c r="D64" t="s">
        <v>18</v>
      </c>
      <c r="E64">
        <v>10.199999999999999</v>
      </c>
      <c r="F64">
        <v>0.65</v>
      </c>
      <c r="G64">
        <v>276</v>
      </c>
      <c r="H64">
        <v>14.4</v>
      </c>
      <c r="I64">
        <v>22.8</v>
      </c>
      <c r="J64">
        <v>30</v>
      </c>
      <c r="K64">
        <v>0.34156213800000002</v>
      </c>
      <c r="L64" s="4">
        <v>94300000000000</v>
      </c>
      <c r="M64" s="4">
        <v>4870000000000000</v>
      </c>
      <c r="N64" s="4">
        <v>4960000000000000</v>
      </c>
      <c r="O64">
        <v>4.3680000000000003</v>
      </c>
      <c r="P64">
        <v>0.747</v>
      </c>
      <c r="Q64">
        <v>0.253</v>
      </c>
      <c r="R64">
        <v>9.8664712090000002</v>
      </c>
      <c r="S64">
        <v>3.337188791</v>
      </c>
      <c r="X64">
        <v>0</v>
      </c>
      <c r="Y64">
        <v>1</v>
      </c>
      <c r="Z64" t="s">
        <v>24</v>
      </c>
      <c r="AA64" t="s">
        <v>24</v>
      </c>
      <c r="AB64" t="s">
        <v>24</v>
      </c>
      <c r="AD64">
        <v>10.6134</v>
      </c>
      <c r="AE64">
        <v>46.022599999999997</v>
      </c>
      <c r="AF64">
        <v>16.577400000000001</v>
      </c>
      <c r="AG64">
        <v>88.320800000000006</v>
      </c>
      <c r="AI64">
        <v>130</v>
      </c>
      <c r="AK64">
        <v>12.2765</v>
      </c>
      <c r="AL64">
        <v>1.27345</v>
      </c>
      <c r="AM64">
        <v>11</v>
      </c>
    </row>
    <row r="65" spans="1:39" x14ac:dyDescent="0.2">
      <c r="A65">
        <v>64</v>
      </c>
      <c r="B65" t="s">
        <v>3</v>
      </c>
      <c r="C65">
        <v>3</v>
      </c>
      <c r="D65" t="s">
        <v>18</v>
      </c>
      <c r="E65">
        <v>10.199999999999999</v>
      </c>
      <c r="F65">
        <v>0.65</v>
      </c>
      <c r="G65">
        <v>276</v>
      </c>
      <c r="H65">
        <v>14.4</v>
      </c>
      <c r="I65">
        <v>23.9</v>
      </c>
      <c r="J65">
        <v>30</v>
      </c>
      <c r="K65">
        <v>0.34156213800000002</v>
      </c>
      <c r="L65" s="4">
        <v>71200000000000</v>
      </c>
      <c r="M65" s="4">
        <v>3250000000000000</v>
      </c>
      <c r="N65" s="4">
        <v>3320000000000000</v>
      </c>
      <c r="O65">
        <v>3.831</v>
      </c>
      <c r="P65">
        <v>0.73099999999999998</v>
      </c>
      <c r="Q65">
        <v>0.26900000000000002</v>
      </c>
      <c r="R65">
        <v>4.359086102</v>
      </c>
      <c r="S65">
        <v>1.6038146980000001</v>
      </c>
      <c r="X65">
        <v>0</v>
      </c>
      <c r="Y65">
        <v>1</v>
      </c>
      <c r="Z65" t="s">
        <v>24</v>
      </c>
      <c r="AA65" t="s">
        <v>24</v>
      </c>
      <c r="AB65" t="s">
        <v>24</v>
      </c>
      <c r="AD65">
        <v>10.347099999999999</v>
      </c>
      <c r="AE65">
        <v>34.712699999999998</v>
      </c>
      <c r="AF65">
        <v>16.152899999999999</v>
      </c>
      <c r="AG65">
        <v>58.857700000000001</v>
      </c>
      <c r="AI65">
        <v>120</v>
      </c>
      <c r="AK65">
        <v>5.5629999999999997</v>
      </c>
      <c r="AL65">
        <v>0.593916</v>
      </c>
      <c r="AM65">
        <v>5</v>
      </c>
    </row>
    <row r="66" spans="1:39" x14ac:dyDescent="0.2">
      <c r="A66">
        <v>65</v>
      </c>
      <c r="B66" t="s">
        <v>3</v>
      </c>
      <c r="C66">
        <v>2</v>
      </c>
      <c r="D66" t="s">
        <v>8</v>
      </c>
      <c r="E66">
        <v>21.8</v>
      </c>
      <c r="F66">
        <v>1.3</v>
      </c>
      <c r="G66">
        <v>188</v>
      </c>
      <c r="H66">
        <v>13.5</v>
      </c>
      <c r="I66">
        <v>23.9</v>
      </c>
      <c r="J66">
        <v>30</v>
      </c>
      <c r="K66">
        <v>0.34156213800000002</v>
      </c>
      <c r="L66" s="4">
        <v>432000000000000</v>
      </c>
      <c r="M66" s="4">
        <v>5660000000000000</v>
      </c>
      <c r="N66" s="4">
        <v>6100000000000000</v>
      </c>
      <c r="O66">
        <v>10.925000000000001</v>
      </c>
      <c r="P66">
        <v>0.78500000000000003</v>
      </c>
      <c r="Q66">
        <v>0.215</v>
      </c>
      <c r="R66">
        <v>12.681435370000001</v>
      </c>
      <c r="S66">
        <v>3.4707086280000001</v>
      </c>
      <c r="X66">
        <v>1</v>
      </c>
      <c r="Y66">
        <v>0</v>
      </c>
      <c r="Z66" t="s">
        <v>24</v>
      </c>
      <c r="AA66" t="s">
        <v>24</v>
      </c>
      <c r="AB66" t="s">
        <v>24</v>
      </c>
      <c r="AD66">
        <v>11.8392</v>
      </c>
      <c r="AE66">
        <v>32.6751</v>
      </c>
      <c r="AF66">
        <v>19.475200000000001</v>
      </c>
      <c r="AG66">
        <v>53.022500000000001</v>
      </c>
      <c r="AI66">
        <v>125</v>
      </c>
      <c r="AK66">
        <v>19.795100000000001</v>
      </c>
      <c r="AL66">
        <v>6.3349799999999998</v>
      </c>
      <c r="AM66">
        <v>13.5</v>
      </c>
    </row>
    <row r="67" spans="1:39" x14ac:dyDescent="0.2">
      <c r="A67">
        <v>66</v>
      </c>
      <c r="B67" t="s">
        <v>3</v>
      </c>
      <c r="C67">
        <v>2</v>
      </c>
      <c r="D67" t="s">
        <v>8</v>
      </c>
      <c r="E67">
        <v>21.8</v>
      </c>
      <c r="F67">
        <v>1.3</v>
      </c>
      <c r="G67">
        <v>188</v>
      </c>
      <c r="H67">
        <v>13.5</v>
      </c>
      <c r="I67">
        <v>11.1</v>
      </c>
      <c r="J67">
        <v>30</v>
      </c>
      <c r="K67">
        <v>0.34156213800000002</v>
      </c>
      <c r="L67" s="4">
        <v>402000000000000</v>
      </c>
      <c r="M67" s="4">
        <v>5010000000000000</v>
      </c>
      <c r="N67" s="4">
        <v>5410000000000000</v>
      </c>
      <c r="O67">
        <v>13.926</v>
      </c>
      <c r="P67">
        <v>0.873</v>
      </c>
      <c r="Q67">
        <v>0.127</v>
      </c>
      <c r="R67">
        <v>13.19393284</v>
      </c>
      <c r="S67">
        <v>1.9170671640000001</v>
      </c>
      <c r="X67">
        <v>1</v>
      </c>
      <c r="Y67">
        <v>0</v>
      </c>
      <c r="Z67" t="s">
        <v>24</v>
      </c>
      <c r="AA67" t="s">
        <v>24</v>
      </c>
      <c r="AB67" t="s">
        <v>24</v>
      </c>
      <c r="AD67">
        <v>12.3119</v>
      </c>
      <c r="AE67">
        <v>43.503700000000002</v>
      </c>
      <c r="AF67">
        <v>20.137699999999999</v>
      </c>
      <c r="AG67">
        <v>55.101100000000002</v>
      </c>
      <c r="AI67">
        <v>130</v>
      </c>
      <c r="AK67">
        <v>19.2456</v>
      </c>
      <c r="AL67">
        <v>6.6531000000000002</v>
      </c>
      <c r="AM67">
        <v>12.6</v>
      </c>
    </row>
    <row r="68" spans="1:39" x14ac:dyDescent="0.2">
      <c r="A68">
        <v>67</v>
      </c>
      <c r="B68" t="s">
        <v>3</v>
      </c>
      <c r="C68">
        <v>3</v>
      </c>
      <c r="D68" t="s">
        <v>16</v>
      </c>
      <c r="E68">
        <v>2.1</v>
      </c>
      <c r="F68">
        <v>0</v>
      </c>
      <c r="G68">
        <v>1083</v>
      </c>
      <c r="H68">
        <v>15</v>
      </c>
      <c r="I68">
        <v>11.7</v>
      </c>
      <c r="J68">
        <v>30</v>
      </c>
      <c r="K68">
        <v>0.34156213800000002</v>
      </c>
      <c r="L68" s="4">
        <v>66800000000000</v>
      </c>
      <c r="M68" s="4">
        <v>1.43E+16</v>
      </c>
      <c r="N68" s="4">
        <v>1.44E+16</v>
      </c>
      <c r="O68">
        <v>1.8520000000000001</v>
      </c>
      <c r="P68">
        <v>0.75600000000000001</v>
      </c>
      <c r="Q68">
        <v>0.24399999999999999</v>
      </c>
      <c r="R68">
        <v>40.134051980000002</v>
      </c>
      <c r="S68">
        <v>12.92452522</v>
      </c>
      <c r="X68">
        <v>0</v>
      </c>
      <c r="Y68">
        <v>1</v>
      </c>
      <c r="Z68" t="s">
        <v>24</v>
      </c>
      <c r="AA68" t="s">
        <v>24</v>
      </c>
      <c r="AB68" t="s">
        <v>24</v>
      </c>
      <c r="AD68">
        <v>13.916700000000001</v>
      </c>
      <c r="AE68">
        <v>19.817499999999999</v>
      </c>
      <c r="AF68">
        <v>15.3771</v>
      </c>
      <c r="AG68">
        <v>120.566</v>
      </c>
      <c r="AI68">
        <v>130</v>
      </c>
      <c r="AK68">
        <v>45.000500000000002</v>
      </c>
      <c r="AL68">
        <v>0.78501900000000002</v>
      </c>
      <c r="AM68">
        <v>44.2</v>
      </c>
    </row>
    <row r="69" spans="1:39" x14ac:dyDescent="0.2">
      <c r="A69">
        <v>68</v>
      </c>
      <c r="B69" t="s">
        <v>3</v>
      </c>
      <c r="C69">
        <v>3</v>
      </c>
      <c r="D69" t="s">
        <v>16</v>
      </c>
      <c r="E69">
        <v>2.1</v>
      </c>
      <c r="F69">
        <v>0</v>
      </c>
      <c r="G69">
        <v>1083</v>
      </c>
      <c r="H69">
        <v>15</v>
      </c>
      <c r="I69">
        <v>16.100000000000001</v>
      </c>
      <c r="J69">
        <v>30</v>
      </c>
      <c r="K69">
        <v>0.34156213800000002</v>
      </c>
      <c r="L69" s="4">
        <v>61300000000000</v>
      </c>
      <c r="M69" s="4">
        <v>1.68E+16</v>
      </c>
      <c r="N69" s="4">
        <v>1.68E+16</v>
      </c>
      <c r="O69">
        <v>8.9550000000000001</v>
      </c>
      <c r="P69">
        <v>0.81200000000000006</v>
      </c>
      <c r="Q69">
        <v>0.188</v>
      </c>
      <c r="R69">
        <v>50.80357901</v>
      </c>
      <c r="S69">
        <v>11.771560989999999</v>
      </c>
      <c r="X69">
        <v>0</v>
      </c>
      <c r="Y69">
        <v>1</v>
      </c>
      <c r="Z69" t="s">
        <v>24</v>
      </c>
      <c r="AA69" t="s">
        <v>24</v>
      </c>
      <c r="AB69" t="s">
        <v>24</v>
      </c>
      <c r="AD69">
        <v>13.616199999999999</v>
      </c>
      <c r="AE69">
        <v>22.599</v>
      </c>
      <c r="AF69">
        <v>17.613399999999999</v>
      </c>
      <c r="AG69">
        <v>144.66900000000001</v>
      </c>
      <c r="AI69">
        <v>165</v>
      </c>
      <c r="AK69">
        <v>54.037700000000001</v>
      </c>
      <c r="AL69">
        <v>1.89175</v>
      </c>
      <c r="AM69">
        <v>52.1</v>
      </c>
    </row>
    <row r="70" spans="1:39" x14ac:dyDescent="0.2">
      <c r="A70">
        <v>69</v>
      </c>
      <c r="B70" t="s">
        <v>3</v>
      </c>
      <c r="C70">
        <v>2</v>
      </c>
      <c r="D70" t="s">
        <v>8</v>
      </c>
      <c r="E70">
        <v>21.8</v>
      </c>
      <c r="F70">
        <v>1.3</v>
      </c>
      <c r="G70">
        <v>188</v>
      </c>
      <c r="H70">
        <v>13.5</v>
      </c>
      <c r="I70">
        <v>16.7</v>
      </c>
      <c r="J70">
        <v>30</v>
      </c>
      <c r="K70">
        <v>0.34156213800000002</v>
      </c>
      <c r="L70" s="4">
        <v>123000000000000</v>
      </c>
      <c r="M70" s="4">
        <v>1.68E+16</v>
      </c>
      <c r="N70" s="4">
        <v>1.69E+16</v>
      </c>
      <c r="O70">
        <v>5.3650000000000002</v>
      </c>
      <c r="P70">
        <v>0.77600000000000002</v>
      </c>
      <c r="Q70">
        <v>0.224</v>
      </c>
      <c r="R70">
        <v>51.329446429999997</v>
      </c>
      <c r="S70">
        <v>14.84224957</v>
      </c>
      <c r="X70">
        <v>1</v>
      </c>
      <c r="Y70">
        <v>0</v>
      </c>
      <c r="Z70" t="s">
        <v>24</v>
      </c>
      <c r="AA70" t="s">
        <v>24</v>
      </c>
      <c r="AB70" t="s">
        <v>24</v>
      </c>
      <c r="AD70">
        <v>15.654999999999999</v>
      </c>
      <c r="AE70">
        <v>23.780200000000001</v>
      </c>
      <c r="AF70">
        <v>15.9467</v>
      </c>
      <c r="AG70">
        <v>120.096</v>
      </c>
      <c r="AI70">
        <v>300</v>
      </c>
      <c r="AK70">
        <v>56.652999999999999</v>
      </c>
      <c r="AL70">
        <v>1.5099199999999999</v>
      </c>
      <c r="AM70">
        <v>55.1</v>
      </c>
    </row>
    <row r="71" spans="1:39" x14ac:dyDescent="0.2">
      <c r="A71">
        <v>70</v>
      </c>
      <c r="B71" t="s">
        <v>3</v>
      </c>
      <c r="C71">
        <v>2</v>
      </c>
      <c r="D71" t="s">
        <v>8</v>
      </c>
      <c r="E71">
        <v>21.8</v>
      </c>
      <c r="F71">
        <v>1.3</v>
      </c>
      <c r="G71">
        <v>188</v>
      </c>
      <c r="H71">
        <v>13.5</v>
      </c>
      <c r="I71">
        <v>27.8</v>
      </c>
      <c r="J71">
        <v>30</v>
      </c>
      <c r="K71">
        <v>0.34156213800000002</v>
      </c>
      <c r="L71" s="4">
        <v>143000000000000</v>
      </c>
      <c r="M71" s="4">
        <v>7140000000000000</v>
      </c>
      <c r="N71" s="4">
        <v>7290000000000000</v>
      </c>
      <c r="O71">
        <v>5.3</v>
      </c>
      <c r="P71">
        <v>0.86199999999999999</v>
      </c>
      <c r="Q71">
        <v>0.13800000000000001</v>
      </c>
      <c r="R71">
        <v>12.772565999999999</v>
      </c>
      <c r="S71">
        <v>2.0499179999999999</v>
      </c>
      <c r="X71">
        <v>1</v>
      </c>
      <c r="Y71">
        <v>0</v>
      </c>
      <c r="Z71" t="s">
        <v>24</v>
      </c>
      <c r="AA71" t="s">
        <v>24</v>
      </c>
      <c r="AB71" t="s">
        <v>24</v>
      </c>
      <c r="AD71">
        <v>11.700100000000001</v>
      </c>
      <c r="AE71">
        <v>20.466699999999999</v>
      </c>
      <c r="AF71">
        <v>16.168800000000001</v>
      </c>
      <c r="AG71">
        <v>59.434100000000001</v>
      </c>
      <c r="AI71">
        <v>140</v>
      </c>
      <c r="AK71">
        <v>13.5924</v>
      </c>
      <c r="AL71">
        <v>1.2403299999999999</v>
      </c>
      <c r="AM71">
        <v>12.4</v>
      </c>
    </row>
    <row r="72" spans="1:39" x14ac:dyDescent="0.2">
      <c r="A72">
        <v>71</v>
      </c>
      <c r="B72" t="s">
        <v>3</v>
      </c>
      <c r="C72">
        <v>3</v>
      </c>
      <c r="D72" t="s">
        <v>18</v>
      </c>
      <c r="E72">
        <v>10.199999999999999</v>
      </c>
      <c r="F72">
        <v>0.65</v>
      </c>
      <c r="G72">
        <v>276</v>
      </c>
      <c r="H72">
        <v>14.4</v>
      </c>
      <c r="I72">
        <v>27.8</v>
      </c>
      <c r="J72">
        <v>30</v>
      </c>
      <c r="K72">
        <v>0.34156213800000002</v>
      </c>
      <c r="L72" s="4">
        <v>80500000000000</v>
      </c>
      <c r="M72" s="4">
        <v>3910000000000000</v>
      </c>
      <c r="N72" s="4">
        <v>3990000000000000</v>
      </c>
      <c r="O72">
        <v>6.5060000000000002</v>
      </c>
      <c r="P72">
        <v>0.86399999999999999</v>
      </c>
      <c r="Q72">
        <v>0.13600000000000001</v>
      </c>
      <c r="R72">
        <v>6.042628036</v>
      </c>
      <c r="S72">
        <v>0.95409916400000006</v>
      </c>
      <c r="X72">
        <v>0</v>
      </c>
      <c r="Y72">
        <v>1</v>
      </c>
      <c r="Z72" t="s">
        <v>24</v>
      </c>
      <c r="AA72" t="s">
        <v>24</v>
      </c>
      <c r="AB72" t="s">
        <v>24</v>
      </c>
      <c r="AD72">
        <v>10.2569</v>
      </c>
      <c r="AE72">
        <v>22.946999999999999</v>
      </c>
      <c r="AF72">
        <v>16.0715</v>
      </c>
      <c r="AG72">
        <v>59.571599999999997</v>
      </c>
      <c r="AI72">
        <v>130</v>
      </c>
      <c r="AK72">
        <v>6.4460100000000002</v>
      </c>
      <c r="AL72">
        <v>0.61540399999999995</v>
      </c>
      <c r="AM72">
        <v>5.8</v>
      </c>
    </row>
    <row r="73" spans="1:39" x14ac:dyDescent="0.2">
      <c r="A73">
        <v>72</v>
      </c>
      <c r="B73" t="s">
        <v>3</v>
      </c>
      <c r="C73">
        <v>2</v>
      </c>
      <c r="D73" t="s">
        <v>8</v>
      </c>
      <c r="E73">
        <v>21.8</v>
      </c>
      <c r="F73">
        <v>1.3</v>
      </c>
      <c r="G73">
        <v>188</v>
      </c>
      <c r="H73">
        <v>13.5</v>
      </c>
      <c r="I73">
        <v>27.8</v>
      </c>
      <c r="J73">
        <v>30</v>
      </c>
      <c r="K73">
        <v>0.34156213800000002</v>
      </c>
      <c r="L73" s="4">
        <v>161000000000000</v>
      </c>
      <c r="M73" s="4">
        <v>3070000000000000</v>
      </c>
      <c r="N73" s="4">
        <v>3240000000000000</v>
      </c>
      <c r="O73">
        <v>3.0070000000000001</v>
      </c>
      <c r="P73">
        <v>0.89</v>
      </c>
      <c r="Q73">
        <v>0.11</v>
      </c>
      <c r="R73" t="s">
        <v>24</v>
      </c>
      <c r="S73" t="s">
        <v>24</v>
      </c>
      <c r="X73">
        <v>1</v>
      </c>
      <c r="Y73">
        <v>0</v>
      </c>
      <c r="Z73" t="s">
        <v>24</v>
      </c>
      <c r="AA73" t="s">
        <v>24</v>
      </c>
      <c r="AB73" t="s">
        <v>24</v>
      </c>
      <c r="AD73">
        <v>10.9276</v>
      </c>
      <c r="AE73">
        <v>32.472499999999997</v>
      </c>
      <c r="AF73" t="s">
        <v>24</v>
      </c>
      <c r="AG73" t="s">
        <v>24</v>
      </c>
      <c r="AI73">
        <v>60</v>
      </c>
      <c r="AK73">
        <v>8.4618900000000004</v>
      </c>
      <c r="AL73" t="s">
        <v>24</v>
      </c>
      <c r="AM73" t="s">
        <v>24</v>
      </c>
    </row>
    <row r="74" spans="1:39" x14ac:dyDescent="0.2">
      <c r="A74">
        <v>73</v>
      </c>
      <c r="B74" t="s">
        <v>3</v>
      </c>
      <c r="C74">
        <v>3</v>
      </c>
      <c r="D74" t="s">
        <v>18</v>
      </c>
      <c r="E74">
        <v>10.199999999999999</v>
      </c>
      <c r="F74">
        <v>0.65</v>
      </c>
      <c r="G74">
        <v>276</v>
      </c>
      <c r="H74">
        <v>14.4</v>
      </c>
      <c r="I74">
        <v>28.3</v>
      </c>
      <c r="J74">
        <v>30</v>
      </c>
      <c r="K74">
        <v>0.34156213800000002</v>
      </c>
      <c r="L74" s="4">
        <v>102000000000000</v>
      </c>
      <c r="M74" s="4">
        <v>2420000000000000</v>
      </c>
      <c r="N74" s="4">
        <v>2520000000000000</v>
      </c>
      <c r="O74">
        <v>3.6720000000000002</v>
      </c>
      <c r="P74" t="s">
        <v>24</v>
      </c>
      <c r="Q74" t="s">
        <v>24</v>
      </c>
      <c r="R74" t="s">
        <v>24</v>
      </c>
      <c r="S74" t="s">
        <v>24</v>
      </c>
      <c r="X74">
        <v>0</v>
      </c>
      <c r="Y74">
        <v>1</v>
      </c>
      <c r="Z74" t="s">
        <v>24</v>
      </c>
      <c r="AA74" t="s">
        <v>24</v>
      </c>
      <c r="AB74" t="s">
        <v>24</v>
      </c>
      <c r="AD74" t="s">
        <v>24</v>
      </c>
      <c r="AE74" t="s">
        <v>24</v>
      </c>
      <c r="AF74" t="s">
        <v>24</v>
      </c>
      <c r="AG74" t="s">
        <v>24</v>
      </c>
      <c r="AI74">
        <v>230</v>
      </c>
      <c r="AK74" t="s">
        <v>24</v>
      </c>
      <c r="AL74" t="s">
        <v>24</v>
      </c>
      <c r="AM74" t="s">
        <v>24</v>
      </c>
    </row>
    <row r="75" spans="1:39" x14ac:dyDescent="0.2">
      <c r="A75">
        <v>74</v>
      </c>
      <c r="B75" t="s">
        <v>3</v>
      </c>
      <c r="C75">
        <v>3</v>
      </c>
      <c r="D75" t="s">
        <v>8</v>
      </c>
      <c r="E75">
        <v>21.8</v>
      </c>
      <c r="F75">
        <v>1.3</v>
      </c>
      <c r="G75">
        <v>188</v>
      </c>
      <c r="H75">
        <v>13.5</v>
      </c>
      <c r="I75">
        <v>29.4</v>
      </c>
      <c r="J75">
        <v>30</v>
      </c>
      <c r="K75">
        <v>0.34156213800000002</v>
      </c>
      <c r="L75" s="4">
        <v>257000000000000</v>
      </c>
      <c r="M75" s="4">
        <v>1240000000000000</v>
      </c>
      <c r="N75" s="4">
        <v>1490000000000000</v>
      </c>
      <c r="O75">
        <v>5.0339999999999998</v>
      </c>
      <c r="P75">
        <v>0.89200000000000002</v>
      </c>
      <c r="Q75">
        <v>0.108</v>
      </c>
      <c r="R75" t="s">
        <v>24</v>
      </c>
      <c r="S75" t="s">
        <v>24</v>
      </c>
      <c r="X75">
        <v>0</v>
      </c>
      <c r="Y75">
        <v>1</v>
      </c>
      <c r="Z75" t="s">
        <v>24</v>
      </c>
      <c r="AA75" t="s">
        <v>24</v>
      </c>
      <c r="AB75" t="s">
        <v>24</v>
      </c>
      <c r="AD75">
        <v>11.490399999999999</v>
      </c>
      <c r="AE75">
        <v>46.101300000000002</v>
      </c>
      <c r="AF75" t="s">
        <v>24</v>
      </c>
      <c r="AG75" t="s">
        <v>24</v>
      </c>
      <c r="AI75">
        <v>120</v>
      </c>
      <c r="AK75">
        <v>11.604200000000001</v>
      </c>
      <c r="AL75" t="s">
        <v>24</v>
      </c>
      <c r="AM75" t="s">
        <v>24</v>
      </c>
    </row>
    <row r="76" spans="1:39" x14ac:dyDescent="0.2">
      <c r="A76">
        <v>75</v>
      </c>
      <c r="B76" t="s">
        <v>4</v>
      </c>
      <c r="C76">
        <v>2</v>
      </c>
      <c r="D76" t="s">
        <v>19</v>
      </c>
      <c r="E76">
        <v>8</v>
      </c>
      <c r="F76">
        <v>0.9</v>
      </c>
      <c r="G76">
        <v>500</v>
      </c>
      <c r="H76">
        <v>14.4</v>
      </c>
      <c r="I76">
        <v>19</v>
      </c>
      <c r="J76">
        <v>30</v>
      </c>
      <c r="K76">
        <v>0.34156213800000002</v>
      </c>
      <c r="L76" t="s">
        <v>24</v>
      </c>
      <c r="M76" t="s">
        <v>24</v>
      </c>
      <c r="N76" s="4">
        <v>4.57E+16</v>
      </c>
      <c r="O76">
        <v>4.99</v>
      </c>
      <c r="P76">
        <v>0.78600000000000003</v>
      </c>
      <c r="Q76">
        <v>0.214</v>
      </c>
      <c r="R76">
        <v>15.19550563</v>
      </c>
      <c r="S76">
        <v>4.1277343660000003</v>
      </c>
      <c r="X76">
        <v>1</v>
      </c>
      <c r="Y76">
        <v>0</v>
      </c>
      <c r="Z76">
        <v>52.5</v>
      </c>
      <c r="AA76" t="s">
        <v>24</v>
      </c>
      <c r="AB76">
        <v>788</v>
      </c>
      <c r="AD76">
        <v>12.9146</v>
      </c>
      <c r="AE76">
        <v>17.305299999999999</v>
      </c>
      <c r="AF76">
        <v>16.661300000000001</v>
      </c>
      <c r="AG76">
        <v>75.383399999999995</v>
      </c>
      <c r="AI76">
        <v>540</v>
      </c>
      <c r="AK76">
        <v>40.802300000000002</v>
      </c>
      <c r="AL76">
        <v>24.6996</v>
      </c>
      <c r="AM76">
        <v>16.100000000000001</v>
      </c>
    </row>
    <row r="77" spans="1:39" x14ac:dyDescent="0.2">
      <c r="A77">
        <v>76</v>
      </c>
      <c r="B77" t="s">
        <v>4</v>
      </c>
      <c r="C77">
        <v>2</v>
      </c>
      <c r="D77" t="s">
        <v>8</v>
      </c>
      <c r="E77">
        <v>16</v>
      </c>
      <c r="F77">
        <v>1.4</v>
      </c>
      <c r="G77">
        <v>800</v>
      </c>
      <c r="H77">
        <v>13.9</v>
      </c>
      <c r="I77">
        <v>14.7</v>
      </c>
      <c r="J77">
        <v>30</v>
      </c>
      <c r="K77">
        <v>0.34156213800000002</v>
      </c>
      <c r="L77" s="4">
        <v>3180000000000000</v>
      </c>
      <c r="M77" s="4">
        <v>4.81E+16</v>
      </c>
      <c r="N77" s="4">
        <v>5.12E+16</v>
      </c>
      <c r="O77">
        <v>15.41</v>
      </c>
      <c r="P77">
        <v>0.68799999999999994</v>
      </c>
      <c r="Q77">
        <v>0.312</v>
      </c>
      <c r="R77">
        <v>16.076268859999999</v>
      </c>
      <c r="S77">
        <v>7.2823311359999998</v>
      </c>
      <c r="X77">
        <v>1</v>
      </c>
      <c r="Y77">
        <v>0</v>
      </c>
      <c r="Z77">
        <v>52.5</v>
      </c>
      <c r="AA77" t="s">
        <v>24</v>
      </c>
      <c r="AB77">
        <v>777</v>
      </c>
      <c r="AD77">
        <v>13.9773</v>
      </c>
      <c r="AE77">
        <v>20.566199999999998</v>
      </c>
      <c r="AF77">
        <v>18.5304</v>
      </c>
      <c r="AG77">
        <v>52.704500000000003</v>
      </c>
      <c r="AI77">
        <v>600</v>
      </c>
      <c r="AK77">
        <v>64.619699999999995</v>
      </c>
      <c r="AL77">
        <v>45.154200000000003</v>
      </c>
      <c r="AM77">
        <v>19.5</v>
      </c>
    </row>
    <row r="78" spans="1:39" x14ac:dyDescent="0.2">
      <c r="A78">
        <v>77</v>
      </c>
      <c r="B78" t="s">
        <v>4</v>
      </c>
      <c r="C78">
        <v>3</v>
      </c>
      <c r="D78" t="s">
        <v>19</v>
      </c>
      <c r="E78">
        <v>8</v>
      </c>
      <c r="F78">
        <v>0.9</v>
      </c>
      <c r="G78">
        <v>500</v>
      </c>
      <c r="H78">
        <v>14.4</v>
      </c>
      <c r="I78">
        <v>15.1</v>
      </c>
      <c r="J78">
        <v>30</v>
      </c>
      <c r="K78">
        <v>0.34156213800000002</v>
      </c>
      <c r="L78" s="4">
        <v>2250000000000000</v>
      </c>
      <c r="M78" s="4">
        <v>1.03E+16</v>
      </c>
      <c r="N78" s="4">
        <v>1.26E+16</v>
      </c>
      <c r="O78">
        <v>1.90185</v>
      </c>
      <c r="P78">
        <v>0.81599999999999995</v>
      </c>
      <c r="Q78">
        <v>0.184</v>
      </c>
      <c r="R78">
        <v>8.1632172220000001</v>
      </c>
      <c r="S78">
        <v>1.8438227780000001</v>
      </c>
      <c r="X78">
        <v>0</v>
      </c>
      <c r="Y78">
        <v>1</v>
      </c>
      <c r="Z78">
        <v>53</v>
      </c>
      <c r="AA78" t="s">
        <v>24</v>
      </c>
      <c r="AB78">
        <v>772</v>
      </c>
      <c r="AD78">
        <v>17.048400000000001</v>
      </c>
      <c r="AE78">
        <v>23.3292</v>
      </c>
      <c r="AF78">
        <v>18.223299999999998</v>
      </c>
      <c r="AG78">
        <v>59.035400000000003</v>
      </c>
      <c r="AI78">
        <v>540</v>
      </c>
      <c r="AK78">
        <v>27.5641</v>
      </c>
      <c r="AL78">
        <v>19.224900000000002</v>
      </c>
      <c r="AM78">
        <v>8.3000000000000007</v>
      </c>
    </row>
    <row r="79" spans="1:39" x14ac:dyDescent="0.2">
      <c r="A79">
        <v>78</v>
      </c>
      <c r="B79" t="s">
        <v>1</v>
      </c>
      <c r="C79">
        <v>3</v>
      </c>
      <c r="D79" t="s">
        <v>8</v>
      </c>
      <c r="E79">
        <v>17.600000000000001</v>
      </c>
      <c r="F79">
        <v>0.93</v>
      </c>
      <c r="G79">
        <v>383</v>
      </c>
      <c r="H79">
        <v>13.69</v>
      </c>
      <c r="I79">
        <v>28</v>
      </c>
      <c r="J79">
        <v>65</v>
      </c>
      <c r="K79">
        <v>0.60214236499999996</v>
      </c>
      <c r="L79" s="4">
        <v>136000000000000</v>
      </c>
      <c r="M79" s="4">
        <v>1.07E+16</v>
      </c>
      <c r="N79" s="4">
        <v>1.08E+16</v>
      </c>
      <c r="O79">
        <v>18.420000000000002</v>
      </c>
      <c r="P79" t="s">
        <v>24</v>
      </c>
      <c r="Q79" t="s">
        <v>24</v>
      </c>
      <c r="R79" t="s">
        <v>24</v>
      </c>
      <c r="S79" t="s">
        <v>24</v>
      </c>
      <c r="X79">
        <v>0</v>
      </c>
      <c r="Y79">
        <v>1</v>
      </c>
      <c r="Z79">
        <v>74.5</v>
      </c>
      <c r="AA79">
        <v>90</v>
      </c>
      <c r="AB79">
        <v>925</v>
      </c>
      <c r="AD79">
        <v>11.60228</v>
      </c>
      <c r="AE79">
        <v>38.217257500000002</v>
      </c>
      <c r="AF79">
        <v>22.6882275</v>
      </c>
      <c r="AG79">
        <v>60.270845000000001</v>
      </c>
      <c r="AI79">
        <v>182</v>
      </c>
      <c r="AK79">
        <v>63.8</v>
      </c>
      <c r="AL79">
        <v>37.799999999999997</v>
      </c>
      <c r="AM79">
        <v>26</v>
      </c>
    </row>
    <row r="80" spans="1:39" x14ac:dyDescent="0.2">
      <c r="A80">
        <v>79</v>
      </c>
      <c r="B80" t="s">
        <v>1</v>
      </c>
      <c r="C80">
        <v>3</v>
      </c>
      <c r="D80" t="s">
        <v>8</v>
      </c>
      <c r="E80">
        <v>17.600000000000001</v>
      </c>
      <c r="F80">
        <v>0.93</v>
      </c>
      <c r="G80">
        <v>383</v>
      </c>
      <c r="H80">
        <v>13.69</v>
      </c>
      <c r="I80">
        <v>33</v>
      </c>
      <c r="J80">
        <v>65</v>
      </c>
      <c r="K80">
        <v>0.60214236499999996</v>
      </c>
      <c r="L80" s="4">
        <v>131000000000000</v>
      </c>
      <c r="M80" s="4">
        <v>2680000000000000</v>
      </c>
      <c r="N80" s="4">
        <v>2810000000000000</v>
      </c>
      <c r="O80">
        <v>14.68</v>
      </c>
      <c r="P80" t="s">
        <v>24</v>
      </c>
      <c r="Q80" t="s">
        <v>24</v>
      </c>
      <c r="R80" t="s">
        <v>24</v>
      </c>
      <c r="S80" t="s">
        <v>24</v>
      </c>
      <c r="X80">
        <v>0</v>
      </c>
      <c r="Y80">
        <v>1</v>
      </c>
      <c r="Z80">
        <v>75</v>
      </c>
      <c r="AA80">
        <v>92</v>
      </c>
      <c r="AB80">
        <v>932</v>
      </c>
      <c r="AD80">
        <v>12.416606</v>
      </c>
      <c r="AE80">
        <v>49.302852000000001</v>
      </c>
      <c r="AF80">
        <v>18.444112499999999</v>
      </c>
      <c r="AG80">
        <v>66.048022500000002</v>
      </c>
      <c r="AI80">
        <v>228</v>
      </c>
      <c r="AK80">
        <v>33.700000000000003</v>
      </c>
      <c r="AL80">
        <v>26.9</v>
      </c>
      <c r="AM80">
        <v>6.7</v>
      </c>
    </row>
    <row r="81" spans="1:39" x14ac:dyDescent="0.2">
      <c r="A81">
        <v>80</v>
      </c>
      <c r="B81" t="s">
        <v>1</v>
      </c>
      <c r="C81">
        <v>3</v>
      </c>
      <c r="D81" t="s">
        <v>8</v>
      </c>
      <c r="E81">
        <v>17.600000000000001</v>
      </c>
      <c r="F81">
        <v>0.93</v>
      </c>
      <c r="G81">
        <v>383</v>
      </c>
      <c r="H81">
        <v>13.69</v>
      </c>
      <c r="I81">
        <v>23</v>
      </c>
      <c r="J81">
        <v>65</v>
      </c>
      <c r="K81">
        <v>0.60214236499999996</v>
      </c>
      <c r="L81" s="4">
        <v>221000000000000</v>
      </c>
      <c r="M81" s="4">
        <v>1.38E+16</v>
      </c>
      <c r="N81" s="4">
        <v>1.4E+16</v>
      </c>
      <c r="O81">
        <v>29.4</v>
      </c>
      <c r="P81" t="s">
        <v>24</v>
      </c>
      <c r="Q81" t="s">
        <v>24</v>
      </c>
      <c r="R81" t="s">
        <v>24</v>
      </c>
      <c r="S81" t="s">
        <v>24</v>
      </c>
      <c r="X81">
        <v>0</v>
      </c>
      <c r="Y81">
        <v>1</v>
      </c>
      <c r="Z81">
        <v>76.7</v>
      </c>
      <c r="AA81">
        <v>92</v>
      </c>
      <c r="AB81">
        <v>933</v>
      </c>
      <c r="AD81">
        <v>11.926951430000001</v>
      </c>
      <c r="AE81">
        <v>40.28716</v>
      </c>
      <c r="AF81">
        <v>21.909711430000002</v>
      </c>
      <c r="AG81">
        <v>67.747268570000003</v>
      </c>
      <c r="AI81">
        <v>234</v>
      </c>
      <c r="AK81">
        <v>90.7</v>
      </c>
      <c r="AL81">
        <v>55.9</v>
      </c>
      <c r="AM81">
        <v>34.799999999999997</v>
      </c>
    </row>
    <row r="82" spans="1:39" x14ac:dyDescent="0.2">
      <c r="A82">
        <v>81</v>
      </c>
      <c r="B82" t="s">
        <v>1</v>
      </c>
      <c r="C82">
        <v>3</v>
      </c>
      <c r="D82" t="s">
        <v>8</v>
      </c>
      <c r="E82">
        <v>17.600000000000001</v>
      </c>
      <c r="F82">
        <v>0.93</v>
      </c>
      <c r="G82">
        <v>383</v>
      </c>
      <c r="H82">
        <v>13.69</v>
      </c>
      <c r="I82">
        <v>24</v>
      </c>
      <c r="J82">
        <v>65</v>
      </c>
      <c r="K82">
        <v>0.60214236499999996</v>
      </c>
      <c r="L82" s="4">
        <v>177000000000000</v>
      </c>
      <c r="M82" s="4">
        <v>1.54E+16</v>
      </c>
      <c r="N82" s="4">
        <v>1.56E+16</v>
      </c>
      <c r="O82">
        <v>19.07</v>
      </c>
      <c r="P82" t="s">
        <v>24</v>
      </c>
      <c r="Q82" t="s">
        <v>24</v>
      </c>
      <c r="R82" t="s">
        <v>24</v>
      </c>
      <c r="S82" t="s">
        <v>24</v>
      </c>
      <c r="X82">
        <v>0</v>
      </c>
      <c r="Y82">
        <v>1</v>
      </c>
      <c r="Z82">
        <v>74.5</v>
      </c>
      <c r="AA82">
        <v>91</v>
      </c>
      <c r="AB82">
        <v>912</v>
      </c>
      <c r="AD82">
        <v>11.99611833</v>
      </c>
      <c r="AE82">
        <v>32.071763330000003</v>
      </c>
      <c r="AF82">
        <v>18.505794999999999</v>
      </c>
      <c r="AG82">
        <v>63.991885000000003</v>
      </c>
      <c r="AI82">
        <v>231</v>
      </c>
      <c r="AK82">
        <v>63.7</v>
      </c>
      <c r="AL82">
        <v>38.299999999999997</v>
      </c>
      <c r="AM82">
        <v>25.4</v>
      </c>
    </row>
    <row r="83" spans="1:39" x14ac:dyDescent="0.2">
      <c r="A83">
        <v>82</v>
      </c>
      <c r="B83" t="s">
        <v>1</v>
      </c>
      <c r="C83">
        <v>3</v>
      </c>
      <c r="D83" t="s">
        <v>8</v>
      </c>
      <c r="E83">
        <v>17.600000000000001</v>
      </c>
      <c r="F83">
        <v>0.93</v>
      </c>
      <c r="G83">
        <v>383</v>
      </c>
      <c r="H83">
        <v>13.69</v>
      </c>
      <c r="I83">
        <v>24</v>
      </c>
      <c r="J83">
        <v>65</v>
      </c>
      <c r="K83">
        <v>0.60214236499999996</v>
      </c>
      <c r="L83" s="4">
        <v>133000000000000</v>
      </c>
      <c r="M83" s="4">
        <v>1.7E+16</v>
      </c>
      <c r="N83" s="4">
        <v>1.71E+16</v>
      </c>
      <c r="O83">
        <v>10.94</v>
      </c>
      <c r="P83" t="s">
        <v>24</v>
      </c>
      <c r="Q83" t="s">
        <v>24</v>
      </c>
      <c r="R83" t="s">
        <v>24</v>
      </c>
      <c r="S83" t="s">
        <v>24</v>
      </c>
      <c r="X83">
        <v>0</v>
      </c>
      <c r="Y83">
        <v>1</v>
      </c>
      <c r="Z83">
        <v>72</v>
      </c>
      <c r="AA83">
        <v>90</v>
      </c>
      <c r="AB83">
        <v>892</v>
      </c>
      <c r="AD83">
        <v>11.86270833</v>
      </c>
      <c r="AE83">
        <v>26.02418333</v>
      </c>
      <c r="AF83">
        <v>18.299299999999999</v>
      </c>
      <c r="AG83">
        <v>60.332737999999999</v>
      </c>
      <c r="AI83">
        <v>248</v>
      </c>
      <c r="AK83">
        <v>51.4</v>
      </c>
      <c r="AL83">
        <v>26.5</v>
      </c>
      <c r="AM83">
        <v>24.8</v>
      </c>
    </row>
    <row r="84" spans="1:39" x14ac:dyDescent="0.2">
      <c r="A84">
        <v>83</v>
      </c>
      <c r="B84" t="s">
        <v>1</v>
      </c>
      <c r="C84">
        <v>3</v>
      </c>
      <c r="D84" t="s">
        <v>9</v>
      </c>
      <c r="E84">
        <v>17.3</v>
      </c>
      <c r="F84">
        <v>1.31</v>
      </c>
      <c r="G84">
        <v>1595</v>
      </c>
      <c r="H84">
        <v>13.67</v>
      </c>
      <c r="I84">
        <v>32</v>
      </c>
      <c r="J84">
        <v>65</v>
      </c>
      <c r="K84">
        <v>0.60214236499999996</v>
      </c>
      <c r="L84" s="4">
        <v>196000000000000</v>
      </c>
      <c r="M84" s="4">
        <v>1.24E+16</v>
      </c>
      <c r="N84" s="4">
        <v>1.26E+16</v>
      </c>
      <c r="O84">
        <v>17.149999999999999</v>
      </c>
      <c r="P84" t="s">
        <v>24</v>
      </c>
      <c r="Q84" t="s">
        <v>24</v>
      </c>
      <c r="R84" t="s">
        <v>24</v>
      </c>
      <c r="S84" t="s">
        <v>24</v>
      </c>
      <c r="X84">
        <v>0</v>
      </c>
      <c r="Y84">
        <v>1</v>
      </c>
      <c r="Z84">
        <v>74.5</v>
      </c>
      <c r="AA84">
        <v>92</v>
      </c>
      <c r="AB84">
        <v>948</v>
      </c>
      <c r="AD84">
        <v>13.4116125</v>
      </c>
      <c r="AE84">
        <v>35.016123749999998</v>
      </c>
      <c r="AF84">
        <v>15.872361250000001</v>
      </c>
      <c r="AG84">
        <v>59.935315000000003</v>
      </c>
      <c r="AI84">
        <v>255</v>
      </c>
      <c r="AK84">
        <v>64.599999999999994</v>
      </c>
      <c r="AL84">
        <v>29.7</v>
      </c>
      <c r="AM84">
        <v>35</v>
      </c>
    </row>
    <row r="85" spans="1:39" x14ac:dyDescent="0.2">
      <c r="A85">
        <v>84</v>
      </c>
      <c r="B85" t="s">
        <v>1</v>
      </c>
      <c r="C85">
        <v>3</v>
      </c>
      <c r="D85" t="s">
        <v>9</v>
      </c>
      <c r="E85">
        <v>17.3</v>
      </c>
      <c r="F85">
        <v>1.31</v>
      </c>
      <c r="G85">
        <v>1595</v>
      </c>
      <c r="H85">
        <v>13.67</v>
      </c>
      <c r="I85">
        <v>26</v>
      </c>
      <c r="J85">
        <v>65</v>
      </c>
      <c r="K85">
        <v>0.60214236499999996</v>
      </c>
      <c r="L85" s="4">
        <v>198000000000000</v>
      </c>
      <c r="M85" s="4">
        <v>3.02E+16</v>
      </c>
      <c r="N85" s="4">
        <v>3.04E+16</v>
      </c>
      <c r="O85">
        <v>23.71</v>
      </c>
      <c r="P85">
        <v>0.57599999999999996</v>
      </c>
      <c r="Q85">
        <v>0.42399999999999999</v>
      </c>
      <c r="R85">
        <v>64.282169800000005</v>
      </c>
      <c r="S85">
        <v>47.304523000000003</v>
      </c>
      <c r="X85">
        <v>0</v>
      </c>
      <c r="Y85">
        <v>1</v>
      </c>
      <c r="Z85">
        <v>76.8</v>
      </c>
      <c r="AA85">
        <v>92</v>
      </c>
      <c r="AB85">
        <v>944</v>
      </c>
      <c r="AD85">
        <v>15.01460286</v>
      </c>
      <c r="AE85">
        <v>30.308762860000002</v>
      </c>
      <c r="AF85">
        <v>19.65765833</v>
      </c>
      <c r="AG85">
        <v>63.700383330000001</v>
      </c>
      <c r="AI85">
        <v>225</v>
      </c>
      <c r="AK85">
        <v>135.69999999999999</v>
      </c>
      <c r="AL85">
        <v>42.7</v>
      </c>
      <c r="AM85">
        <v>93</v>
      </c>
    </row>
    <row r="86" spans="1:39" x14ac:dyDescent="0.2">
      <c r="A86">
        <v>85</v>
      </c>
      <c r="B86" t="s">
        <v>1</v>
      </c>
      <c r="C86">
        <v>3</v>
      </c>
      <c r="D86" t="s">
        <v>9</v>
      </c>
      <c r="E86">
        <v>17.3</v>
      </c>
      <c r="F86">
        <v>1.31</v>
      </c>
      <c r="G86">
        <v>1595</v>
      </c>
      <c r="H86">
        <v>13.67</v>
      </c>
      <c r="I86">
        <v>26</v>
      </c>
      <c r="J86">
        <v>65</v>
      </c>
      <c r="K86">
        <v>0.60214236499999996</v>
      </c>
      <c r="L86" s="4">
        <v>159000000000000</v>
      </c>
      <c r="M86" s="4">
        <v>3.34E+16</v>
      </c>
      <c r="N86" s="4">
        <v>3.35E+16</v>
      </c>
      <c r="O86">
        <v>15.98</v>
      </c>
      <c r="P86" t="s">
        <v>24</v>
      </c>
      <c r="Q86" t="s">
        <v>24</v>
      </c>
      <c r="R86" t="s">
        <v>24</v>
      </c>
      <c r="S86" t="s">
        <v>24</v>
      </c>
      <c r="X86">
        <v>0</v>
      </c>
      <c r="Y86">
        <v>1</v>
      </c>
      <c r="Z86">
        <v>74.5</v>
      </c>
      <c r="AA86">
        <v>91</v>
      </c>
      <c r="AB86">
        <v>927</v>
      </c>
      <c r="AD86">
        <v>15.315398330000001</v>
      </c>
      <c r="AE86">
        <v>24.24038333</v>
      </c>
      <c r="AF86">
        <v>16.362658329999999</v>
      </c>
      <c r="AG86">
        <v>62.128738329999997</v>
      </c>
      <c r="AI86">
        <v>216</v>
      </c>
      <c r="AK86">
        <v>121</v>
      </c>
      <c r="AL86">
        <v>28.1</v>
      </c>
      <c r="AM86">
        <v>93</v>
      </c>
    </row>
    <row r="87" spans="1:39" x14ac:dyDescent="0.2">
      <c r="A87">
        <v>86</v>
      </c>
      <c r="B87" t="s">
        <v>1</v>
      </c>
      <c r="C87">
        <v>3</v>
      </c>
      <c r="D87" t="s">
        <v>9</v>
      </c>
      <c r="E87">
        <v>17.3</v>
      </c>
      <c r="F87">
        <v>1.31</v>
      </c>
      <c r="G87">
        <v>1595</v>
      </c>
      <c r="H87">
        <v>13.67</v>
      </c>
      <c r="I87">
        <v>26</v>
      </c>
      <c r="J87">
        <v>65</v>
      </c>
      <c r="K87">
        <v>0.60214236499999996</v>
      </c>
      <c r="L87" s="4">
        <v>112000000000000</v>
      </c>
      <c r="M87" s="4">
        <v>3.67E+16</v>
      </c>
      <c r="N87" s="4">
        <v>3.68E+16</v>
      </c>
      <c r="O87">
        <v>8.39</v>
      </c>
      <c r="P87">
        <v>0.61399999999999999</v>
      </c>
      <c r="Q87">
        <v>0.38600000000000001</v>
      </c>
      <c r="R87">
        <v>73.117076409999996</v>
      </c>
      <c r="S87">
        <v>46.030621910000001</v>
      </c>
      <c r="X87">
        <v>0</v>
      </c>
      <c r="Y87">
        <v>1</v>
      </c>
      <c r="Z87">
        <v>71.900000000000006</v>
      </c>
      <c r="AA87">
        <v>90</v>
      </c>
      <c r="AB87">
        <v>896</v>
      </c>
      <c r="AD87">
        <v>15.37203167</v>
      </c>
      <c r="AE87">
        <v>21.987175000000001</v>
      </c>
      <c r="AF87">
        <v>16.807748</v>
      </c>
      <c r="AG87">
        <v>61.194747999999997</v>
      </c>
      <c r="AI87">
        <v>212</v>
      </c>
      <c r="AK87">
        <v>116.3</v>
      </c>
      <c r="AL87">
        <v>17</v>
      </c>
      <c r="AM87">
        <v>99.3</v>
      </c>
    </row>
    <row r="88" spans="1:39" x14ac:dyDescent="0.2">
      <c r="A88">
        <v>87</v>
      </c>
      <c r="B88" t="s">
        <v>1</v>
      </c>
      <c r="C88">
        <v>3</v>
      </c>
      <c r="D88" t="s">
        <v>10</v>
      </c>
      <c r="E88">
        <v>21.8</v>
      </c>
      <c r="F88">
        <v>1.34</v>
      </c>
      <c r="G88">
        <v>530</v>
      </c>
      <c r="H88">
        <v>13.7</v>
      </c>
      <c r="I88">
        <v>29</v>
      </c>
      <c r="J88">
        <v>65</v>
      </c>
      <c r="K88">
        <v>0.60214236499999996</v>
      </c>
      <c r="L88" s="4">
        <v>146000000000000</v>
      </c>
      <c r="M88" s="4">
        <v>1.11E+16</v>
      </c>
      <c r="N88" s="4">
        <v>1.12E+16</v>
      </c>
      <c r="O88">
        <v>16.760000000000002</v>
      </c>
      <c r="P88" t="s">
        <v>24</v>
      </c>
      <c r="Q88" t="s">
        <v>24</v>
      </c>
      <c r="R88" t="s">
        <v>24</v>
      </c>
      <c r="S88" t="s">
        <v>24</v>
      </c>
      <c r="X88">
        <v>0</v>
      </c>
      <c r="Y88">
        <v>1</v>
      </c>
      <c r="Z88">
        <v>74.599999999999994</v>
      </c>
      <c r="AA88">
        <v>92</v>
      </c>
      <c r="AB88">
        <v>936</v>
      </c>
      <c r="AD88">
        <v>11.321806670000001</v>
      </c>
      <c r="AE88">
        <v>36.792253330000001</v>
      </c>
      <c r="AF88">
        <v>21.863659999999999</v>
      </c>
      <c r="AG88">
        <v>61.929560000000002</v>
      </c>
      <c r="AI88">
        <v>224</v>
      </c>
      <c r="AK88">
        <v>52.4</v>
      </c>
      <c r="AL88">
        <v>32.4</v>
      </c>
      <c r="AM88">
        <v>20</v>
      </c>
    </row>
    <row r="89" spans="1:39" x14ac:dyDescent="0.2">
      <c r="A89">
        <v>88</v>
      </c>
      <c r="B89" t="s">
        <v>1</v>
      </c>
      <c r="C89">
        <v>3</v>
      </c>
      <c r="D89" t="s">
        <v>10</v>
      </c>
      <c r="E89">
        <v>21.8</v>
      </c>
      <c r="F89">
        <v>1.34</v>
      </c>
      <c r="G89">
        <v>530</v>
      </c>
      <c r="H89">
        <v>13.7</v>
      </c>
      <c r="I89">
        <v>21</v>
      </c>
      <c r="J89">
        <v>65</v>
      </c>
      <c r="K89">
        <v>0.60214236499999996</v>
      </c>
      <c r="L89" s="4">
        <v>252000000000000</v>
      </c>
      <c r="M89" s="4">
        <v>1.73E+16</v>
      </c>
      <c r="N89" s="4">
        <v>1.75E+16</v>
      </c>
      <c r="O89">
        <v>33.409999999999997</v>
      </c>
      <c r="P89" t="s">
        <v>24</v>
      </c>
      <c r="Q89" t="s">
        <v>24</v>
      </c>
      <c r="R89" t="s">
        <v>24</v>
      </c>
      <c r="S89" t="s">
        <v>24</v>
      </c>
      <c r="X89">
        <v>0</v>
      </c>
      <c r="Y89">
        <v>1</v>
      </c>
      <c r="Z89">
        <v>76.900000000000006</v>
      </c>
      <c r="AA89">
        <v>90</v>
      </c>
      <c r="AB89">
        <v>939</v>
      </c>
      <c r="AD89">
        <v>12.481522500000001</v>
      </c>
      <c r="AE89">
        <v>39.453857499999998</v>
      </c>
      <c r="AF89">
        <v>22.732801429999999</v>
      </c>
      <c r="AG89">
        <v>68.699898570000002</v>
      </c>
      <c r="AI89">
        <v>245</v>
      </c>
      <c r="AK89">
        <v>102.3</v>
      </c>
      <c r="AL89">
        <v>63.4</v>
      </c>
      <c r="AM89">
        <v>38.9</v>
      </c>
    </row>
    <row r="90" spans="1:39" x14ac:dyDescent="0.2">
      <c r="A90">
        <v>89</v>
      </c>
      <c r="B90" t="s">
        <v>1</v>
      </c>
      <c r="C90">
        <v>3</v>
      </c>
      <c r="D90" t="s">
        <v>10</v>
      </c>
      <c r="E90">
        <v>21.8</v>
      </c>
      <c r="F90">
        <v>1.34</v>
      </c>
      <c r="G90">
        <v>530</v>
      </c>
      <c r="H90">
        <v>13.7</v>
      </c>
      <c r="I90">
        <v>22</v>
      </c>
      <c r="J90">
        <v>65</v>
      </c>
      <c r="K90">
        <v>0.60214236499999996</v>
      </c>
      <c r="L90" s="4">
        <v>201000000000000</v>
      </c>
      <c r="M90" s="4">
        <v>1.94E+16</v>
      </c>
      <c r="N90" s="4">
        <v>1.96E+16</v>
      </c>
      <c r="O90">
        <v>22.96</v>
      </c>
      <c r="P90">
        <v>0.73399999999999999</v>
      </c>
      <c r="Q90">
        <v>0.26600000000000001</v>
      </c>
      <c r="R90">
        <v>33.853659469999997</v>
      </c>
      <c r="S90">
        <v>12.282168649999999</v>
      </c>
      <c r="X90">
        <v>0</v>
      </c>
      <c r="Y90">
        <v>1</v>
      </c>
      <c r="Z90">
        <v>74.5</v>
      </c>
      <c r="AA90">
        <v>90</v>
      </c>
      <c r="AB90">
        <v>922</v>
      </c>
      <c r="AD90">
        <v>12.69467667</v>
      </c>
      <c r="AE90">
        <v>31.03270333</v>
      </c>
      <c r="AF90">
        <v>20.95966</v>
      </c>
      <c r="AG90">
        <v>64.183623330000003</v>
      </c>
      <c r="AI90">
        <v>219</v>
      </c>
      <c r="AK90">
        <v>75.599999999999994</v>
      </c>
      <c r="AL90">
        <v>37.200000000000003</v>
      </c>
      <c r="AM90">
        <v>38.4</v>
      </c>
    </row>
    <row r="91" spans="1:39" x14ac:dyDescent="0.2">
      <c r="A91">
        <v>90</v>
      </c>
      <c r="B91" t="s">
        <v>1</v>
      </c>
      <c r="C91">
        <v>3</v>
      </c>
      <c r="D91" t="s">
        <v>10</v>
      </c>
      <c r="E91">
        <v>21.8</v>
      </c>
      <c r="F91">
        <v>1.34</v>
      </c>
      <c r="G91">
        <v>530</v>
      </c>
      <c r="H91">
        <v>13.7</v>
      </c>
      <c r="I91">
        <v>22</v>
      </c>
      <c r="J91">
        <v>65</v>
      </c>
      <c r="K91">
        <v>0.60214236499999996</v>
      </c>
      <c r="L91" s="4">
        <v>150000000000000</v>
      </c>
      <c r="M91" s="4">
        <v>2.19E+16</v>
      </c>
      <c r="N91" s="4">
        <v>2.21E+16</v>
      </c>
      <c r="O91">
        <v>11.73</v>
      </c>
      <c r="P91">
        <v>0.65300000000000002</v>
      </c>
      <c r="Q91">
        <v>0.34699999999999998</v>
      </c>
      <c r="R91">
        <v>26.987876109999998</v>
      </c>
      <c r="S91">
        <v>14.367336529999999</v>
      </c>
      <c r="X91">
        <v>0</v>
      </c>
      <c r="Y91">
        <v>1</v>
      </c>
      <c r="Z91">
        <v>72</v>
      </c>
      <c r="AA91">
        <v>90</v>
      </c>
      <c r="AB91">
        <v>899</v>
      </c>
      <c r="AD91">
        <v>12.823947779999999</v>
      </c>
      <c r="AE91">
        <v>23.78931</v>
      </c>
      <c r="AF91">
        <v>20.224581669999999</v>
      </c>
      <c r="AG91">
        <v>59.437791670000003</v>
      </c>
      <c r="AI91">
        <v>295</v>
      </c>
      <c r="AK91">
        <v>57</v>
      </c>
      <c r="AL91">
        <v>22.5</v>
      </c>
      <c r="AM91">
        <v>34.5</v>
      </c>
    </row>
    <row r="92" spans="1:39" x14ac:dyDescent="0.2">
      <c r="A92">
        <v>91</v>
      </c>
      <c r="B92" t="s">
        <v>2</v>
      </c>
      <c r="C92">
        <v>3</v>
      </c>
      <c r="D92" t="s">
        <v>8</v>
      </c>
      <c r="E92">
        <v>18.600000000000001</v>
      </c>
      <c r="F92">
        <v>1.6</v>
      </c>
      <c r="G92">
        <v>1148</v>
      </c>
      <c r="H92">
        <v>13.6</v>
      </c>
      <c r="I92">
        <v>5.7</v>
      </c>
      <c r="J92">
        <v>65</v>
      </c>
      <c r="K92">
        <v>0.60214236499999996</v>
      </c>
      <c r="L92" s="4">
        <v>350000000000000</v>
      </c>
      <c r="M92" s="4">
        <v>2.53E+16</v>
      </c>
      <c r="N92" s="4">
        <v>2.6E+16</v>
      </c>
      <c r="O92">
        <v>17.12</v>
      </c>
      <c r="P92" t="s">
        <v>24</v>
      </c>
      <c r="Q92" t="s">
        <v>24</v>
      </c>
      <c r="R92" t="s">
        <v>24</v>
      </c>
      <c r="S92" t="s">
        <v>24</v>
      </c>
      <c r="X92">
        <v>0</v>
      </c>
      <c r="Y92">
        <v>1</v>
      </c>
      <c r="Z92">
        <v>75.022000050000003</v>
      </c>
      <c r="AA92">
        <v>89</v>
      </c>
      <c r="AB92">
        <v>888</v>
      </c>
      <c r="AD92">
        <v>13.118600000000001</v>
      </c>
      <c r="AE92">
        <v>24.7501</v>
      </c>
      <c r="AF92">
        <v>15.237500000000001</v>
      </c>
      <c r="AG92">
        <v>67.424800000000005</v>
      </c>
      <c r="AI92">
        <v>170</v>
      </c>
      <c r="AK92">
        <v>75.7</v>
      </c>
      <c r="AL92">
        <v>15.6</v>
      </c>
      <c r="AM92">
        <v>60.1</v>
      </c>
    </row>
    <row r="93" spans="1:39" x14ac:dyDescent="0.2">
      <c r="A93">
        <v>92</v>
      </c>
      <c r="B93" t="s">
        <v>2</v>
      </c>
      <c r="C93">
        <v>2</v>
      </c>
      <c r="D93" t="s">
        <v>8</v>
      </c>
      <c r="E93">
        <v>18.600000000000001</v>
      </c>
      <c r="F93">
        <v>1.6</v>
      </c>
      <c r="G93">
        <v>1148</v>
      </c>
      <c r="H93">
        <v>13.6</v>
      </c>
      <c r="I93">
        <v>5.8</v>
      </c>
      <c r="J93">
        <v>65</v>
      </c>
      <c r="K93">
        <v>0.60214236499999996</v>
      </c>
      <c r="L93" s="4">
        <v>520000000000000</v>
      </c>
      <c r="M93" s="4">
        <v>1.9E+16</v>
      </c>
      <c r="N93" s="4">
        <v>2E+16</v>
      </c>
      <c r="O93">
        <v>40.21</v>
      </c>
      <c r="P93" t="s">
        <v>24</v>
      </c>
      <c r="Q93" t="s">
        <v>24</v>
      </c>
      <c r="R93" t="s">
        <v>24</v>
      </c>
      <c r="S93" t="s">
        <v>24</v>
      </c>
      <c r="X93">
        <v>1</v>
      </c>
      <c r="Y93">
        <v>0</v>
      </c>
      <c r="Z93" t="s">
        <v>24</v>
      </c>
      <c r="AA93" t="s">
        <v>24</v>
      </c>
      <c r="AB93" t="s">
        <v>24</v>
      </c>
      <c r="AD93">
        <v>14.2645</v>
      </c>
      <c r="AE93">
        <v>36.168500000000002</v>
      </c>
      <c r="AF93">
        <v>17.6936</v>
      </c>
      <c r="AG93">
        <v>73.553299999999993</v>
      </c>
      <c r="AI93">
        <v>180</v>
      </c>
      <c r="AK93">
        <v>100.5</v>
      </c>
      <c r="AL93">
        <v>29.9</v>
      </c>
      <c r="AM93">
        <v>70.599999999999994</v>
      </c>
    </row>
    <row r="94" spans="1:39" x14ac:dyDescent="0.2">
      <c r="A94">
        <v>93</v>
      </c>
      <c r="B94" t="s">
        <v>2</v>
      </c>
      <c r="C94">
        <v>3</v>
      </c>
      <c r="D94" t="s">
        <v>8</v>
      </c>
      <c r="E94">
        <v>18.600000000000001</v>
      </c>
      <c r="F94">
        <v>1.6</v>
      </c>
      <c r="G94">
        <v>1148</v>
      </c>
      <c r="H94">
        <v>13.6</v>
      </c>
      <c r="I94">
        <v>4.4000000000000004</v>
      </c>
      <c r="J94">
        <v>65</v>
      </c>
      <c r="K94">
        <v>0.60214236499999996</v>
      </c>
      <c r="L94" s="4">
        <v>510000000000000</v>
      </c>
      <c r="M94" s="4">
        <v>2.89E+16</v>
      </c>
      <c r="N94" s="4">
        <v>2.9E+16</v>
      </c>
      <c r="O94">
        <v>30.5</v>
      </c>
      <c r="P94" t="s">
        <v>24</v>
      </c>
      <c r="Q94" t="s">
        <v>24</v>
      </c>
      <c r="R94" t="s">
        <v>24</v>
      </c>
      <c r="S94" t="s">
        <v>24</v>
      </c>
      <c r="X94">
        <v>0</v>
      </c>
      <c r="Y94">
        <v>1</v>
      </c>
      <c r="Z94">
        <v>91.846440529999995</v>
      </c>
      <c r="AA94">
        <v>90</v>
      </c>
      <c r="AB94">
        <v>884</v>
      </c>
      <c r="AD94">
        <v>16.147200000000002</v>
      </c>
      <c r="AE94">
        <v>33.557299999999998</v>
      </c>
      <c r="AF94">
        <v>20.064699999999998</v>
      </c>
      <c r="AG94">
        <v>117.667</v>
      </c>
      <c r="AI94">
        <v>60</v>
      </c>
      <c r="AK94">
        <v>105.7</v>
      </c>
      <c r="AL94">
        <v>43.9</v>
      </c>
      <c r="AM94">
        <v>61.8</v>
      </c>
    </row>
    <row r="95" spans="1:39" x14ac:dyDescent="0.2">
      <c r="A95">
        <v>94</v>
      </c>
      <c r="B95" t="s">
        <v>2</v>
      </c>
      <c r="C95">
        <v>3</v>
      </c>
      <c r="D95" t="s">
        <v>8</v>
      </c>
      <c r="E95">
        <v>18.600000000000001</v>
      </c>
      <c r="F95">
        <v>1.6</v>
      </c>
      <c r="G95">
        <v>1148</v>
      </c>
      <c r="H95">
        <v>13.6</v>
      </c>
      <c r="I95">
        <v>4.2</v>
      </c>
      <c r="J95">
        <v>65</v>
      </c>
      <c r="K95">
        <v>0.60214236499999996</v>
      </c>
      <c r="L95" s="4">
        <v>540000000000000</v>
      </c>
      <c r="M95" s="4">
        <v>4340000000000000</v>
      </c>
      <c r="N95" s="4">
        <v>4900000000000000</v>
      </c>
      <c r="O95">
        <v>31.94</v>
      </c>
      <c r="P95" t="s">
        <v>24</v>
      </c>
      <c r="Q95" t="s">
        <v>24</v>
      </c>
      <c r="R95" t="s">
        <v>24</v>
      </c>
      <c r="S95" t="s">
        <v>24</v>
      </c>
      <c r="X95">
        <v>0</v>
      </c>
      <c r="Y95">
        <v>1</v>
      </c>
      <c r="Z95">
        <v>91.846440529999995</v>
      </c>
      <c r="AA95">
        <v>90</v>
      </c>
      <c r="AB95">
        <v>884</v>
      </c>
      <c r="AD95">
        <v>16.389399999999998</v>
      </c>
      <c r="AE95">
        <v>50.0139</v>
      </c>
      <c r="AF95">
        <v>19.7072</v>
      </c>
      <c r="AG95">
        <v>101.65</v>
      </c>
      <c r="AI95">
        <v>120</v>
      </c>
      <c r="AK95">
        <v>112.5</v>
      </c>
      <c r="AL95">
        <v>44.3</v>
      </c>
      <c r="AM95">
        <v>68.2</v>
      </c>
    </row>
    <row r="96" spans="1:39" x14ac:dyDescent="0.2">
      <c r="A96">
        <v>95</v>
      </c>
      <c r="B96" t="s">
        <v>2</v>
      </c>
      <c r="C96">
        <v>2</v>
      </c>
      <c r="D96" t="s">
        <v>8</v>
      </c>
      <c r="E96">
        <v>18.600000000000001</v>
      </c>
      <c r="F96">
        <v>1.6</v>
      </c>
      <c r="G96">
        <v>1148</v>
      </c>
      <c r="H96">
        <v>13.6</v>
      </c>
      <c r="I96">
        <v>4</v>
      </c>
      <c r="J96">
        <v>65</v>
      </c>
      <c r="K96">
        <v>0.60214236499999996</v>
      </c>
      <c r="L96" s="4">
        <v>790000000000000</v>
      </c>
      <c r="M96" s="4">
        <v>2.34E+16</v>
      </c>
      <c r="N96" s="4">
        <v>2.4E+16</v>
      </c>
      <c r="O96">
        <v>70.47</v>
      </c>
      <c r="P96" t="s">
        <v>24</v>
      </c>
      <c r="Q96" t="s">
        <v>24</v>
      </c>
      <c r="R96" t="s">
        <v>24</v>
      </c>
      <c r="S96" t="s">
        <v>24</v>
      </c>
      <c r="X96">
        <v>1</v>
      </c>
      <c r="Y96">
        <v>0</v>
      </c>
      <c r="Z96" t="s">
        <v>24</v>
      </c>
      <c r="AA96" t="s">
        <v>24</v>
      </c>
      <c r="AB96" t="s">
        <v>24</v>
      </c>
      <c r="AD96">
        <v>16.613600000000002</v>
      </c>
      <c r="AE96">
        <v>48.343499999999999</v>
      </c>
      <c r="AF96">
        <v>23.362400000000001</v>
      </c>
      <c r="AG96">
        <v>101.316</v>
      </c>
      <c r="AI96">
        <v>65</v>
      </c>
      <c r="AK96">
        <v>144</v>
      </c>
      <c r="AL96">
        <v>75.2</v>
      </c>
      <c r="AM96">
        <v>68.900000000000006</v>
      </c>
    </row>
    <row r="97" spans="1:39" x14ac:dyDescent="0.2">
      <c r="A97">
        <v>96</v>
      </c>
      <c r="B97" t="s">
        <v>2</v>
      </c>
      <c r="C97">
        <v>2</v>
      </c>
      <c r="D97" t="s">
        <v>8</v>
      </c>
      <c r="E97">
        <v>18.600000000000001</v>
      </c>
      <c r="F97">
        <v>1.6</v>
      </c>
      <c r="G97">
        <v>1148</v>
      </c>
      <c r="H97">
        <v>13.6</v>
      </c>
      <c r="I97">
        <v>9.4</v>
      </c>
      <c r="J97">
        <v>65</v>
      </c>
      <c r="K97">
        <v>0.60214236499999996</v>
      </c>
      <c r="L97" s="4">
        <v>760000000000000</v>
      </c>
      <c r="M97" s="4">
        <v>3150000000000000</v>
      </c>
      <c r="N97" s="4">
        <v>3900000000000000</v>
      </c>
      <c r="O97">
        <v>80.62</v>
      </c>
      <c r="P97">
        <v>0.84799999999999998</v>
      </c>
      <c r="Q97">
        <v>0.152</v>
      </c>
      <c r="R97">
        <v>95.673326099999997</v>
      </c>
      <c r="S97">
        <v>17.161233899999999</v>
      </c>
      <c r="X97">
        <v>1</v>
      </c>
      <c r="Y97">
        <v>0</v>
      </c>
      <c r="Z97" t="s">
        <v>24</v>
      </c>
      <c r="AA97" t="s">
        <v>24</v>
      </c>
      <c r="AB97" t="s">
        <v>24</v>
      </c>
      <c r="AD97">
        <v>14.951499999999999</v>
      </c>
      <c r="AE97">
        <v>48.157899999999998</v>
      </c>
      <c r="AF97">
        <v>23.548400000000001</v>
      </c>
      <c r="AG97">
        <v>80.075599999999994</v>
      </c>
      <c r="AI97">
        <v>160</v>
      </c>
      <c r="AK97">
        <v>158.69999999999999</v>
      </c>
      <c r="AL97">
        <v>64.599999999999994</v>
      </c>
      <c r="AM97">
        <v>94</v>
      </c>
    </row>
    <row r="98" spans="1:39" x14ac:dyDescent="0.2">
      <c r="A98">
        <v>97</v>
      </c>
      <c r="B98" t="s">
        <v>2</v>
      </c>
      <c r="C98">
        <v>3</v>
      </c>
      <c r="D98" t="s">
        <v>8</v>
      </c>
      <c r="E98">
        <v>18.600000000000001</v>
      </c>
      <c r="F98">
        <v>1.6</v>
      </c>
      <c r="G98">
        <v>1148</v>
      </c>
      <c r="H98">
        <v>13.6</v>
      </c>
      <c r="I98">
        <v>9.5</v>
      </c>
      <c r="J98">
        <v>65</v>
      </c>
      <c r="K98">
        <v>0.60214236499999996</v>
      </c>
      <c r="L98" s="4">
        <v>540000000000000</v>
      </c>
      <c r="M98" s="4">
        <v>2.37E+16</v>
      </c>
      <c r="N98" s="4">
        <v>2.4E+16</v>
      </c>
      <c r="O98">
        <v>41.25</v>
      </c>
      <c r="P98">
        <v>0.92100000000000004</v>
      </c>
      <c r="Q98">
        <v>7.9000000000000001E-2</v>
      </c>
      <c r="R98">
        <v>79.114913479999998</v>
      </c>
      <c r="S98">
        <v>6.799566521</v>
      </c>
      <c r="X98">
        <v>0</v>
      </c>
      <c r="Y98">
        <v>1</v>
      </c>
      <c r="Z98">
        <v>74.776517470000002</v>
      </c>
      <c r="AA98">
        <v>91</v>
      </c>
      <c r="AB98">
        <v>899</v>
      </c>
      <c r="AD98">
        <v>13.2209</v>
      </c>
      <c r="AE98">
        <v>34.222099999999998</v>
      </c>
      <c r="AF98">
        <v>17.476299999999998</v>
      </c>
      <c r="AG98">
        <v>72.724599999999995</v>
      </c>
      <c r="AI98">
        <v>150</v>
      </c>
      <c r="AK98">
        <v>104.3</v>
      </c>
      <c r="AL98">
        <v>32.700000000000003</v>
      </c>
      <c r="AM98">
        <v>71.599999999999994</v>
      </c>
    </row>
    <row r="99" spans="1:39" x14ac:dyDescent="0.2">
      <c r="A99">
        <v>98</v>
      </c>
      <c r="B99" t="s">
        <v>2</v>
      </c>
      <c r="C99">
        <v>3</v>
      </c>
      <c r="D99" t="s">
        <v>8</v>
      </c>
      <c r="E99">
        <v>18.600000000000001</v>
      </c>
      <c r="F99">
        <v>1.6</v>
      </c>
      <c r="G99">
        <v>1148</v>
      </c>
      <c r="H99">
        <v>13.6</v>
      </c>
      <c r="I99">
        <v>9.8000000000000007</v>
      </c>
      <c r="J99">
        <v>65</v>
      </c>
      <c r="K99">
        <v>0.60214236499999996</v>
      </c>
      <c r="L99" s="4">
        <v>470000000000000</v>
      </c>
      <c r="M99" s="4">
        <v>2.53E+16</v>
      </c>
      <c r="N99" s="4">
        <v>2.6E+16</v>
      </c>
      <c r="O99">
        <v>31.75</v>
      </c>
      <c r="P99">
        <v>0.83099999999999996</v>
      </c>
      <c r="Q99">
        <v>0.16900000000000001</v>
      </c>
      <c r="R99">
        <v>72.585510029999995</v>
      </c>
      <c r="S99">
        <v>14.770889970000001</v>
      </c>
      <c r="X99">
        <v>0</v>
      </c>
      <c r="Y99">
        <v>1</v>
      </c>
      <c r="Z99">
        <v>74.674103700000003</v>
      </c>
      <c r="AA99">
        <v>91</v>
      </c>
      <c r="AB99">
        <v>893</v>
      </c>
      <c r="AD99">
        <v>13.2707</v>
      </c>
      <c r="AE99">
        <v>29.385400000000001</v>
      </c>
      <c r="AF99">
        <v>19.440799999999999</v>
      </c>
      <c r="AG99">
        <v>71.531899999999993</v>
      </c>
      <c r="AI99">
        <v>150</v>
      </c>
      <c r="AK99">
        <v>100.2</v>
      </c>
      <c r="AL99">
        <v>27.4</v>
      </c>
      <c r="AM99">
        <v>72.8</v>
      </c>
    </row>
    <row r="100" spans="1:39" x14ac:dyDescent="0.2">
      <c r="A100">
        <v>99</v>
      </c>
      <c r="B100" t="s">
        <v>2</v>
      </c>
      <c r="C100">
        <v>2</v>
      </c>
      <c r="D100" t="s">
        <v>8</v>
      </c>
      <c r="E100">
        <v>18.600000000000001</v>
      </c>
      <c r="F100">
        <v>1.6</v>
      </c>
      <c r="G100">
        <v>1148</v>
      </c>
      <c r="H100">
        <v>13.6</v>
      </c>
      <c r="I100">
        <v>-2.5</v>
      </c>
      <c r="J100">
        <v>65</v>
      </c>
      <c r="K100">
        <v>0.60214236499999996</v>
      </c>
      <c r="L100" s="4">
        <v>860000000000000</v>
      </c>
      <c r="M100" s="4">
        <v>2.38E+16</v>
      </c>
      <c r="N100" s="4">
        <v>2.5E+16</v>
      </c>
      <c r="O100">
        <v>76.209999999999994</v>
      </c>
      <c r="P100">
        <v>0.92100000000000004</v>
      </c>
      <c r="Q100">
        <v>7.9000000000000001E-2</v>
      </c>
      <c r="R100">
        <v>115.5675672</v>
      </c>
      <c r="S100">
        <v>9.878152772</v>
      </c>
      <c r="X100">
        <v>1</v>
      </c>
      <c r="Y100">
        <v>0</v>
      </c>
      <c r="Z100" t="s">
        <v>24</v>
      </c>
      <c r="AA100" t="s">
        <v>24</v>
      </c>
      <c r="AB100" t="s">
        <v>24</v>
      </c>
      <c r="AD100">
        <v>15.2377</v>
      </c>
      <c r="AE100">
        <v>41.1721</v>
      </c>
      <c r="AF100">
        <v>21.556999999999999</v>
      </c>
      <c r="AG100">
        <v>76.031199999999998</v>
      </c>
      <c r="AI100">
        <v>128</v>
      </c>
      <c r="AK100">
        <v>174.1</v>
      </c>
      <c r="AL100">
        <v>69.599999999999994</v>
      </c>
      <c r="AM100">
        <v>104.5</v>
      </c>
    </row>
    <row r="101" spans="1:39" x14ac:dyDescent="0.2">
      <c r="A101">
        <v>100</v>
      </c>
      <c r="B101" t="s">
        <v>2</v>
      </c>
      <c r="C101">
        <v>3</v>
      </c>
      <c r="D101" t="s">
        <v>8</v>
      </c>
      <c r="E101">
        <v>18.600000000000001</v>
      </c>
      <c r="F101">
        <v>1.6</v>
      </c>
      <c r="G101">
        <v>1148</v>
      </c>
      <c r="H101">
        <v>13.6</v>
      </c>
      <c r="I101">
        <v>-2.8</v>
      </c>
      <c r="J101">
        <v>65</v>
      </c>
      <c r="K101">
        <v>0.60214236499999996</v>
      </c>
      <c r="L101" s="4">
        <v>630000000000000</v>
      </c>
      <c r="M101" s="4">
        <v>3.16E+16</v>
      </c>
      <c r="N101" s="4">
        <v>3.2E+16</v>
      </c>
      <c r="O101">
        <v>39.72</v>
      </c>
      <c r="P101">
        <v>0.92100000000000004</v>
      </c>
      <c r="Q101">
        <v>7.9000000000000001E-2</v>
      </c>
      <c r="R101">
        <v>93.230264180000006</v>
      </c>
      <c r="S101">
        <v>7.9658558160000004</v>
      </c>
      <c r="X101">
        <v>0</v>
      </c>
      <c r="Y101">
        <v>1</v>
      </c>
      <c r="Z101">
        <v>75.801001990000003</v>
      </c>
      <c r="AA101">
        <v>89</v>
      </c>
      <c r="AB101">
        <v>873</v>
      </c>
      <c r="AD101">
        <v>13.9129</v>
      </c>
      <c r="AE101">
        <v>32.139699999999998</v>
      </c>
      <c r="AF101">
        <v>20.514600000000002</v>
      </c>
      <c r="AG101">
        <v>72.332599999999999</v>
      </c>
      <c r="AI101">
        <v>132</v>
      </c>
      <c r="AK101">
        <v>127.8</v>
      </c>
      <c r="AL101">
        <v>43.4</v>
      </c>
      <c r="AM101">
        <v>84.3</v>
      </c>
    </row>
    <row r="102" spans="1:39" x14ac:dyDescent="0.2">
      <c r="A102">
        <v>101</v>
      </c>
      <c r="B102" t="s">
        <v>2</v>
      </c>
      <c r="C102">
        <v>3</v>
      </c>
      <c r="D102" t="s">
        <v>8</v>
      </c>
      <c r="E102">
        <v>18.600000000000001</v>
      </c>
      <c r="F102">
        <v>1.6</v>
      </c>
      <c r="G102">
        <v>1148</v>
      </c>
      <c r="H102">
        <v>13.6</v>
      </c>
      <c r="I102">
        <v>1.9</v>
      </c>
      <c r="J102">
        <v>65</v>
      </c>
      <c r="K102">
        <v>0.60214236499999996</v>
      </c>
      <c r="L102" s="4">
        <v>7400000000000000</v>
      </c>
      <c r="M102" s="4">
        <v>2.21E+16</v>
      </c>
      <c r="N102" s="4">
        <v>2.9E+16</v>
      </c>
      <c r="O102">
        <v>37.61</v>
      </c>
      <c r="P102">
        <v>0.96199999999999997</v>
      </c>
      <c r="Q102">
        <v>3.7999999999999999E-2</v>
      </c>
      <c r="R102">
        <v>18.961051390000002</v>
      </c>
      <c r="S102">
        <v>0.75566860700000005</v>
      </c>
      <c r="X102">
        <v>0</v>
      </c>
      <c r="Y102">
        <v>1</v>
      </c>
      <c r="Z102">
        <v>75.334988039999999</v>
      </c>
      <c r="AA102">
        <v>89</v>
      </c>
      <c r="AB102">
        <v>866</v>
      </c>
      <c r="AD102">
        <v>13.525700000000001</v>
      </c>
      <c r="AE102">
        <v>31.282800000000002</v>
      </c>
      <c r="AF102">
        <v>13.7622</v>
      </c>
      <c r="AG102">
        <v>36.694800000000001</v>
      </c>
      <c r="AI102">
        <v>214</v>
      </c>
      <c r="AK102">
        <v>115.6</v>
      </c>
      <c r="AL102">
        <v>99.2</v>
      </c>
      <c r="AM102">
        <v>16.399999999999999</v>
      </c>
    </row>
    <row r="103" spans="1:39" x14ac:dyDescent="0.2">
      <c r="A103">
        <v>102</v>
      </c>
      <c r="B103" t="s">
        <v>2</v>
      </c>
      <c r="C103">
        <v>2</v>
      </c>
      <c r="D103" t="s">
        <v>8</v>
      </c>
      <c r="E103">
        <v>18.600000000000001</v>
      </c>
      <c r="F103">
        <v>1.6</v>
      </c>
      <c r="G103">
        <v>1148</v>
      </c>
      <c r="H103">
        <v>13.6</v>
      </c>
      <c r="I103">
        <v>13.9</v>
      </c>
      <c r="J103">
        <v>65</v>
      </c>
      <c r="K103">
        <v>0.60214236499999996</v>
      </c>
      <c r="L103" s="4">
        <v>660000000000000</v>
      </c>
      <c r="M103" s="4">
        <v>1.86E+16</v>
      </c>
      <c r="N103" s="4">
        <v>1.9E+16</v>
      </c>
      <c r="O103">
        <v>68.7</v>
      </c>
      <c r="P103">
        <v>0.87</v>
      </c>
      <c r="Q103">
        <v>0.13</v>
      </c>
      <c r="R103">
        <v>74.091966889999995</v>
      </c>
      <c r="S103">
        <v>11.04227311</v>
      </c>
      <c r="X103">
        <v>1</v>
      </c>
      <c r="Y103">
        <v>0</v>
      </c>
      <c r="Z103" t="s">
        <v>24</v>
      </c>
      <c r="AA103" t="s">
        <v>24</v>
      </c>
      <c r="AB103" t="s">
        <v>24</v>
      </c>
      <c r="AD103">
        <v>14.5214</v>
      </c>
      <c r="AE103">
        <v>44.568600000000004</v>
      </c>
      <c r="AF103">
        <v>24.521799999999999</v>
      </c>
      <c r="AG103">
        <v>72.441100000000006</v>
      </c>
      <c r="AI103">
        <v>210</v>
      </c>
      <c r="AK103">
        <v>133</v>
      </c>
      <c r="AL103">
        <v>62</v>
      </c>
      <c r="AM103">
        <v>70.900000000000006</v>
      </c>
    </row>
    <row r="104" spans="1:39" x14ac:dyDescent="0.2">
      <c r="A104">
        <v>103</v>
      </c>
      <c r="B104" t="s">
        <v>2</v>
      </c>
      <c r="C104">
        <v>3</v>
      </c>
      <c r="D104" t="s">
        <v>12</v>
      </c>
      <c r="E104">
        <v>0</v>
      </c>
      <c r="F104">
        <v>0</v>
      </c>
      <c r="G104">
        <v>19</v>
      </c>
      <c r="H104">
        <v>15.5</v>
      </c>
      <c r="I104">
        <v>14</v>
      </c>
      <c r="J104">
        <v>65</v>
      </c>
      <c r="K104">
        <v>0.60214236499999996</v>
      </c>
      <c r="L104" s="4">
        <v>59000000000000</v>
      </c>
      <c r="M104" s="4">
        <v>142000000000000</v>
      </c>
      <c r="N104" s="4">
        <v>200000000000000</v>
      </c>
      <c r="O104">
        <v>3.65</v>
      </c>
      <c r="P104">
        <v>0.96499999999999997</v>
      </c>
      <c r="Q104">
        <v>3.5000000000000003E-2</v>
      </c>
      <c r="R104" t="s">
        <v>24</v>
      </c>
      <c r="S104" t="s">
        <v>24</v>
      </c>
      <c r="X104">
        <v>0</v>
      </c>
      <c r="Y104">
        <v>1</v>
      </c>
      <c r="Z104">
        <v>73.996390860000005</v>
      </c>
      <c r="AA104">
        <v>91</v>
      </c>
      <c r="AB104">
        <v>900</v>
      </c>
      <c r="AD104">
        <v>18.811</v>
      </c>
      <c r="AE104">
        <v>53.7455</v>
      </c>
      <c r="AF104">
        <v>22.8825</v>
      </c>
      <c r="AG104">
        <v>71.874899999999997</v>
      </c>
      <c r="AI104">
        <v>195</v>
      </c>
      <c r="AK104">
        <v>2.1</v>
      </c>
      <c r="AL104">
        <v>12.5</v>
      </c>
      <c r="AM104" t="s">
        <v>24</v>
      </c>
    </row>
    <row r="105" spans="1:39" x14ac:dyDescent="0.2">
      <c r="A105">
        <v>104</v>
      </c>
      <c r="B105" t="s">
        <v>2</v>
      </c>
      <c r="C105">
        <v>3</v>
      </c>
      <c r="D105" t="s">
        <v>12</v>
      </c>
      <c r="E105">
        <v>0</v>
      </c>
      <c r="F105">
        <v>0</v>
      </c>
      <c r="G105">
        <v>19</v>
      </c>
      <c r="H105">
        <v>15.5</v>
      </c>
      <c r="I105">
        <v>15</v>
      </c>
      <c r="J105">
        <v>65</v>
      </c>
      <c r="K105">
        <v>0.60214236499999996</v>
      </c>
      <c r="L105" s="4">
        <v>47000000000000</v>
      </c>
      <c r="M105" s="4">
        <v>101000000000000</v>
      </c>
      <c r="N105" s="4">
        <v>150000000000000</v>
      </c>
      <c r="O105">
        <v>4.22</v>
      </c>
      <c r="P105">
        <v>0.441</v>
      </c>
      <c r="Q105">
        <v>0.55900000000000005</v>
      </c>
      <c r="R105">
        <v>0.49592531899999998</v>
      </c>
      <c r="S105">
        <v>0.62812788100000005</v>
      </c>
      <c r="X105">
        <v>0</v>
      </c>
      <c r="Y105">
        <v>1</v>
      </c>
      <c r="Z105">
        <v>74.018660420000003</v>
      </c>
      <c r="AA105">
        <v>91</v>
      </c>
      <c r="AB105">
        <v>887</v>
      </c>
      <c r="AD105">
        <v>19.772600000000001</v>
      </c>
      <c r="AE105">
        <v>60.148499999999999</v>
      </c>
      <c r="AF105">
        <v>20.135400000000001</v>
      </c>
      <c r="AG105">
        <v>50.543399999999998</v>
      </c>
      <c r="AI105">
        <v>180</v>
      </c>
      <c r="AK105">
        <v>1.7</v>
      </c>
      <c r="AL105">
        <v>0.8</v>
      </c>
      <c r="AM105">
        <v>0.9</v>
      </c>
    </row>
    <row r="106" spans="1:39" x14ac:dyDescent="0.2">
      <c r="A106">
        <v>105</v>
      </c>
      <c r="B106" t="s">
        <v>2</v>
      </c>
      <c r="C106">
        <v>2</v>
      </c>
      <c r="D106" t="s">
        <v>8</v>
      </c>
      <c r="E106">
        <v>18.600000000000001</v>
      </c>
      <c r="F106">
        <v>1.6</v>
      </c>
      <c r="G106">
        <v>1148</v>
      </c>
      <c r="H106">
        <v>13.6</v>
      </c>
      <c r="I106">
        <v>0.9</v>
      </c>
      <c r="J106">
        <v>65</v>
      </c>
      <c r="K106">
        <v>0.60214236499999996</v>
      </c>
      <c r="L106" s="4">
        <v>810000000000000</v>
      </c>
      <c r="M106" s="4">
        <v>2.37E+16</v>
      </c>
      <c r="N106" s="4">
        <v>2.4E+16</v>
      </c>
      <c r="O106">
        <v>73.069999999999993</v>
      </c>
      <c r="P106">
        <v>0.83899999999999997</v>
      </c>
      <c r="Q106">
        <v>0.161</v>
      </c>
      <c r="R106">
        <v>99.090985500000002</v>
      </c>
      <c r="S106">
        <v>19.070254500000001</v>
      </c>
      <c r="X106">
        <v>1</v>
      </c>
      <c r="Y106">
        <v>0</v>
      </c>
      <c r="Z106" t="s">
        <v>24</v>
      </c>
      <c r="AA106" t="s">
        <v>24</v>
      </c>
      <c r="AB106" t="s">
        <v>24</v>
      </c>
      <c r="AD106">
        <v>14.9671</v>
      </c>
      <c r="AE106">
        <v>39.779000000000003</v>
      </c>
      <c r="AF106">
        <v>22.024799999999999</v>
      </c>
      <c r="AG106">
        <v>69.118700000000004</v>
      </c>
      <c r="AI106">
        <v>140</v>
      </c>
      <c r="AK106">
        <v>157.80000000000001</v>
      </c>
      <c r="AL106">
        <v>59.3</v>
      </c>
      <c r="AM106">
        <v>98.5</v>
      </c>
    </row>
    <row r="107" spans="1:39" x14ac:dyDescent="0.2">
      <c r="A107">
        <v>106</v>
      </c>
      <c r="B107" t="s">
        <v>2</v>
      </c>
      <c r="C107">
        <v>3</v>
      </c>
      <c r="D107" t="s">
        <v>12</v>
      </c>
      <c r="E107">
        <v>0</v>
      </c>
      <c r="F107">
        <v>0</v>
      </c>
      <c r="G107">
        <v>19</v>
      </c>
      <c r="H107">
        <v>15.5</v>
      </c>
      <c r="I107">
        <v>0.9</v>
      </c>
      <c r="J107">
        <v>65</v>
      </c>
      <c r="K107">
        <v>0.60214236499999996</v>
      </c>
      <c r="L107" s="4">
        <v>75000000000000</v>
      </c>
      <c r="M107" s="4">
        <v>658000000000000</v>
      </c>
      <c r="N107" s="4">
        <v>730000000000000</v>
      </c>
      <c r="O107">
        <v>3.71</v>
      </c>
      <c r="P107">
        <v>0.77800000000000002</v>
      </c>
      <c r="Q107">
        <v>0.222</v>
      </c>
      <c r="R107">
        <v>7.6031966830000002</v>
      </c>
      <c r="S107">
        <v>2.1738273170000002</v>
      </c>
      <c r="X107">
        <v>0</v>
      </c>
      <c r="Y107">
        <v>1</v>
      </c>
      <c r="Z107">
        <v>76.085957820000004</v>
      </c>
      <c r="AA107">
        <v>89</v>
      </c>
      <c r="AB107">
        <v>883</v>
      </c>
      <c r="AD107">
        <v>15.307</v>
      </c>
      <c r="AE107">
        <v>42.125900000000001</v>
      </c>
      <c r="AF107">
        <v>19.024999999999999</v>
      </c>
      <c r="AG107">
        <v>60.087699999999998</v>
      </c>
      <c r="AI107">
        <v>140</v>
      </c>
      <c r="AK107">
        <v>11.5</v>
      </c>
      <c r="AL107">
        <v>3.3</v>
      </c>
      <c r="AM107">
        <v>8.1</v>
      </c>
    </row>
    <row r="108" spans="1:39" x14ac:dyDescent="0.2">
      <c r="A108">
        <v>107</v>
      </c>
      <c r="B108" t="s">
        <v>2</v>
      </c>
      <c r="C108">
        <v>3</v>
      </c>
      <c r="D108" t="s">
        <v>12</v>
      </c>
      <c r="E108">
        <v>0</v>
      </c>
      <c r="F108">
        <v>0</v>
      </c>
      <c r="G108">
        <v>19</v>
      </c>
      <c r="H108">
        <v>15.5</v>
      </c>
      <c r="I108">
        <v>3</v>
      </c>
      <c r="J108">
        <v>65</v>
      </c>
      <c r="K108">
        <v>0.60214236499999996</v>
      </c>
      <c r="L108" s="4">
        <v>60000000000000</v>
      </c>
      <c r="M108" s="4">
        <v>520000000000000</v>
      </c>
      <c r="N108" s="4">
        <v>580000000000000</v>
      </c>
      <c r="O108">
        <v>3.09</v>
      </c>
      <c r="P108">
        <v>0.65500000000000003</v>
      </c>
      <c r="Q108">
        <v>0.34499999999999997</v>
      </c>
      <c r="R108">
        <v>1.1916144019999999</v>
      </c>
      <c r="S108">
        <v>0.628113598</v>
      </c>
      <c r="X108">
        <v>0</v>
      </c>
      <c r="Y108">
        <v>1</v>
      </c>
      <c r="Z108">
        <v>75.170756679999997</v>
      </c>
      <c r="AA108">
        <v>90</v>
      </c>
      <c r="AB108">
        <v>867</v>
      </c>
      <c r="AD108">
        <v>19.1067</v>
      </c>
      <c r="AE108">
        <v>64.159199999999998</v>
      </c>
      <c r="AF108">
        <v>19.7788</v>
      </c>
      <c r="AG108">
        <v>55.794800000000002</v>
      </c>
      <c r="AI108">
        <v>170</v>
      </c>
      <c r="AK108">
        <v>2.8</v>
      </c>
      <c r="AL108">
        <v>1.2</v>
      </c>
      <c r="AM108">
        <v>1.5</v>
      </c>
    </row>
    <row r="109" spans="1:39" x14ac:dyDescent="0.2">
      <c r="A109">
        <v>108</v>
      </c>
      <c r="B109" t="s">
        <v>2</v>
      </c>
      <c r="C109">
        <v>2</v>
      </c>
      <c r="D109" t="s">
        <v>8</v>
      </c>
      <c r="E109">
        <v>18.600000000000001</v>
      </c>
      <c r="F109">
        <v>1.6</v>
      </c>
      <c r="G109">
        <v>1148</v>
      </c>
      <c r="H109">
        <v>13.6</v>
      </c>
      <c r="I109">
        <v>3</v>
      </c>
      <c r="J109">
        <v>65</v>
      </c>
      <c r="K109">
        <v>0.60214236499999996</v>
      </c>
      <c r="L109" s="4">
        <v>790000000000000</v>
      </c>
      <c r="M109" s="4">
        <v>7360000000000000</v>
      </c>
      <c r="N109" s="4">
        <v>8200000000000000</v>
      </c>
      <c r="O109">
        <v>71.87</v>
      </c>
      <c r="P109" t="s">
        <v>24</v>
      </c>
      <c r="Q109" t="s">
        <v>24</v>
      </c>
      <c r="R109" t="s">
        <v>24</v>
      </c>
      <c r="S109" t="s">
        <v>24</v>
      </c>
      <c r="X109">
        <v>1</v>
      </c>
      <c r="Y109">
        <v>0</v>
      </c>
      <c r="Z109" t="s">
        <v>24</v>
      </c>
      <c r="AA109" t="s">
        <v>24</v>
      </c>
      <c r="AB109" t="s">
        <v>24</v>
      </c>
      <c r="AD109">
        <v>15.465199999999999</v>
      </c>
      <c r="AE109">
        <v>41.325299999999999</v>
      </c>
      <c r="AF109">
        <v>19.085100000000001</v>
      </c>
      <c r="AG109">
        <v>68.495699999999999</v>
      </c>
      <c r="AI109">
        <v>180</v>
      </c>
      <c r="AK109">
        <v>146.4</v>
      </c>
      <c r="AL109">
        <v>50.3</v>
      </c>
      <c r="AM109">
        <v>96</v>
      </c>
    </row>
    <row r="110" spans="1:39" x14ac:dyDescent="0.2">
      <c r="A110">
        <v>109</v>
      </c>
      <c r="B110" t="s">
        <v>2</v>
      </c>
      <c r="C110">
        <v>3</v>
      </c>
      <c r="D110" t="s">
        <v>14</v>
      </c>
      <c r="E110">
        <v>8</v>
      </c>
      <c r="F110">
        <v>0.8</v>
      </c>
      <c r="G110">
        <v>699</v>
      </c>
      <c r="H110">
        <v>14.5</v>
      </c>
      <c r="I110">
        <v>2.9</v>
      </c>
      <c r="J110">
        <v>65</v>
      </c>
      <c r="K110">
        <v>0.60214236499999996</v>
      </c>
      <c r="L110" s="4">
        <v>300000000000000</v>
      </c>
      <c r="M110" s="4">
        <v>1.41E+16</v>
      </c>
      <c r="N110" s="4">
        <v>1.4E+16</v>
      </c>
      <c r="O110">
        <v>13.45</v>
      </c>
      <c r="P110" t="s">
        <v>24</v>
      </c>
      <c r="Q110" t="s">
        <v>24</v>
      </c>
      <c r="R110" t="s">
        <v>24</v>
      </c>
      <c r="S110" t="s">
        <v>24</v>
      </c>
      <c r="X110">
        <v>0</v>
      </c>
      <c r="Y110">
        <v>1</v>
      </c>
      <c r="Z110">
        <v>75.268803419999998</v>
      </c>
      <c r="AA110">
        <v>90</v>
      </c>
      <c r="AB110">
        <v>890</v>
      </c>
      <c r="AD110">
        <v>12.6136</v>
      </c>
      <c r="AE110">
        <v>28.976099999999999</v>
      </c>
      <c r="AF110">
        <v>16.9833</v>
      </c>
      <c r="AG110">
        <v>64.372399999999999</v>
      </c>
      <c r="AI110">
        <v>160</v>
      </c>
      <c r="AK110">
        <v>59</v>
      </c>
      <c r="AL110">
        <v>15.9</v>
      </c>
      <c r="AM110">
        <v>43</v>
      </c>
    </row>
    <row r="111" spans="1:39" x14ac:dyDescent="0.2">
      <c r="A111">
        <v>110</v>
      </c>
      <c r="B111" t="s">
        <v>2</v>
      </c>
      <c r="C111">
        <v>3</v>
      </c>
      <c r="D111" t="s">
        <v>14</v>
      </c>
      <c r="E111">
        <v>8</v>
      </c>
      <c r="F111">
        <v>0.8</v>
      </c>
      <c r="G111">
        <v>699</v>
      </c>
      <c r="H111">
        <v>14.5</v>
      </c>
      <c r="I111">
        <v>8.6</v>
      </c>
      <c r="J111">
        <v>65</v>
      </c>
      <c r="K111">
        <v>0.60214236499999996</v>
      </c>
      <c r="L111" s="4">
        <v>260000000000000</v>
      </c>
      <c r="M111" s="4">
        <v>1.46E+16</v>
      </c>
      <c r="N111" s="4">
        <v>1.5E+16</v>
      </c>
      <c r="O111">
        <v>10.95</v>
      </c>
      <c r="P111" t="s">
        <v>24</v>
      </c>
      <c r="Q111" t="s">
        <v>24</v>
      </c>
      <c r="R111" t="s">
        <v>24</v>
      </c>
      <c r="S111" t="s">
        <v>24</v>
      </c>
      <c r="X111">
        <v>0</v>
      </c>
      <c r="Y111">
        <v>1</v>
      </c>
      <c r="Z111">
        <v>74.851490409999997</v>
      </c>
      <c r="AA111">
        <v>90</v>
      </c>
      <c r="AB111">
        <v>875</v>
      </c>
      <c r="AD111">
        <v>12.033099999999999</v>
      </c>
      <c r="AE111">
        <v>22.8385</v>
      </c>
      <c r="AF111">
        <v>16.426200000000001</v>
      </c>
      <c r="AG111">
        <v>59.905700000000003</v>
      </c>
      <c r="AI111">
        <v>280</v>
      </c>
      <c r="AK111">
        <v>36.799999999999997</v>
      </c>
      <c r="AL111">
        <v>9.4</v>
      </c>
      <c r="AM111">
        <v>27.4</v>
      </c>
    </row>
    <row r="112" spans="1:39" x14ac:dyDescent="0.2">
      <c r="A112">
        <v>111</v>
      </c>
      <c r="B112" t="s">
        <v>2</v>
      </c>
      <c r="C112">
        <v>2</v>
      </c>
      <c r="D112" t="s">
        <v>8</v>
      </c>
      <c r="E112">
        <v>18.600000000000001</v>
      </c>
      <c r="F112">
        <v>1.6</v>
      </c>
      <c r="G112">
        <v>1148</v>
      </c>
      <c r="H112">
        <v>13.6</v>
      </c>
      <c r="I112">
        <v>16.7</v>
      </c>
      <c r="J112">
        <v>65</v>
      </c>
      <c r="K112">
        <v>0.60214236499999996</v>
      </c>
      <c r="L112" s="4">
        <v>620000000000000</v>
      </c>
      <c r="M112" s="4">
        <v>1.59E+16</v>
      </c>
      <c r="N112" s="4">
        <v>1.7E+16</v>
      </c>
      <c r="O112">
        <v>56.79</v>
      </c>
      <c r="P112">
        <v>0.81100000000000005</v>
      </c>
      <c r="Q112">
        <v>0.189</v>
      </c>
      <c r="R112">
        <v>63.707001599999998</v>
      </c>
      <c r="S112">
        <v>14.8431984</v>
      </c>
      <c r="X112">
        <v>1</v>
      </c>
      <c r="Y112">
        <v>0</v>
      </c>
      <c r="Z112" t="s">
        <v>24</v>
      </c>
      <c r="AA112" t="s">
        <v>24</v>
      </c>
      <c r="AB112" t="s">
        <v>24</v>
      </c>
      <c r="AD112">
        <v>14.3787</v>
      </c>
      <c r="AE112">
        <v>41.360199999999999</v>
      </c>
      <c r="AF112">
        <v>23.451799999999999</v>
      </c>
      <c r="AG112">
        <v>70.162000000000006</v>
      </c>
      <c r="AI112">
        <v>190</v>
      </c>
      <c r="AK112">
        <v>111.8</v>
      </c>
      <c r="AL112">
        <v>46.3</v>
      </c>
      <c r="AM112">
        <v>65.5</v>
      </c>
    </row>
    <row r="113" spans="1:39" x14ac:dyDescent="0.2">
      <c r="A113">
        <v>112</v>
      </c>
      <c r="B113" t="s">
        <v>2</v>
      </c>
      <c r="C113">
        <v>3</v>
      </c>
      <c r="D113" t="s">
        <v>11</v>
      </c>
      <c r="E113">
        <v>0.6</v>
      </c>
      <c r="F113">
        <v>0</v>
      </c>
      <c r="G113">
        <v>22</v>
      </c>
      <c r="H113">
        <v>15.1</v>
      </c>
      <c r="I113">
        <v>16.899999999999999</v>
      </c>
      <c r="J113">
        <v>65</v>
      </c>
      <c r="K113">
        <v>0.60214236499999996</v>
      </c>
      <c r="L113" s="4">
        <v>120000000000000</v>
      </c>
      <c r="M113" s="4">
        <v>134000000000000</v>
      </c>
      <c r="N113" s="4">
        <v>250000000000000</v>
      </c>
      <c r="O113">
        <v>5.05</v>
      </c>
      <c r="P113">
        <v>0.432</v>
      </c>
      <c r="Q113">
        <v>0.56799999999999995</v>
      </c>
      <c r="R113">
        <v>3.4384530510000002</v>
      </c>
      <c r="S113">
        <v>4.5149789489999996</v>
      </c>
      <c r="X113">
        <v>0</v>
      </c>
      <c r="Y113">
        <v>1</v>
      </c>
      <c r="Z113">
        <v>74.130617349999994</v>
      </c>
      <c r="AA113">
        <v>92</v>
      </c>
      <c r="AB113">
        <v>905</v>
      </c>
      <c r="AD113">
        <v>14.9092</v>
      </c>
      <c r="AE113">
        <v>43.286200000000001</v>
      </c>
      <c r="AF113">
        <v>22.953600000000002</v>
      </c>
      <c r="AG113">
        <v>64.385400000000004</v>
      </c>
      <c r="AI113">
        <v>160</v>
      </c>
      <c r="AK113">
        <v>12.9</v>
      </c>
      <c r="AL113">
        <v>6.3</v>
      </c>
      <c r="AM113">
        <v>6.6</v>
      </c>
    </row>
    <row r="114" spans="1:39" x14ac:dyDescent="0.2">
      <c r="A114">
        <v>113</v>
      </c>
      <c r="B114" t="s">
        <v>2</v>
      </c>
      <c r="C114">
        <v>3</v>
      </c>
      <c r="D114" t="s">
        <v>11</v>
      </c>
      <c r="E114">
        <v>0.6</v>
      </c>
      <c r="F114">
        <v>0</v>
      </c>
      <c r="G114">
        <v>22</v>
      </c>
      <c r="H114">
        <v>15.1</v>
      </c>
      <c r="I114">
        <v>18</v>
      </c>
      <c r="J114">
        <v>65</v>
      </c>
      <c r="K114">
        <v>0.60214236499999996</v>
      </c>
      <c r="L114" s="4">
        <v>110000000000000</v>
      </c>
      <c r="M114" s="4">
        <v>116000000000000</v>
      </c>
      <c r="N114" s="4">
        <v>230000000000000</v>
      </c>
      <c r="O114">
        <v>4.63</v>
      </c>
      <c r="P114">
        <v>0.254</v>
      </c>
      <c r="Q114">
        <v>0.746</v>
      </c>
      <c r="R114">
        <v>0.92559531500000003</v>
      </c>
      <c r="S114">
        <v>2.7168726849999998</v>
      </c>
      <c r="X114">
        <v>0</v>
      </c>
      <c r="Y114">
        <v>1</v>
      </c>
      <c r="Z114">
        <v>73.510966809999999</v>
      </c>
      <c r="AA114">
        <v>92</v>
      </c>
      <c r="AB114">
        <v>912</v>
      </c>
      <c r="AD114">
        <v>23.342300000000002</v>
      </c>
      <c r="AE114">
        <v>53.363199999999999</v>
      </c>
      <c r="AF114">
        <v>24.669899999999998</v>
      </c>
      <c r="AG114">
        <v>56.7014</v>
      </c>
      <c r="AI114">
        <v>130</v>
      </c>
      <c r="AK114">
        <v>6.7</v>
      </c>
      <c r="AL114">
        <v>3.6</v>
      </c>
      <c r="AM114">
        <v>3</v>
      </c>
    </row>
    <row r="115" spans="1:39" x14ac:dyDescent="0.2">
      <c r="A115">
        <v>114</v>
      </c>
      <c r="B115" t="s">
        <v>2</v>
      </c>
      <c r="C115">
        <v>2</v>
      </c>
      <c r="D115" t="s">
        <v>8</v>
      </c>
      <c r="E115">
        <v>18.600000000000001</v>
      </c>
      <c r="F115">
        <v>1.6</v>
      </c>
      <c r="G115">
        <v>1148</v>
      </c>
      <c r="H115">
        <v>13.6</v>
      </c>
      <c r="I115">
        <v>-1.3</v>
      </c>
      <c r="J115">
        <v>65</v>
      </c>
      <c r="K115">
        <v>0.60214236499999996</v>
      </c>
      <c r="L115" s="4">
        <v>770000000000000</v>
      </c>
      <c r="M115" s="4">
        <v>2.14E+16</v>
      </c>
      <c r="N115" s="4">
        <v>2.2E+16</v>
      </c>
      <c r="O115">
        <v>62.06</v>
      </c>
      <c r="P115">
        <v>0.94899999999999995</v>
      </c>
      <c r="Q115">
        <v>5.0999999999999997E-2</v>
      </c>
      <c r="R115">
        <v>114.2578279</v>
      </c>
      <c r="S115">
        <v>6.107092057</v>
      </c>
      <c r="X115">
        <v>1</v>
      </c>
      <c r="Y115">
        <v>0</v>
      </c>
      <c r="Z115" t="s">
        <v>24</v>
      </c>
      <c r="AA115" t="s">
        <v>24</v>
      </c>
      <c r="AB115" t="s">
        <v>24</v>
      </c>
      <c r="AD115">
        <v>14.9598</v>
      </c>
      <c r="AE115">
        <v>37.741799999999998</v>
      </c>
      <c r="AF115">
        <v>21.8264</v>
      </c>
      <c r="AG115">
        <v>66.059299999999993</v>
      </c>
      <c r="AI115">
        <v>160</v>
      </c>
      <c r="AK115">
        <v>142.69999999999999</v>
      </c>
      <c r="AL115">
        <v>42.4</v>
      </c>
      <c r="AM115">
        <v>100.3</v>
      </c>
    </row>
    <row r="116" spans="1:39" x14ac:dyDescent="0.2">
      <c r="A116">
        <v>115</v>
      </c>
      <c r="B116" t="s">
        <v>2</v>
      </c>
      <c r="C116">
        <v>3</v>
      </c>
      <c r="D116" t="s">
        <v>11</v>
      </c>
      <c r="E116">
        <v>0.6</v>
      </c>
      <c r="F116">
        <v>0</v>
      </c>
      <c r="G116">
        <v>22</v>
      </c>
      <c r="H116">
        <v>15.1</v>
      </c>
      <c r="I116">
        <v>-1.7</v>
      </c>
      <c r="J116">
        <v>65</v>
      </c>
      <c r="K116">
        <v>0.60214236499999996</v>
      </c>
      <c r="L116" s="4">
        <v>110000000000000</v>
      </c>
      <c r="M116" s="4">
        <v>542000000000000</v>
      </c>
      <c r="N116" s="4">
        <v>650000000000000</v>
      </c>
      <c r="O116">
        <v>4.0199999999999996</v>
      </c>
      <c r="P116">
        <v>1</v>
      </c>
      <c r="Q116">
        <v>0</v>
      </c>
      <c r="R116">
        <v>2.856096</v>
      </c>
      <c r="S116">
        <v>0</v>
      </c>
      <c r="X116">
        <v>0</v>
      </c>
      <c r="Y116">
        <v>1</v>
      </c>
      <c r="Z116">
        <v>75.685085470000004</v>
      </c>
      <c r="AA116">
        <v>89</v>
      </c>
      <c r="AB116">
        <v>873</v>
      </c>
      <c r="AD116">
        <v>15.596399999999999</v>
      </c>
      <c r="AE116">
        <v>42.382399999999997</v>
      </c>
      <c r="AF116">
        <v>20.117000000000001</v>
      </c>
      <c r="AG116">
        <v>58.367600000000003</v>
      </c>
      <c r="AI116">
        <v>220</v>
      </c>
      <c r="AK116">
        <v>4.2</v>
      </c>
      <c r="AL116">
        <v>1.8</v>
      </c>
      <c r="AM116">
        <v>2.4</v>
      </c>
    </row>
    <row r="117" spans="1:39" x14ac:dyDescent="0.2">
      <c r="A117">
        <v>116</v>
      </c>
      <c r="B117" t="s">
        <v>2</v>
      </c>
      <c r="C117">
        <v>2</v>
      </c>
      <c r="D117" t="s">
        <v>8</v>
      </c>
      <c r="E117">
        <v>18.600000000000001</v>
      </c>
      <c r="F117">
        <v>1.6</v>
      </c>
      <c r="G117">
        <v>1148</v>
      </c>
      <c r="H117">
        <v>13.6</v>
      </c>
      <c r="I117">
        <v>10.199999999999999</v>
      </c>
      <c r="J117">
        <v>65</v>
      </c>
      <c r="K117">
        <v>0.60214236499999996</v>
      </c>
      <c r="L117" s="4">
        <v>690000000000000</v>
      </c>
      <c r="M117" s="4">
        <v>1.96E+16</v>
      </c>
      <c r="N117" s="4">
        <v>2E+16</v>
      </c>
      <c r="O117" t="s">
        <v>24</v>
      </c>
      <c r="P117">
        <v>0.88600000000000001</v>
      </c>
      <c r="Q117">
        <v>0.114</v>
      </c>
      <c r="R117">
        <v>85.950938989999997</v>
      </c>
      <c r="S117">
        <v>11.08118101</v>
      </c>
      <c r="X117">
        <v>1</v>
      </c>
      <c r="Y117">
        <v>0</v>
      </c>
      <c r="Z117" t="s">
        <v>24</v>
      </c>
      <c r="AA117" t="s">
        <v>24</v>
      </c>
      <c r="AB117" t="s">
        <v>24</v>
      </c>
      <c r="AD117">
        <v>14.2651</v>
      </c>
      <c r="AE117">
        <v>40.014499999999998</v>
      </c>
      <c r="AF117">
        <v>19.653300000000002</v>
      </c>
      <c r="AG117">
        <v>68.489099999999993</v>
      </c>
      <c r="AI117">
        <v>150</v>
      </c>
      <c r="AK117">
        <v>125.6</v>
      </c>
      <c r="AL117">
        <v>44.7</v>
      </c>
      <c r="AM117">
        <v>80.900000000000006</v>
      </c>
    </row>
    <row r="118" spans="1:39" x14ac:dyDescent="0.2">
      <c r="A118">
        <v>117</v>
      </c>
      <c r="B118" t="s">
        <v>2</v>
      </c>
      <c r="C118">
        <v>3</v>
      </c>
      <c r="D118" t="s">
        <v>13</v>
      </c>
      <c r="E118">
        <v>9.1</v>
      </c>
      <c r="F118">
        <v>0.8</v>
      </c>
      <c r="G118">
        <v>658</v>
      </c>
      <c r="H118">
        <v>14.3</v>
      </c>
      <c r="I118">
        <v>10.4</v>
      </c>
      <c r="J118">
        <v>65</v>
      </c>
      <c r="K118">
        <v>0.60214236499999996</v>
      </c>
      <c r="L118" s="4">
        <v>270000000000000</v>
      </c>
      <c r="M118" s="4">
        <v>1.04E+16</v>
      </c>
      <c r="N118" s="4">
        <v>1.1E+16</v>
      </c>
      <c r="O118">
        <v>10.35</v>
      </c>
      <c r="P118">
        <v>0.90600000000000003</v>
      </c>
      <c r="Q118">
        <v>9.4E-2</v>
      </c>
      <c r="R118">
        <v>34.76069141</v>
      </c>
      <c r="S118">
        <v>3.6214285899999998</v>
      </c>
      <c r="X118">
        <v>0</v>
      </c>
      <c r="Y118">
        <v>1</v>
      </c>
      <c r="Z118">
        <v>25.540961410000001</v>
      </c>
      <c r="AA118">
        <v>65</v>
      </c>
      <c r="AB118">
        <v>701</v>
      </c>
      <c r="AD118">
        <v>12.0404</v>
      </c>
      <c r="AE118">
        <v>26.655000000000001</v>
      </c>
      <c r="AF118">
        <v>16.0595</v>
      </c>
      <c r="AG118">
        <v>60.887900000000002</v>
      </c>
      <c r="AI118">
        <v>170</v>
      </c>
      <c r="AK118">
        <v>44.6</v>
      </c>
      <c r="AL118">
        <v>12.6</v>
      </c>
      <c r="AM118">
        <v>32</v>
      </c>
    </row>
    <row r="119" spans="1:39" x14ac:dyDescent="0.2">
      <c r="A119">
        <v>118</v>
      </c>
      <c r="B119" t="s">
        <v>2</v>
      </c>
      <c r="C119">
        <v>3</v>
      </c>
      <c r="D119" t="s">
        <v>13</v>
      </c>
      <c r="E119">
        <v>9.1</v>
      </c>
      <c r="F119">
        <v>0.8</v>
      </c>
      <c r="G119">
        <v>658</v>
      </c>
      <c r="H119">
        <v>14.3</v>
      </c>
      <c r="I119">
        <v>12.5</v>
      </c>
      <c r="J119">
        <v>65</v>
      </c>
      <c r="K119">
        <v>0.60214236499999996</v>
      </c>
      <c r="L119" s="4">
        <v>240000000000000</v>
      </c>
      <c r="M119" s="4">
        <v>9660000000000000</v>
      </c>
      <c r="N119" s="4">
        <v>9900000000000000</v>
      </c>
      <c r="O119">
        <v>10.06</v>
      </c>
      <c r="P119" t="s">
        <v>24</v>
      </c>
      <c r="Q119" t="s">
        <v>24</v>
      </c>
      <c r="R119" t="s">
        <v>24</v>
      </c>
      <c r="S119" t="s">
        <v>24</v>
      </c>
      <c r="X119">
        <v>0</v>
      </c>
      <c r="Y119">
        <v>1</v>
      </c>
      <c r="Z119">
        <v>37.132195279999998</v>
      </c>
      <c r="AA119">
        <v>76</v>
      </c>
      <c r="AB119">
        <v>701</v>
      </c>
      <c r="AD119">
        <v>11.615</v>
      </c>
      <c r="AE119">
        <v>24.762599999999999</v>
      </c>
      <c r="AF119">
        <v>16.1921</v>
      </c>
      <c r="AG119">
        <v>59.044899999999998</v>
      </c>
      <c r="AI119">
        <v>270</v>
      </c>
      <c r="AK119">
        <v>30.2</v>
      </c>
      <c r="AL119">
        <v>8.5</v>
      </c>
      <c r="AM119">
        <v>21.7</v>
      </c>
    </row>
    <row r="120" spans="1:39" x14ac:dyDescent="0.2">
      <c r="A120">
        <v>119</v>
      </c>
      <c r="B120" t="s">
        <v>2</v>
      </c>
      <c r="C120">
        <v>3</v>
      </c>
      <c r="D120" t="s">
        <v>8</v>
      </c>
      <c r="E120">
        <v>18.600000000000001</v>
      </c>
      <c r="F120">
        <v>1.6</v>
      </c>
      <c r="G120">
        <v>1148</v>
      </c>
      <c r="H120">
        <v>13.6</v>
      </c>
      <c r="I120">
        <v>20</v>
      </c>
      <c r="J120">
        <v>65</v>
      </c>
      <c r="K120">
        <v>0.60214236499999996</v>
      </c>
      <c r="L120" s="4">
        <v>430000000000000</v>
      </c>
      <c r="M120" s="4">
        <v>1.84E+16</v>
      </c>
      <c r="N120" s="4">
        <v>1.9E+16</v>
      </c>
      <c r="O120">
        <v>22.51</v>
      </c>
      <c r="P120" t="s">
        <v>24</v>
      </c>
      <c r="Q120" t="s">
        <v>24</v>
      </c>
      <c r="R120" t="s">
        <v>24</v>
      </c>
      <c r="S120" t="s">
        <v>24</v>
      </c>
      <c r="X120">
        <v>0</v>
      </c>
      <c r="Y120">
        <v>1</v>
      </c>
      <c r="Z120">
        <v>73.391284069999998</v>
      </c>
      <c r="AA120">
        <v>91</v>
      </c>
      <c r="AB120">
        <v>904</v>
      </c>
      <c r="AD120">
        <v>12.295299999999999</v>
      </c>
      <c r="AE120">
        <v>30.5502</v>
      </c>
      <c r="AF120">
        <v>19.179300000000001</v>
      </c>
      <c r="AG120">
        <v>69.955200000000005</v>
      </c>
      <c r="AI120">
        <v>202</v>
      </c>
      <c r="AK120">
        <v>64.7</v>
      </c>
      <c r="AL120">
        <v>22.9</v>
      </c>
      <c r="AM120">
        <v>41.8</v>
      </c>
    </row>
    <row r="121" spans="1:39" x14ac:dyDescent="0.2">
      <c r="A121">
        <v>120</v>
      </c>
      <c r="B121" t="s">
        <v>3</v>
      </c>
      <c r="C121">
        <v>3</v>
      </c>
      <c r="D121" t="s">
        <v>8</v>
      </c>
      <c r="E121">
        <v>21.8</v>
      </c>
      <c r="F121">
        <v>1.3</v>
      </c>
      <c r="G121">
        <v>188</v>
      </c>
      <c r="H121">
        <v>13.5</v>
      </c>
      <c r="I121">
        <v>13.3</v>
      </c>
      <c r="J121">
        <v>65</v>
      </c>
      <c r="K121">
        <v>0.60214236499999996</v>
      </c>
      <c r="L121" s="4">
        <v>400000000000000</v>
      </c>
      <c r="M121" s="4">
        <v>3320000000000000</v>
      </c>
      <c r="N121" s="4">
        <v>3720000000000000</v>
      </c>
      <c r="O121">
        <v>24.98</v>
      </c>
      <c r="P121">
        <v>0.82199999999999995</v>
      </c>
      <c r="Q121">
        <v>0.17799999999999999</v>
      </c>
      <c r="R121">
        <v>20.073634670000001</v>
      </c>
      <c r="S121">
        <v>4.3402453330000004</v>
      </c>
      <c r="X121">
        <v>0</v>
      </c>
      <c r="Y121">
        <v>1</v>
      </c>
      <c r="Z121" t="s">
        <v>24</v>
      </c>
      <c r="AA121" t="s">
        <v>24</v>
      </c>
      <c r="AB121" t="s">
        <v>24</v>
      </c>
      <c r="AD121">
        <v>13.7819</v>
      </c>
      <c r="AE121">
        <v>42.438299999999998</v>
      </c>
      <c r="AF121">
        <v>18.114100000000001</v>
      </c>
      <c r="AG121">
        <v>62.151299999999999</v>
      </c>
      <c r="AI121">
        <v>100</v>
      </c>
      <c r="AK121">
        <v>34.799999999999997</v>
      </c>
      <c r="AL121">
        <v>14.5</v>
      </c>
      <c r="AM121">
        <v>20.3</v>
      </c>
    </row>
    <row r="122" spans="1:39" x14ac:dyDescent="0.2">
      <c r="A122">
        <v>121</v>
      </c>
      <c r="B122" t="s">
        <v>3</v>
      </c>
      <c r="C122">
        <v>2</v>
      </c>
      <c r="D122" t="s">
        <v>8</v>
      </c>
      <c r="E122">
        <v>21.8</v>
      </c>
      <c r="F122">
        <v>1.3</v>
      </c>
      <c r="G122">
        <v>188</v>
      </c>
      <c r="H122">
        <v>13.5</v>
      </c>
      <c r="I122">
        <v>13.9</v>
      </c>
      <c r="J122">
        <v>65</v>
      </c>
      <c r="K122">
        <v>0.60214236499999996</v>
      </c>
      <c r="L122" s="4">
        <v>493000000000000</v>
      </c>
      <c r="M122" s="4">
        <v>2350000000000000</v>
      </c>
      <c r="N122" s="4">
        <v>2840000000000000</v>
      </c>
      <c r="O122">
        <v>45.8</v>
      </c>
      <c r="P122">
        <v>0.84399999999999997</v>
      </c>
      <c r="Q122">
        <v>0.156</v>
      </c>
      <c r="R122">
        <v>18.52389148</v>
      </c>
      <c r="S122">
        <v>3.4170285250000001</v>
      </c>
      <c r="X122">
        <v>1</v>
      </c>
      <c r="Y122">
        <v>0</v>
      </c>
      <c r="Z122" t="s">
        <v>24</v>
      </c>
      <c r="AA122" t="s">
        <v>24</v>
      </c>
      <c r="AB122" t="s">
        <v>24</v>
      </c>
      <c r="AD122">
        <v>13.515499999999999</v>
      </c>
      <c r="AE122">
        <v>62.523699999999998</v>
      </c>
      <c r="AF122">
        <v>27.2333</v>
      </c>
      <c r="AG122">
        <v>67.907200000000003</v>
      </c>
      <c r="AI122">
        <v>130</v>
      </c>
      <c r="AK122">
        <v>44.4</v>
      </c>
      <c r="AL122">
        <v>26.1</v>
      </c>
      <c r="AM122">
        <v>18.3</v>
      </c>
    </row>
    <row r="123" spans="1:39" x14ac:dyDescent="0.2">
      <c r="A123">
        <v>122</v>
      </c>
      <c r="B123" t="s">
        <v>3</v>
      </c>
      <c r="C123">
        <v>3</v>
      </c>
      <c r="D123" t="s">
        <v>8</v>
      </c>
      <c r="E123">
        <v>21.8</v>
      </c>
      <c r="F123">
        <v>1.3</v>
      </c>
      <c r="G123">
        <v>188</v>
      </c>
      <c r="H123">
        <v>13.5</v>
      </c>
      <c r="I123">
        <v>17.2</v>
      </c>
      <c r="J123">
        <v>65</v>
      </c>
      <c r="K123">
        <v>0.60214236499999996</v>
      </c>
      <c r="L123" s="4">
        <v>320000000000000</v>
      </c>
      <c r="M123" s="4">
        <v>1000000000000000</v>
      </c>
      <c r="N123" s="4">
        <v>1320000000000000</v>
      </c>
      <c r="O123">
        <v>20.98</v>
      </c>
      <c r="P123">
        <v>0.80300000000000005</v>
      </c>
      <c r="Q123">
        <v>0.19700000000000001</v>
      </c>
      <c r="R123">
        <v>6.5454999999999997</v>
      </c>
      <c r="S123">
        <v>1.6054999999999999</v>
      </c>
      <c r="X123">
        <v>0</v>
      </c>
      <c r="Y123">
        <v>1</v>
      </c>
      <c r="Z123" t="s">
        <v>24</v>
      </c>
      <c r="AA123" t="s">
        <v>24</v>
      </c>
      <c r="AB123" t="s">
        <v>24</v>
      </c>
      <c r="AD123">
        <v>15.658300000000001</v>
      </c>
      <c r="AE123">
        <v>59.011099999999999</v>
      </c>
      <c r="AF123">
        <v>24.0898</v>
      </c>
      <c r="AG123">
        <v>60.965499999999999</v>
      </c>
      <c r="AI123">
        <v>145</v>
      </c>
      <c r="AK123">
        <v>17.399999999999999</v>
      </c>
      <c r="AL123">
        <v>10.7</v>
      </c>
      <c r="AM123">
        <v>6.8</v>
      </c>
    </row>
    <row r="124" spans="1:39" x14ac:dyDescent="0.2">
      <c r="A124">
        <v>123</v>
      </c>
      <c r="B124" t="s">
        <v>3</v>
      </c>
      <c r="C124">
        <v>3</v>
      </c>
      <c r="D124" t="s">
        <v>8</v>
      </c>
      <c r="E124">
        <v>21.8</v>
      </c>
      <c r="F124">
        <v>1.3</v>
      </c>
      <c r="G124">
        <v>188</v>
      </c>
      <c r="H124">
        <v>13.5</v>
      </c>
      <c r="I124">
        <v>17.2</v>
      </c>
      <c r="J124">
        <v>65</v>
      </c>
      <c r="K124">
        <v>0.60214236499999996</v>
      </c>
      <c r="L124" s="4">
        <v>360000000000000</v>
      </c>
      <c r="M124" s="4">
        <v>1820000000000000</v>
      </c>
      <c r="N124" s="4">
        <v>2180000000000000</v>
      </c>
      <c r="O124">
        <v>24.35</v>
      </c>
      <c r="P124">
        <v>0.74099999999999999</v>
      </c>
      <c r="Q124">
        <v>0.25900000000000001</v>
      </c>
      <c r="R124">
        <v>12.02719347</v>
      </c>
      <c r="S124">
        <v>4.1929665309999997</v>
      </c>
      <c r="X124">
        <v>0</v>
      </c>
      <c r="Y124">
        <v>1</v>
      </c>
      <c r="Z124" t="s">
        <v>24</v>
      </c>
      <c r="AA124" t="s">
        <v>24</v>
      </c>
      <c r="AB124" t="s">
        <v>24</v>
      </c>
      <c r="AD124">
        <v>12.4283</v>
      </c>
      <c r="AE124">
        <v>60.036000000000001</v>
      </c>
      <c r="AF124">
        <v>25.011600000000001</v>
      </c>
      <c r="AG124">
        <v>62.6601</v>
      </c>
      <c r="AI124">
        <v>145</v>
      </c>
      <c r="AK124">
        <v>27</v>
      </c>
      <c r="AL124">
        <v>13.5</v>
      </c>
      <c r="AM124">
        <v>13.5</v>
      </c>
    </row>
    <row r="125" spans="1:39" x14ac:dyDescent="0.2">
      <c r="A125">
        <v>124</v>
      </c>
      <c r="B125" t="s">
        <v>3</v>
      </c>
      <c r="C125">
        <v>2</v>
      </c>
      <c r="D125" t="s">
        <v>8</v>
      </c>
      <c r="E125">
        <v>21.8</v>
      </c>
      <c r="F125">
        <v>1.3</v>
      </c>
      <c r="G125">
        <v>188</v>
      </c>
      <c r="H125">
        <v>13.5</v>
      </c>
      <c r="I125">
        <v>17.2</v>
      </c>
      <c r="J125">
        <v>65</v>
      </c>
      <c r="K125">
        <v>0.60214236499999996</v>
      </c>
      <c r="L125" s="4">
        <v>479000000000000</v>
      </c>
      <c r="M125" s="4">
        <v>1830000000000000</v>
      </c>
      <c r="N125" s="4">
        <v>2310000000000000</v>
      </c>
      <c r="O125">
        <v>47.48</v>
      </c>
      <c r="P125">
        <v>0.77800000000000002</v>
      </c>
      <c r="Q125">
        <v>0.222</v>
      </c>
      <c r="R125">
        <v>21.309609869999999</v>
      </c>
      <c r="S125">
        <v>6.0637101270000002</v>
      </c>
      <c r="X125">
        <v>1</v>
      </c>
      <c r="Y125">
        <v>0</v>
      </c>
      <c r="Z125" t="s">
        <v>24</v>
      </c>
      <c r="AA125" t="s">
        <v>24</v>
      </c>
      <c r="AB125" t="s">
        <v>24</v>
      </c>
      <c r="AD125">
        <v>13.8447</v>
      </c>
      <c r="AE125">
        <v>66.093000000000004</v>
      </c>
      <c r="AF125">
        <v>27.136199999999999</v>
      </c>
      <c r="AG125">
        <v>70.608099999999993</v>
      </c>
      <c r="AI125">
        <v>145</v>
      </c>
      <c r="AK125">
        <v>47.1</v>
      </c>
      <c r="AL125">
        <v>24.3</v>
      </c>
      <c r="AM125">
        <v>22.8</v>
      </c>
    </row>
    <row r="126" spans="1:39" x14ac:dyDescent="0.2">
      <c r="A126">
        <v>125</v>
      </c>
      <c r="B126" t="s">
        <v>3</v>
      </c>
      <c r="C126">
        <v>3</v>
      </c>
      <c r="D126" t="s">
        <v>8</v>
      </c>
      <c r="E126">
        <v>21.8</v>
      </c>
      <c r="F126">
        <v>1.3</v>
      </c>
      <c r="G126">
        <v>188</v>
      </c>
      <c r="H126">
        <v>13.5</v>
      </c>
      <c r="I126">
        <v>16.7</v>
      </c>
      <c r="J126">
        <v>65</v>
      </c>
      <c r="K126">
        <v>0.60214236499999996</v>
      </c>
      <c r="L126" s="4">
        <v>320000000000000</v>
      </c>
      <c r="M126" s="4">
        <v>1310000000000000</v>
      </c>
      <c r="N126" s="4">
        <v>1630000000000000</v>
      </c>
      <c r="O126">
        <v>19.75</v>
      </c>
      <c r="P126">
        <v>0.73699999999999999</v>
      </c>
      <c r="Q126">
        <v>0.26300000000000001</v>
      </c>
      <c r="R126">
        <v>6.9138189470000002</v>
      </c>
      <c r="S126">
        <v>2.4692210530000001</v>
      </c>
      <c r="X126">
        <v>0</v>
      </c>
      <c r="Y126">
        <v>1</v>
      </c>
      <c r="Z126" t="s">
        <v>24</v>
      </c>
      <c r="AA126" t="s">
        <v>24</v>
      </c>
      <c r="AB126" t="s">
        <v>24</v>
      </c>
      <c r="AD126">
        <v>15.501099999999999</v>
      </c>
      <c r="AE126">
        <v>62.761000000000003</v>
      </c>
      <c r="AF126">
        <v>24.513999999999999</v>
      </c>
      <c r="AG126">
        <v>60.261899999999997</v>
      </c>
      <c r="AI126">
        <v>160</v>
      </c>
      <c r="AK126">
        <v>18.100000000000001</v>
      </c>
      <c r="AL126">
        <v>10.3</v>
      </c>
      <c r="AM126">
        <v>7.8</v>
      </c>
    </row>
    <row r="127" spans="1:39" x14ac:dyDescent="0.2">
      <c r="A127">
        <v>126</v>
      </c>
      <c r="B127" t="s">
        <v>3</v>
      </c>
      <c r="C127">
        <v>3</v>
      </c>
      <c r="D127" t="s">
        <v>15</v>
      </c>
      <c r="E127">
        <v>0.4</v>
      </c>
      <c r="F127">
        <v>0</v>
      </c>
      <c r="G127">
        <v>6</v>
      </c>
      <c r="H127">
        <v>15.3</v>
      </c>
      <c r="I127">
        <v>8.9</v>
      </c>
      <c r="J127">
        <v>65</v>
      </c>
      <c r="K127">
        <v>0.60214236499999996</v>
      </c>
      <c r="L127" s="4">
        <v>79300000000000</v>
      </c>
      <c r="M127" s="4">
        <v>1140000000000000</v>
      </c>
      <c r="N127" s="4">
        <v>1210000000000000</v>
      </c>
      <c r="O127">
        <v>3.18</v>
      </c>
      <c r="P127">
        <v>0.71899999999999997</v>
      </c>
      <c r="Q127">
        <v>0.28100000000000003</v>
      </c>
      <c r="R127">
        <v>2.4617867370000002</v>
      </c>
      <c r="S127">
        <v>0.96069726300000002</v>
      </c>
      <c r="X127">
        <v>0</v>
      </c>
      <c r="Y127">
        <v>1</v>
      </c>
      <c r="Z127" t="s">
        <v>24</v>
      </c>
      <c r="AA127" t="s">
        <v>24</v>
      </c>
      <c r="AB127" t="s">
        <v>24</v>
      </c>
      <c r="AD127">
        <v>10.8528</v>
      </c>
      <c r="AE127">
        <v>61.823500000000003</v>
      </c>
      <c r="AF127">
        <v>19.790199999999999</v>
      </c>
      <c r="AG127">
        <v>82.957099999999997</v>
      </c>
      <c r="AI127">
        <v>200</v>
      </c>
      <c r="AK127">
        <v>4.5</v>
      </c>
      <c r="AL127">
        <v>1.6</v>
      </c>
      <c r="AM127">
        <v>2.9</v>
      </c>
    </row>
    <row r="128" spans="1:39" x14ac:dyDescent="0.2">
      <c r="A128">
        <v>127</v>
      </c>
      <c r="B128" t="s">
        <v>3</v>
      </c>
      <c r="C128">
        <v>2</v>
      </c>
      <c r="D128" t="s">
        <v>8</v>
      </c>
      <c r="E128">
        <v>21.8</v>
      </c>
      <c r="F128">
        <v>1.3</v>
      </c>
      <c r="G128">
        <v>188</v>
      </c>
      <c r="H128">
        <v>13.5</v>
      </c>
      <c r="I128">
        <v>8.9</v>
      </c>
      <c r="J128">
        <v>65</v>
      </c>
      <c r="K128">
        <v>0.60214236499999996</v>
      </c>
      <c r="L128" s="4">
        <v>498000000000000</v>
      </c>
      <c r="M128" s="4">
        <v>4430000000000000</v>
      </c>
      <c r="N128" s="4">
        <v>4920000000000000</v>
      </c>
      <c r="O128">
        <v>44.05</v>
      </c>
      <c r="P128">
        <v>0.753</v>
      </c>
      <c r="Q128">
        <v>0.247</v>
      </c>
      <c r="R128">
        <v>28.155459740000001</v>
      </c>
      <c r="S128">
        <v>9.2233402600000005</v>
      </c>
      <c r="X128">
        <v>1</v>
      </c>
      <c r="Y128">
        <v>0</v>
      </c>
      <c r="Z128" t="s">
        <v>24</v>
      </c>
      <c r="AA128" t="s">
        <v>24</v>
      </c>
      <c r="AB128" t="s">
        <v>24</v>
      </c>
      <c r="AD128">
        <v>13.1416</v>
      </c>
      <c r="AE128">
        <v>46.935299999999998</v>
      </c>
      <c r="AF128">
        <v>19.605</v>
      </c>
      <c r="AG128">
        <v>65.415499999999994</v>
      </c>
      <c r="AI128">
        <v>140</v>
      </c>
      <c r="AK128">
        <v>50.6</v>
      </c>
      <c r="AL128">
        <v>19.399999999999999</v>
      </c>
      <c r="AM128">
        <v>31.1</v>
      </c>
    </row>
    <row r="129" spans="1:39" x14ac:dyDescent="0.2">
      <c r="A129">
        <v>128</v>
      </c>
      <c r="B129" t="s">
        <v>3</v>
      </c>
      <c r="C129">
        <v>3</v>
      </c>
      <c r="D129" t="s">
        <v>15</v>
      </c>
      <c r="E129">
        <v>0.4</v>
      </c>
      <c r="F129">
        <v>0</v>
      </c>
      <c r="G129">
        <v>6</v>
      </c>
      <c r="H129">
        <v>15.3</v>
      </c>
      <c r="I129">
        <v>11.1</v>
      </c>
      <c r="J129">
        <v>65</v>
      </c>
      <c r="K129">
        <v>0.60214236499999996</v>
      </c>
      <c r="L129" s="4">
        <v>103000000000000</v>
      </c>
      <c r="M129" s="4">
        <v>665000000000000</v>
      </c>
      <c r="N129" s="4">
        <v>769000000000000</v>
      </c>
      <c r="O129">
        <v>4.6100000000000003</v>
      </c>
      <c r="P129">
        <v>0.73299999999999998</v>
      </c>
      <c r="Q129">
        <v>0.26700000000000002</v>
      </c>
      <c r="R129">
        <v>2.3886191999999999</v>
      </c>
      <c r="S129">
        <v>0.86858880000000005</v>
      </c>
      <c r="X129">
        <v>0</v>
      </c>
      <c r="Y129">
        <v>1</v>
      </c>
      <c r="Z129" t="s">
        <v>24</v>
      </c>
      <c r="AA129" t="s">
        <v>24</v>
      </c>
      <c r="AB129" t="s">
        <v>24</v>
      </c>
      <c r="AD129">
        <v>14.744899999999999</v>
      </c>
      <c r="AE129">
        <v>71.949799999999996</v>
      </c>
      <c r="AF129">
        <v>19.977499999999999</v>
      </c>
      <c r="AG129">
        <v>57.026400000000002</v>
      </c>
      <c r="AI129">
        <v>135</v>
      </c>
      <c r="AK129">
        <v>4</v>
      </c>
      <c r="AL129">
        <v>1.3</v>
      </c>
      <c r="AM129">
        <v>2.7</v>
      </c>
    </row>
    <row r="130" spans="1:39" x14ac:dyDescent="0.2">
      <c r="A130">
        <v>129</v>
      </c>
      <c r="B130" t="s">
        <v>3</v>
      </c>
      <c r="C130">
        <v>3</v>
      </c>
      <c r="D130" t="s">
        <v>15</v>
      </c>
      <c r="E130">
        <v>0.4</v>
      </c>
      <c r="F130">
        <v>0</v>
      </c>
      <c r="G130">
        <v>6</v>
      </c>
      <c r="H130">
        <v>15.3</v>
      </c>
      <c r="I130">
        <v>16.7</v>
      </c>
      <c r="J130">
        <v>65</v>
      </c>
      <c r="K130">
        <v>0.60214236499999996</v>
      </c>
      <c r="L130" s="4">
        <v>68400000000000</v>
      </c>
      <c r="M130" s="4">
        <v>612000000000000</v>
      </c>
      <c r="N130" s="4">
        <v>681000000000000</v>
      </c>
      <c r="O130">
        <v>2.4900000000000002</v>
      </c>
      <c r="P130">
        <v>0.68100000000000005</v>
      </c>
      <c r="Q130">
        <v>0.31900000000000001</v>
      </c>
      <c r="R130">
        <v>1.616247443</v>
      </c>
      <c r="S130">
        <v>0.75654135700000003</v>
      </c>
      <c r="X130">
        <v>0</v>
      </c>
      <c r="Y130">
        <v>1</v>
      </c>
      <c r="Z130" t="s">
        <v>24</v>
      </c>
      <c r="AA130" t="s">
        <v>24</v>
      </c>
      <c r="AB130" t="s">
        <v>24</v>
      </c>
      <c r="AD130">
        <v>13.8203</v>
      </c>
      <c r="AE130">
        <v>90.757499999999993</v>
      </c>
      <c r="AF130">
        <v>19.6631</v>
      </c>
      <c r="AG130">
        <v>60.839199999999998</v>
      </c>
      <c r="AI130">
        <v>130</v>
      </c>
      <c r="AK130">
        <v>2.9</v>
      </c>
      <c r="AL130">
        <v>0.9</v>
      </c>
      <c r="AM130">
        <v>2</v>
      </c>
    </row>
    <row r="131" spans="1:39" x14ac:dyDescent="0.2">
      <c r="A131">
        <v>130</v>
      </c>
      <c r="B131" t="s">
        <v>3</v>
      </c>
      <c r="C131">
        <v>2</v>
      </c>
      <c r="D131" t="s">
        <v>8</v>
      </c>
      <c r="E131">
        <v>21.8</v>
      </c>
      <c r="F131">
        <v>1.3</v>
      </c>
      <c r="G131">
        <v>188</v>
      </c>
      <c r="H131">
        <v>13.5</v>
      </c>
      <c r="I131">
        <v>17.2</v>
      </c>
      <c r="J131">
        <v>65</v>
      </c>
      <c r="K131">
        <v>0.60214236499999996</v>
      </c>
      <c r="L131" s="4">
        <v>502000000000000</v>
      </c>
      <c r="M131" s="4">
        <v>3210000000000000</v>
      </c>
      <c r="N131" s="4">
        <v>3710000000000000</v>
      </c>
      <c r="O131">
        <v>40.880000000000003</v>
      </c>
      <c r="P131">
        <v>0.73499999999999999</v>
      </c>
      <c r="Q131">
        <v>0.26500000000000001</v>
      </c>
      <c r="R131" t="s">
        <v>24</v>
      </c>
      <c r="S131" t="s">
        <v>24</v>
      </c>
      <c r="X131">
        <v>1</v>
      </c>
      <c r="Y131">
        <v>0</v>
      </c>
      <c r="Z131" t="s">
        <v>24</v>
      </c>
      <c r="AA131" t="s">
        <v>24</v>
      </c>
      <c r="AB131" t="s">
        <v>24</v>
      </c>
      <c r="AD131" t="s">
        <v>24</v>
      </c>
      <c r="AE131" t="s">
        <v>24</v>
      </c>
      <c r="AF131">
        <v>30.7288</v>
      </c>
      <c r="AG131">
        <v>69.844899999999996</v>
      </c>
      <c r="AI131">
        <v>120</v>
      </c>
      <c r="AK131" t="s">
        <v>24</v>
      </c>
      <c r="AL131">
        <v>36.4</v>
      </c>
      <c r="AM131" t="s">
        <v>24</v>
      </c>
    </row>
    <row r="132" spans="1:39" x14ac:dyDescent="0.2">
      <c r="A132">
        <v>131</v>
      </c>
      <c r="B132" t="s">
        <v>3</v>
      </c>
      <c r="C132">
        <v>3</v>
      </c>
      <c r="D132" t="s">
        <v>15</v>
      </c>
      <c r="E132">
        <v>0.4</v>
      </c>
      <c r="F132">
        <v>0</v>
      </c>
      <c r="G132">
        <v>6</v>
      </c>
      <c r="H132">
        <v>15.3</v>
      </c>
      <c r="I132">
        <v>18.899999999999999</v>
      </c>
      <c r="J132">
        <v>65</v>
      </c>
      <c r="K132">
        <v>0.60214236499999996</v>
      </c>
      <c r="L132" s="4">
        <v>66300000000000</v>
      </c>
      <c r="M132" s="4">
        <v>114000000000000</v>
      </c>
      <c r="N132" s="4">
        <v>181000000000000</v>
      </c>
      <c r="O132">
        <v>2.64</v>
      </c>
      <c r="P132">
        <v>0.74099999999999999</v>
      </c>
      <c r="Q132">
        <v>0.25900000000000001</v>
      </c>
      <c r="R132">
        <v>1.678806</v>
      </c>
      <c r="S132">
        <v>0.58562999999999998</v>
      </c>
      <c r="X132">
        <v>0</v>
      </c>
      <c r="Y132">
        <v>1</v>
      </c>
      <c r="Z132" t="s">
        <v>24</v>
      </c>
      <c r="AA132" t="s">
        <v>24</v>
      </c>
      <c r="AB132" t="s">
        <v>24</v>
      </c>
      <c r="AD132">
        <v>18.979399999999998</v>
      </c>
      <c r="AE132">
        <v>106.864</v>
      </c>
      <c r="AF132">
        <v>20.0717</v>
      </c>
      <c r="AG132">
        <v>61.880699999999997</v>
      </c>
      <c r="AI132">
        <v>100</v>
      </c>
      <c r="AK132">
        <v>3</v>
      </c>
      <c r="AL132">
        <v>1.1000000000000001</v>
      </c>
      <c r="AM132">
        <v>1.9</v>
      </c>
    </row>
    <row r="133" spans="1:39" x14ac:dyDescent="0.2">
      <c r="A133">
        <v>132</v>
      </c>
      <c r="B133" t="s">
        <v>3</v>
      </c>
      <c r="C133">
        <v>3</v>
      </c>
      <c r="D133" t="s">
        <v>15</v>
      </c>
      <c r="E133">
        <v>0.4</v>
      </c>
      <c r="F133">
        <v>0</v>
      </c>
      <c r="G133">
        <v>6</v>
      </c>
      <c r="H133">
        <v>15.3</v>
      </c>
      <c r="I133">
        <v>22.8</v>
      </c>
      <c r="J133">
        <v>65</v>
      </c>
      <c r="K133">
        <v>0.60214236499999996</v>
      </c>
      <c r="L133" s="4">
        <v>61300000000000</v>
      </c>
      <c r="M133" s="4">
        <v>89800000000000</v>
      </c>
      <c r="N133" s="4">
        <v>151000000000000</v>
      </c>
      <c r="O133">
        <v>2.0699999999999998</v>
      </c>
      <c r="P133">
        <v>0.752</v>
      </c>
      <c r="Q133">
        <v>0.248</v>
      </c>
      <c r="R133">
        <v>1.1458646969999999</v>
      </c>
      <c r="S133">
        <v>0.37761450299999999</v>
      </c>
      <c r="X133">
        <v>0</v>
      </c>
      <c r="Y133">
        <v>1</v>
      </c>
      <c r="Z133" t="s">
        <v>24</v>
      </c>
      <c r="AA133" t="s">
        <v>24</v>
      </c>
      <c r="AB133" t="s">
        <v>24</v>
      </c>
      <c r="AD133">
        <v>18.837</v>
      </c>
      <c r="AE133">
        <v>83.565600000000003</v>
      </c>
      <c r="AF133">
        <v>19.9375</v>
      </c>
      <c r="AG133">
        <v>54.053600000000003</v>
      </c>
      <c r="AI133">
        <v>150</v>
      </c>
      <c r="AK133">
        <v>2.1</v>
      </c>
      <c r="AL133">
        <v>0.8</v>
      </c>
      <c r="AM133">
        <v>1.3</v>
      </c>
    </row>
    <row r="134" spans="1:39" x14ac:dyDescent="0.2">
      <c r="A134">
        <v>133</v>
      </c>
      <c r="B134" t="s">
        <v>3</v>
      </c>
      <c r="C134">
        <v>2</v>
      </c>
      <c r="D134" t="s">
        <v>8</v>
      </c>
      <c r="E134">
        <v>21.8</v>
      </c>
      <c r="F134">
        <v>1.3</v>
      </c>
      <c r="G134">
        <v>188</v>
      </c>
      <c r="H134">
        <v>13.5</v>
      </c>
      <c r="I134">
        <v>22.8</v>
      </c>
      <c r="J134">
        <v>65</v>
      </c>
      <c r="K134">
        <v>0.60214236499999996</v>
      </c>
      <c r="L134" s="4">
        <v>437000000000000</v>
      </c>
      <c r="M134" s="4">
        <v>1450000000000000</v>
      </c>
      <c r="N134" s="4">
        <v>1890000000000000</v>
      </c>
      <c r="O134">
        <v>35.65</v>
      </c>
      <c r="P134">
        <v>0.76400000000000001</v>
      </c>
      <c r="Q134">
        <v>0.23599999999999999</v>
      </c>
      <c r="R134">
        <v>14.71195865</v>
      </c>
      <c r="S134">
        <v>4.5568013509999998</v>
      </c>
      <c r="X134">
        <v>1</v>
      </c>
      <c r="Y134">
        <v>0</v>
      </c>
      <c r="Z134" t="s">
        <v>24</v>
      </c>
      <c r="AA134" t="s">
        <v>24</v>
      </c>
      <c r="AB134" t="s">
        <v>24</v>
      </c>
      <c r="AD134">
        <v>14.6736</v>
      </c>
      <c r="AE134">
        <v>67.052700000000002</v>
      </c>
      <c r="AF134">
        <v>26.520900000000001</v>
      </c>
      <c r="AG134">
        <v>68.2881</v>
      </c>
      <c r="AI134">
        <v>130</v>
      </c>
      <c r="AK134">
        <v>36.200000000000003</v>
      </c>
      <c r="AL134">
        <v>20.100000000000001</v>
      </c>
      <c r="AM134">
        <v>16.100000000000001</v>
      </c>
    </row>
    <row r="135" spans="1:39" x14ac:dyDescent="0.2">
      <c r="A135">
        <v>134</v>
      </c>
      <c r="B135" t="s">
        <v>3</v>
      </c>
      <c r="C135">
        <v>3</v>
      </c>
      <c r="D135" t="s">
        <v>15</v>
      </c>
      <c r="E135">
        <v>0.4</v>
      </c>
      <c r="F135">
        <v>0</v>
      </c>
      <c r="G135">
        <v>6</v>
      </c>
      <c r="H135">
        <v>15.3</v>
      </c>
      <c r="I135">
        <v>23.3</v>
      </c>
      <c r="J135">
        <v>65</v>
      </c>
      <c r="K135">
        <v>0.60214236499999996</v>
      </c>
      <c r="L135" s="4">
        <v>69400000000000</v>
      </c>
      <c r="M135" s="4">
        <v>83700000000000</v>
      </c>
      <c r="N135" s="4">
        <v>153000000000000</v>
      </c>
      <c r="O135">
        <v>3.67</v>
      </c>
      <c r="P135">
        <v>0.73</v>
      </c>
      <c r="Q135">
        <v>0.27</v>
      </c>
      <c r="R135">
        <v>1.0521241800000001</v>
      </c>
      <c r="S135">
        <v>0.38914182000000003</v>
      </c>
      <c r="X135">
        <v>0</v>
      </c>
      <c r="Y135">
        <v>1</v>
      </c>
      <c r="Z135" t="s">
        <v>24</v>
      </c>
      <c r="AA135" t="s">
        <v>24</v>
      </c>
      <c r="AB135" t="s">
        <v>24</v>
      </c>
      <c r="AD135">
        <v>19.478300000000001</v>
      </c>
      <c r="AE135">
        <v>75.274000000000001</v>
      </c>
      <c r="AF135">
        <v>20.071899999999999</v>
      </c>
      <c r="AG135">
        <v>52.036099999999998</v>
      </c>
      <c r="AI135">
        <v>120</v>
      </c>
      <c r="AK135">
        <v>2.1</v>
      </c>
      <c r="AL135">
        <v>0.9</v>
      </c>
      <c r="AM135">
        <v>1.2</v>
      </c>
    </row>
    <row r="136" spans="1:39" x14ac:dyDescent="0.2">
      <c r="A136">
        <v>135</v>
      </c>
      <c r="B136" t="s">
        <v>3</v>
      </c>
      <c r="C136">
        <v>3</v>
      </c>
      <c r="D136" t="s">
        <v>17</v>
      </c>
      <c r="E136">
        <v>1.4</v>
      </c>
      <c r="F136">
        <v>0</v>
      </c>
      <c r="G136">
        <v>4</v>
      </c>
      <c r="H136">
        <v>15</v>
      </c>
      <c r="I136">
        <v>12.2</v>
      </c>
      <c r="J136">
        <v>65</v>
      </c>
      <c r="K136">
        <v>0.60214236499999996</v>
      </c>
      <c r="L136" s="4">
        <v>116000000000000</v>
      </c>
      <c r="M136" s="4">
        <v>323000000000000</v>
      </c>
      <c r="N136" s="4">
        <v>438000000000000</v>
      </c>
      <c r="O136">
        <v>6.4</v>
      </c>
      <c r="P136">
        <v>0.74399999999999999</v>
      </c>
      <c r="Q136">
        <v>0.25600000000000001</v>
      </c>
      <c r="R136">
        <v>3.1074464289999999</v>
      </c>
      <c r="S136">
        <v>1.068961571</v>
      </c>
      <c r="X136">
        <v>0</v>
      </c>
      <c r="Y136">
        <v>1</v>
      </c>
      <c r="Z136" t="s">
        <v>24</v>
      </c>
      <c r="AA136" t="s">
        <v>24</v>
      </c>
      <c r="AB136" t="s">
        <v>24</v>
      </c>
      <c r="AD136">
        <v>17.534199999999998</v>
      </c>
      <c r="AE136">
        <v>99.739099999999993</v>
      </c>
      <c r="AF136">
        <v>20.246600000000001</v>
      </c>
      <c r="AG136">
        <v>67.818899999999999</v>
      </c>
      <c r="AI136">
        <v>135</v>
      </c>
      <c r="AK136">
        <v>5.5</v>
      </c>
      <c r="AL136">
        <v>2</v>
      </c>
      <c r="AM136">
        <v>3.5</v>
      </c>
    </row>
    <row r="137" spans="1:39" x14ac:dyDescent="0.2">
      <c r="A137">
        <v>136</v>
      </c>
      <c r="B137" t="s">
        <v>3</v>
      </c>
      <c r="C137">
        <v>2</v>
      </c>
      <c r="D137" t="s">
        <v>8</v>
      </c>
      <c r="E137">
        <v>21.8</v>
      </c>
      <c r="F137">
        <v>1.3</v>
      </c>
      <c r="G137">
        <v>188</v>
      </c>
      <c r="H137">
        <v>13.5</v>
      </c>
      <c r="I137">
        <v>12.8</v>
      </c>
      <c r="J137">
        <v>65</v>
      </c>
      <c r="K137">
        <v>0.60214236499999996</v>
      </c>
      <c r="L137" s="4">
        <v>535000000000000</v>
      </c>
      <c r="M137" s="4">
        <v>3660000000000000</v>
      </c>
      <c r="N137" s="4">
        <v>4200000000000000</v>
      </c>
      <c r="O137">
        <v>54.19</v>
      </c>
      <c r="P137">
        <v>0.76400000000000001</v>
      </c>
      <c r="Q137">
        <v>0.23599999999999999</v>
      </c>
      <c r="R137">
        <v>27.897161539999999</v>
      </c>
      <c r="S137">
        <v>8.597238462</v>
      </c>
      <c r="X137">
        <v>1</v>
      </c>
      <c r="Y137">
        <v>0</v>
      </c>
      <c r="Z137" t="s">
        <v>24</v>
      </c>
      <c r="AA137" t="s">
        <v>24</v>
      </c>
      <c r="AB137" t="s">
        <v>24</v>
      </c>
      <c r="AD137">
        <v>13.1212</v>
      </c>
      <c r="AE137">
        <v>64.316299999999998</v>
      </c>
      <c r="AF137">
        <v>26.156700000000001</v>
      </c>
      <c r="AG137">
        <v>69.193600000000004</v>
      </c>
      <c r="AI137">
        <v>145</v>
      </c>
      <c r="AK137">
        <v>54</v>
      </c>
      <c r="AL137">
        <v>23.6</v>
      </c>
      <c r="AM137">
        <v>30.4</v>
      </c>
    </row>
    <row r="138" spans="1:39" x14ac:dyDescent="0.2">
      <c r="A138">
        <v>137</v>
      </c>
      <c r="B138" t="s">
        <v>3</v>
      </c>
      <c r="C138">
        <v>3</v>
      </c>
      <c r="D138" t="s">
        <v>17</v>
      </c>
      <c r="E138">
        <v>1.4</v>
      </c>
      <c r="F138">
        <v>0</v>
      </c>
      <c r="G138">
        <v>4</v>
      </c>
      <c r="H138">
        <v>15</v>
      </c>
      <c r="I138">
        <v>13.9</v>
      </c>
      <c r="J138">
        <v>65</v>
      </c>
      <c r="K138">
        <v>0.60214236499999996</v>
      </c>
      <c r="L138" s="4">
        <v>81600000000000</v>
      </c>
      <c r="M138" s="4">
        <v>83500000000000</v>
      </c>
      <c r="N138" s="4">
        <v>165000000000000</v>
      </c>
      <c r="O138">
        <v>5.34</v>
      </c>
      <c r="P138">
        <v>0.70499999999999996</v>
      </c>
      <c r="Q138">
        <v>0.29499999999999998</v>
      </c>
      <c r="R138">
        <v>1.6699077920000001</v>
      </c>
      <c r="S138">
        <v>0.69807620800000003</v>
      </c>
      <c r="X138">
        <v>0</v>
      </c>
      <c r="Y138">
        <v>1</v>
      </c>
      <c r="Z138" t="s">
        <v>24</v>
      </c>
      <c r="AA138" t="s">
        <v>24</v>
      </c>
      <c r="AB138" t="s">
        <v>24</v>
      </c>
      <c r="AD138">
        <v>19.653099999999998</v>
      </c>
      <c r="AE138">
        <v>121.611</v>
      </c>
      <c r="AF138">
        <v>23.833400000000001</v>
      </c>
      <c r="AG138">
        <v>63.7012</v>
      </c>
      <c r="AI138">
        <v>155</v>
      </c>
      <c r="AK138">
        <v>5</v>
      </c>
      <c r="AL138">
        <v>3</v>
      </c>
      <c r="AM138">
        <v>2</v>
      </c>
    </row>
    <row r="139" spans="1:39" x14ac:dyDescent="0.2">
      <c r="A139">
        <v>138</v>
      </c>
      <c r="B139" t="s">
        <v>3</v>
      </c>
      <c r="C139">
        <v>3</v>
      </c>
      <c r="D139" t="s">
        <v>18</v>
      </c>
      <c r="E139">
        <v>10.199999999999999</v>
      </c>
      <c r="F139">
        <v>0.65</v>
      </c>
      <c r="G139">
        <v>276</v>
      </c>
      <c r="H139">
        <v>14.4</v>
      </c>
      <c r="I139">
        <v>23.3</v>
      </c>
      <c r="J139">
        <v>65</v>
      </c>
      <c r="K139">
        <v>0.60214236499999996</v>
      </c>
      <c r="L139" s="4">
        <v>255000000000000</v>
      </c>
      <c r="M139" s="4">
        <v>2510000000000000</v>
      </c>
      <c r="N139" s="4">
        <v>2770000000000000</v>
      </c>
      <c r="O139">
        <v>11.23</v>
      </c>
      <c r="P139">
        <v>0.76600000000000001</v>
      </c>
      <c r="Q139">
        <v>0.23400000000000001</v>
      </c>
      <c r="R139">
        <v>10.83924766</v>
      </c>
      <c r="S139">
        <v>3.3119923400000002</v>
      </c>
      <c r="X139">
        <v>0</v>
      </c>
      <c r="Y139">
        <v>1</v>
      </c>
      <c r="Z139" t="s">
        <v>24</v>
      </c>
      <c r="AA139" t="s">
        <v>24</v>
      </c>
      <c r="AB139" t="s">
        <v>24</v>
      </c>
      <c r="AD139">
        <v>11.070399999999999</v>
      </c>
      <c r="AE139">
        <v>53.009300000000003</v>
      </c>
      <c r="AF139">
        <v>22.064399999999999</v>
      </c>
      <c r="AG139">
        <v>59.035299999999999</v>
      </c>
      <c r="AI139">
        <v>125</v>
      </c>
      <c r="AK139">
        <v>17.7</v>
      </c>
      <c r="AL139">
        <v>5.9</v>
      </c>
      <c r="AM139">
        <v>11.8</v>
      </c>
    </row>
    <row r="140" spans="1:39" x14ac:dyDescent="0.2">
      <c r="A140">
        <v>139</v>
      </c>
      <c r="B140" t="s">
        <v>3</v>
      </c>
      <c r="C140">
        <v>3</v>
      </c>
      <c r="D140" t="s">
        <v>16</v>
      </c>
      <c r="E140">
        <v>2.1</v>
      </c>
      <c r="F140">
        <v>0</v>
      </c>
      <c r="G140">
        <v>1083</v>
      </c>
      <c r="H140">
        <v>15</v>
      </c>
      <c r="I140">
        <v>12.2</v>
      </c>
      <c r="J140">
        <v>65</v>
      </c>
      <c r="K140">
        <v>0.60214236499999996</v>
      </c>
      <c r="L140" s="4">
        <v>147000000000000</v>
      </c>
      <c r="M140" s="4">
        <v>1.28E+16</v>
      </c>
      <c r="N140" s="4">
        <v>1.29E+16</v>
      </c>
      <c r="O140">
        <v>6.75</v>
      </c>
      <c r="P140">
        <v>0.71599999999999997</v>
      </c>
      <c r="Q140">
        <v>0.28399999999999997</v>
      </c>
      <c r="R140">
        <v>47.738041109999998</v>
      </c>
      <c r="S140">
        <v>18.90615489</v>
      </c>
      <c r="X140">
        <v>0</v>
      </c>
      <c r="Y140">
        <v>1</v>
      </c>
      <c r="Z140" t="s">
        <v>24</v>
      </c>
      <c r="AA140" t="s">
        <v>24</v>
      </c>
      <c r="AB140" t="s">
        <v>24</v>
      </c>
      <c r="AD140">
        <v>15.5396</v>
      </c>
      <c r="AE140">
        <v>22.347999999999999</v>
      </c>
      <c r="AF140">
        <v>17.779199999999999</v>
      </c>
      <c r="AG140">
        <v>70.744600000000005</v>
      </c>
      <c r="AI140">
        <v>115</v>
      </c>
      <c r="AK140">
        <v>57.5</v>
      </c>
      <c r="AL140">
        <v>1.9</v>
      </c>
      <c r="AM140">
        <v>55.5</v>
      </c>
    </row>
    <row r="141" spans="1:39" x14ac:dyDescent="0.2">
      <c r="A141">
        <v>140</v>
      </c>
      <c r="B141" t="s">
        <v>3</v>
      </c>
      <c r="C141">
        <v>2</v>
      </c>
      <c r="D141" t="s">
        <v>8</v>
      </c>
      <c r="E141">
        <v>21.8</v>
      </c>
      <c r="F141">
        <v>1.3</v>
      </c>
      <c r="G141">
        <v>188</v>
      </c>
      <c r="H141">
        <v>13.5</v>
      </c>
      <c r="I141">
        <v>12.2</v>
      </c>
      <c r="J141">
        <v>65</v>
      </c>
      <c r="K141">
        <v>0.60214236499999996</v>
      </c>
      <c r="L141" s="4">
        <v>516000000000000</v>
      </c>
      <c r="M141" s="4">
        <v>3300000000000000</v>
      </c>
      <c r="N141" s="4">
        <v>3820000000000000</v>
      </c>
      <c r="O141">
        <v>42.4</v>
      </c>
      <c r="P141">
        <v>0.878</v>
      </c>
      <c r="Q141">
        <v>0.122</v>
      </c>
      <c r="R141">
        <v>26.103968779999999</v>
      </c>
      <c r="S141">
        <v>3.6255512200000002</v>
      </c>
      <c r="X141">
        <v>1</v>
      </c>
      <c r="Y141">
        <v>0</v>
      </c>
      <c r="Z141" t="s">
        <v>24</v>
      </c>
      <c r="AA141" t="s">
        <v>24</v>
      </c>
      <c r="AB141" t="s">
        <v>24</v>
      </c>
      <c r="AD141">
        <v>13.615500000000001</v>
      </c>
      <c r="AE141">
        <v>61.871899999999997</v>
      </c>
      <c r="AF141">
        <v>25.829599999999999</v>
      </c>
      <c r="AG141">
        <v>67.435900000000004</v>
      </c>
      <c r="AI141">
        <v>115</v>
      </c>
      <c r="AK141">
        <v>46.8</v>
      </c>
      <c r="AL141">
        <v>22.1</v>
      </c>
      <c r="AM141">
        <v>24.8</v>
      </c>
    </row>
    <row r="142" spans="1:39" x14ac:dyDescent="0.2">
      <c r="A142">
        <v>141</v>
      </c>
      <c r="B142" t="s">
        <v>3</v>
      </c>
      <c r="C142">
        <v>3</v>
      </c>
      <c r="D142" t="s">
        <v>16</v>
      </c>
      <c r="E142">
        <v>2.1</v>
      </c>
      <c r="F142">
        <v>0</v>
      </c>
      <c r="G142">
        <v>1083</v>
      </c>
      <c r="H142">
        <v>15</v>
      </c>
      <c r="I142">
        <v>16.100000000000001</v>
      </c>
      <c r="J142">
        <v>65</v>
      </c>
      <c r="K142">
        <v>0.60214236499999996</v>
      </c>
      <c r="L142" s="4">
        <v>107000000000000</v>
      </c>
      <c r="M142" s="4">
        <v>1.23E+16</v>
      </c>
      <c r="N142" s="4">
        <v>1.24E+16</v>
      </c>
      <c r="O142">
        <v>6.18</v>
      </c>
      <c r="P142">
        <v>0.745</v>
      </c>
      <c r="Q142">
        <v>0.255</v>
      </c>
      <c r="R142">
        <v>77.042835299999993</v>
      </c>
      <c r="S142">
        <v>26.375024700000001</v>
      </c>
      <c r="X142">
        <v>0</v>
      </c>
      <c r="Y142">
        <v>1</v>
      </c>
      <c r="Z142" t="s">
        <v>24</v>
      </c>
      <c r="AA142" t="s">
        <v>24</v>
      </c>
      <c r="AB142" t="s">
        <v>24</v>
      </c>
      <c r="AD142">
        <v>15.6196</v>
      </c>
      <c r="AE142">
        <v>21.572099999999999</v>
      </c>
      <c r="AF142">
        <v>18.010200000000001</v>
      </c>
      <c r="AG142">
        <v>97.921300000000002</v>
      </c>
      <c r="AI142">
        <v>145</v>
      </c>
      <c r="AK142">
        <v>88.5</v>
      </c>
      <c r="AL142">
        <v>2.4</v>
      </c>
      <c r="AM142">
        <v>86.2</v>
      </c>
    </row>
    <row r="143" spans="1:39" x14ac:dyDescent="0.2">
      <c r="A143">
        <v>142</v>
      </c>
      <c r="B143" t="s">
        <v>3</v>
      </c>
      <c r="C143">
        <v>3</v>
      </c>
      <c r="D143" t="s">
        <v>18</v>
      </c>
      <c r="E143">
        <v>10.199999999999999</v>
      </c>
      <c r="F143">
        <v>0.65</v>
      </c>
      <c r="G143">
        <v>276</v>
      </c>
      <c r="H143">
        <v>14.4</v>
      </c>
      <c r="I143">
        <v>27.8</v>
      </c>
      <c r="J143">
        <v>65</v>
      </c>
      <c r="K143">
        <v>0.60214236499999996</v>
      </c>
      <c r="L143" s="4">
        <v>218000000000000</v>
      </c>
      <c r="M143" s="4">
        <v>2740000000000000</v>
      </c>
      <c r="N143" s="4">
        <v>2960000000000000</v>
      </c>
      <c r="O143">
        <v>9.5</v>
      </c>
      <c r="P143">
        <v>0.88500000000000001</v>
      </c>
      <c r="Q143">
        <v>0.115</v>
      </c>
      <c r="R143">
        <v>9.9060221540000004</v>
      </c>
      <c r="S143">
        <v>1.2920898460000001</v>
      </c>
      <c r="X143">
        <v>0</v>
      </c>
      <c r="Y143">
        <v>1</v>
      </c>
      <c r="Z143" t="s">
        <v>24</v>
      </c>
      <c r="AA143" t="s">
        <v>24</v>
      </c>
      <c r="AB143" t="s">
        <v>24</v>
      </c>
      <c r="AD143">
        <v>11.151199999999999</v>
      </c>
      <c r="AE143">
        <v>33.509399999999999</v>
      </c>
      <c r="AF143">
        <v>21.648900000000001</v>
      </c>
      <c r="AG143">
        <v>53.985599999999998</v>
      </c>
      <c r="AI143">
        <v>140</v>
      </c>
      <c r="AK143">
        <v>13.6</v>
      </c>
      <c r="AL143">
        <v>4.3</v>
      </c>
      <c r="AM143">
        <v>9.3000000000000007</v>
      </c>
    </row>
    <row r="144" spans="1:39" x14ac:dyDescent="0.2">
      <c r="A144">
        <v>143</v>
      </c>
      <c r="B144" t="s">
        <v>3</v>
      </c>
      <c r="C144">
        <v>2</v>
      </c>
      <c r="D144" t="s">
        <v>8</v>
      </c>
      <c r="E144">
        <v>21.8</v>
      </c>
      <c r="F144">
        <v>1.3</v>
      </c>
      <c r="G144">
        <v>188</v>
      </c>
      <c r="H144">
        <v>13.5</v>
      </c>
      <c r="I144">
        <v>27.8</v>
      </c>
      <c r="J144">
        <v>65</v>
      </c>
      <c r="K144">
        <v>0.60214236499999996</v>
      </c>
      <c r="L144" s="4">
        <v>302000000000000</v>
      </c>
      <c r="M144" s="4">
        <v>3000000000000000</v>
      </c>
      <c r="N144" s="4">
        <v>3310000000000000</v>
      </c>
      <c r="O144">
        <v>19.23</v>
      </c>
      <c r="P144">
        <v>0.86699999999999999</v>
      </c>
      <c r="Q144">
        <v>0.13300000000000001</v>
      </c>
      <c r="R144">
        <v>12.919766750000001</v>
      </c>
      <c r="S144">
        <v>1.9738532529999999</v>
      </c>
      <c r="X144">
        <v>1</v>
      </c>
      <c r="Y144">
        <v>0</v>
      </c>
      <c r="Z144" t="s">
        <v>24</v>
      </c>
      <c r="AA144" t="s">
        <v>24</v>
      </c>
      <c r="AB144" t="s">
        <v>24</v>
      </c>
      <c r="AD144">
        <v>11.9086</v>
      </c>
      <c r="AE144">
        <v>45.382599999999996</v>
      </c>
      <c r="AF144">
        <v>23.726400000000002</v>
      </c>
      <c r="AG144">
        <v>58.421100000000003</v>
      </c>
      <c r="AI144">
        <v>110</v>
      </c>
      <c r="AK144">
        <v>21.5</v>
      </c>
      <c r="AL144">
        <v>9.1</v>
      </c>
      <c r="AM144">
        <v>12.4</v>
      </c>
    </row>
    <row r="145" spans="1:39" x14ac:dyDescent="0.2">
      <c r="A145">
        <v>144</v>
      </c>
      <c r="B145" t="s">
        <v>3</v>
      </c>
      <c r="C145">
        <v>3</v>
      </c>
      <c r="D145" t="s">
        <v>8</v>
      </c>
      <c r="E145">
        <v>21.8</v>
      </c>
      <c r="F145">
        <v>1.3</v>
      </c>
      <c r="G145">
        <v>188</v>
      </c>
      <c r="H145">
        <v>13.5</v>
      </c>
      <c r="I145">
        <v>29.4</v>
      </c>
      <c r="J145">
        <v>65</v>
      </c>
      <c r="K145">
        <v>0.60214236499999996</v>
      </c>
      <c r="L145" s="4">
        <v>333000000000000</v>
      </c>
      <c r="M145" s="4">
        <v>754000000000000</v>
      </c>
      <c r="N145" s="4">
        <v>1090000000000000</v>
      </c>
      <c r="O145">
        <v>19.170000000000002</v>
      </c>
      <c r="P145">
        <v>0.89100000000000001</v>
      </c>
      <c r="Q145">
        <v>0.109</v>
      </c>
      <c r="R145" t="s">
        <v>24</v>
      </c>
      <c r="S145" t="s">
        <v>24</v>
      </c>
      <c r="X145">
        <v>0</v>
      </c>
      <c r="Y145">
        <v>1</v>
      </c>
      <c r="Z145" t="s">
        <v>24</v>
      </c>
      <c r="AA145" t="s">
        <v>24</v>
      </c>
      <c r="AB145" t="s">
        <v>24</v>
      </c>
      <c r="AD145">
        <v>13.473100000000001</v>
      </c>
      <c r="AE145">
        <v>57.124200000000002</v>
      </c>
      <c r="AF145" t="s">
        <v>24</v>
      </c>
      <c r="AG145" t="s">
        <v>24</v>
      </c>
      <c r="AI145">
        <v>110</v>
      </c>
      <c r="AK145">
        <v>27.1</v>
      </c>
      <c r="AL145" t="s">
        <v>24</v>
      </c>
      <c r="AM145" t="s">
        <v>24</v>
      </c>
    </row>
    <row r="146" spans="1:39" x14ac:dyDescent="0.2">
      <c r="A146">
        <v>145</v>
      </c>
      <c r="B146" t="s">
        <v>4</v>
      </c>
      <c r="C146">
        <v>2</v>
      </c>
      <c r="D146" t="s">
        <v>19</v>
      </c>
      <c r="E146">
        <v>8</v>
      </c>
      <c r="F146">
        <v>0.9</v>
      </c>
      <c r="G146">
        <v>500</v>
      </c>
      <c r="H146">
        <v>14.4</v>
      </c>
      <c r="I146">
        <v>18</v>
      </c>
      <c r="J146">
        <v>65</v>
      </c>
      <c r="K146">
        <v>0.60214236499999996</v>
      </c>
      <c r="L146" s="4">
        <v>464000000000000</v>
      </c>
      <c r="M146" s="4">
        <v>6220000000000000</v>
      </c>
      <c r="N146" s="4">
        <v>6690000000000000</v>
      </c>
      <c r="O146">
        <v>35.6</v>
      </c>
      <c r="P146">
        <v>0.78100000000000003</v>
      </c>
      <c r="Q146">
        <v>0.219</v>
      </c>
      <c r="R146">
        <v>12.456433560000001</v>
      </c>
      <c r="S146">
        <v>3.4957664359999998</v>
      </c>
      <c r="X146">
        <v>1</v>
      </c>
      <c r="Y146">
        <v>0</v>
      </c>
      <c r="Z146">
        <v>74</v>
      </c>
      <c r="AA146" t="s">
        <v>24</v>
      </c>
      <c r="AB146">
        <v>920</v>
      </c>
      <c r="AD146">
        <v>12.841699999999999</v>
      </c>
      <c r="AE146">
        <v>30.298300000000001</v>
      </c>
      <c r="AF146">
        <v>19.7151</v>
      </c>
      <c r="AG146">
        <v>56.914900000000003</v>
      </c>
      <c r="AI146">
        <v>480</v>
      </c>
      <c r="AK146">
        <v>31.26</v>
      </c>
      <c r="AL146">
        <v>17.97</v>
      </c>
      <c r="AM146">
        <v>13.3</v>
      </c>
    </row>
    <row r="147" spans="1:39" x14ac:dyDescent="0.2">
      <c r="A147">
        <v>146</v>
      </c>
      <c r="B147" t="s">
        <v>4</v>
      </c>
      <c r="C147">
        <v>2</v>
      </c>
      <c r="D147" t="s">
        <v>8</v>
      </c>
      <c r="E147">
        <v>16</v>
      </c>
      <c r="F147">
        <v>1.4</v>
      </c>
      <c r="G147">
        <v>800</v>
      </c>
      <c r="H147">
        <v>13.9</v>
      </c>
      <c r="I147">
        <v>16</v>
      </c>
      <c r="J147">
        <v>65</v>
      </c>
      <c r="K147">
        <v>0.60214236499999996</v>
      </c>
      <c r="L147" s="4">
        <v>534000000000000</v>
      </c>
      <c r="M147" s="4">
        <v>5020000000000000</v>
      </c>
      <c r="N147" s="4">
        <v>5560000000000000</v>
      </c>
      <c r="O147">
        <v>65.930000000000007</v>
      </c>
      <c r="P147">
        <v>0.69</v>
      </c>
      <c r="Q147">
        <v>0.31</v>
      </c>
      <c r="R147">
        <v>10.880950110000001</v>
      </c>
      <c r="S147">
        <v>4.8845298899999996</v>
      </c>
      <c r="X147">
        <v>1</v>
      </c>
      <c r="Y147">
        <v>0</v>
      </c>
      <c r="Z147">
        <v>74</v>
      </c>
      <c r="AA147" t="s">
        <v>24</v>
      </c>
      <c r="AB147">
        <v>900</v>
      </c>
      <c r="AD147">
        <v>13.9634</v>
      </c>
      <c r="AE147">
        <v>34.760800000000003</v>
      </c>
      <c r="AF147">
        <v>23.221800000000002</v>
      </c>
      <c r="AG147">
        <v>66.463200000000001</v>
      </c>
      <c r="AI147">
        <v>420</v>
      </c>
      <c r="AK147">
        <v>55.72</v>
      </c>
      <c r="AL147">
        <v>42.58</v>
      </c>
      <c r="AM147">
        <v>13.1</v>
      </c>
    </row>
    <row r="148" spans="1:39" x14ac:dyDescent="0.2">
      <c r="A148">
        <v>147</v>
      </c>
      <c r="B148" t="s">
        <v>4</v>
      </c>
      <c r="C148">
        <v>3</v>
      </c>
      <c r="D148" t="s">
        <v>19</v>
      </c>
      <c r="E148">
        <v>8</v>
      </c>
      <c r="F148">
        <v>0.9</v>
      </c>
      <c r="G148">
        <v>500</v>
      </c>
      <c r="H148">
        <v>14.4</v>
      </c>
      <c r="I148">
        <v>17</v>
      </c>
      <c r="J148">
        <v>65</v>
      </c>
      <c r="K148">
        <v>0.60214236499999996</v>
      </c>
      <c r="L148" s="4">
        <v>1790000000000000</v>
      </c>
      <c r="M148" s="4">
        <v>3180000000000000</v>
      </c>
      <c r="N148" s="4">
        <v>4970000000000000</v>
      </c>
      <c r="O148">
        <v>1.82</v>
      </c>
      <c r="P148">
        <v>0.91100000000000003</v>
      </c>
      <c r="Q148">
        <v>8.8999999999999996E-2</v>
      </c>
      <c r="R148">
        <v>14.106914919999999</v>
      </c>
      <c r="S148">
        <v>1.386381077</v>
      </c>
      <c r="X148">
        <v>0</v>
      </c>
      <c r="Y148">
        <v>1</v>
      </c>
      <c r="Z148">
        <v>74</v>
      </c>
      <c r="AA148" t="s">
        <v>24</v>
      </c>
      <c r="AB148">
        <v>890</v>
      </c>
      <c r="AD148">
        <v>17.009499999999999</v>
      </c>
      <c r="AE148">
        <v>35.315800000000003</v>
      </c>
      <c r="AF148">
        <v>16.641400000000001</v>
      </c>
      <c r="AG148">
        <v>94.735699999999994</v>
      </c>
      <c r="AI148">
        <v>360</v>
      </c>
      <c r="AK148">
        <v>14.61</v>
      </c>
      <c r="AL148">
        <v>1.7</v>
      </c>
      <c r="AM148">
        <v>12.9</v>
      </c>
    </row>
    <row r="149" spans="1:39" x14ac:dyDescent="0.2">
      <c r="A149">
        <v>148</v>
      </c>
      <c r="B149" t="s">
        <v>1</v>
      </c>
      <c r="C149">
        <v>3</v>
      </c>
      <c r="D149" t="s">
        <v>8</v>
      </c>
      <c r="E149">
        <v>17.600000000000001</v>
      </c>
      <c r="F149">
        <v>0.93</v>
      </c>
      <c r="G149">
        <v>383</v>
      </c>
      <c r="H149">
        <v>13.69</v>
      </c>
      <c r="I149">
        <v>31</v>
      </c>
      <c r="J149">
        <v>85</v>
      </c>
      <c r="K149">
        <v>0.844540768</v>
      </c>
      <c r="L149" s="4">
        <v>299000000000000</v>
      </c>
      <c r="M149" s="4">
        <v>2390000000000000</v>
      </c>
      <c r="N149" s="4">
        <v>2690000000000000</v>
      </c>
      <c r="O149">
        <v>92.62</v>
      </c>
      <c r="P149" t="s">
        <v>24</v>
      </c>
      <c r="Q149" t="s">
        <v>24</v>
      </c>
      <c r="R149" t="s">
        <v>24</v>
      </c>
      <c r="S149" t="s">
        <v>24</v>
      </c>
      <c r="X149">
        <v>0</v>
      </c>
      <c r="Y149">
        <v>1</v>
      </c>
      <c r="Z149">
        <v>83.5</v>
      </c>
      <c r="AA149">
        <v>98</v>
      </c>
      <c r="AB149">
        <v>1013</v>
      </c>
      <c r="AD149">
        <v>21.906722500000001</v>
      </c>
      <c r="AE149">
        <v>69.922229999999999</v>
      </c>
      <c r="AF149">
        <v>28.485175000000002</v>
      </c>
      <c r="AG149">
        <v>76.800062499999996</v>
      </c>
      <c r="AI149">
        <v>161</v>
      </c>
      <c r="AK149">
        <v>239.3</v>
      </c>
      <c r="AL149">
        <v>152.19999999999999</v>
      </c>
      <c r="AM149">
        <v>87.1</v>
      </c>
    </row>
    <row r="150" spans="1:39" x14ac:dyDescent="0.2">
      <c r="A150">
        <v>149</v>
      </c>
      <c r="B150" t="s">
        <v>1</v>
      </c>
      <c r="C150">
        <v>3</v>
      </c>
      <c r="D150" t="s">
        <v>8</v>
      </c>
      <c r="E150">
        <v>17.600000000000001</v>
      </c>
      <c r="F150">
        <v>0.93</v>
      </c>
      <c r="G150">
        <v>383</v>
      </c>
      <c r="H150">
        <v>13.69</v>
      </c>
      <c r="I150">
        <v>24</v>
      </c>
      <c r="J150">
        <v>85</v>
      </c>
      <c r="K150">
        <v>0.844540768</v>
      </c>
      <c r="L150" s="4">
        <v>377000000000000</v>
      </c>
      <c r="M150" s="4">
        <v>3610000000000000</v>
      </c>
      <c r="N150" s="4">
        <v>3990000000000000</v>
      </c>
      <c r="O150">
        <v>116.01300000000001</v>
      </c>
      <c r="P150">
        <v>0.78956513900000003</v>
      </c>
      <c r="Q150">
        <v>0.210434861</v>
      </c>
      <c r="R150">
        <v>69.699205410000005</v>
      </c>
      <c r="S150">
        <v>18.57622873</v>
      </c>
      <c r="X150">
        <v>0</v>
      </c>
      <c r="Y150">
        <v>1</v>
      </c>
      <c r="Z150">
        <v>83</v>
      </c>
      <c r="AA150">
        <v>97</v>
      </c>
      <c r="AB150">
        <v>1024</v>
      </c>
      <c r="AD150">
        <v>14.232234999999999</v>
      </c>
      <c r="AE150">
        <v>72.755489999999995</v>
      </c>
      <c r="AF150">
        <v>27.322234999999999</v>
      </c>
      <c r="AG150">
        <v>77.091719999999995</v>
      </c>
      <c r="AI150">
        <v>138</v>
      </c>
      <c r="AK150">
        <v>203.8</v>
      </c>
      <c r="AL150">
        <v>130.19999999999999</v>
      </c>
      <c r="AM150">
        <v>73.599999999999994</v>
      </c>
    </row>
    <row r="151" spans="1:39" x14ac:dyDescent="0.2">
      <c r="A151">
        <v>150</v>
      </c>
      <c r="B151" t="s">
        <v>1</v>
      </c>
      <c r="C151">
        <v>3</v>
      </c>
      <c r="D151" t="s">
        <v>8</v>
      </c>
      <c r="E151">
        <v>17.600000000000001</v>
      </c>
      <c r="F151">
        <v>0.93</v>
      </c>
      <c r="G151">
        <v>383</v>
      </c>
      <c r="H151">
        <v>13.69</v>
      </c>
      <c r="I151">
        <v>33</v>
      </c>
      <c r="J151">
        <v>85</v>
      </c>
      <c r="K151">
        <v>0.844540768</v>
      </c>
      <c r="L151" s="4">
        <v>254000000000000</v>
      </c>
      <c r="M151" s="4">
        <v>1340000000000000</v>
      </c>
      <c r="N151" s="4">
        <v>1600000000000000</v>
      </c>
      <c r="O151">
        <v>64.552999999999997</v>
      </c>
      <c r="P151">
        <v>0.66878724499999997</v>
      </c>
      <c r="Q151">
        <v>0.33121275500000003</v>
      </c>
      <c r="R151">
        <v>31.365068860000001</v>
      </c>
      <c r="S151">
        <v>15.53335673</v>
      </c>
      <c r="X151">
        <v>0</v>
      </c>
      <c r="Y151">
        <v>1</v>
      </c>
      <c r="Z151">
        <v>83</v>
      </c>
      <c r="AA151">
        <v>90</v>
      </c>
      <c r="AB151">
        <v>1008</v>
      </c>
      <c r="AD151">
        <v>20.040414999999999</v>
      </c>
      <c r="AE151">
        <v>72.717622500000004</v>
      </c>
      <c r="AF151">
        <v>26.360720000000001</v>
      </c>
      <c r="AG151">
        <v>73.640129999999999</v>
      </c>
      <c r="AI151">
        <v>177</v>
      </c>
      <c r="AK151">
        <v>124.6</v>
      </c>
      <c r="AL151">
        <v>85.5</v>
      </c>
      <c r="AM151">
        <v>39.1</v>
      </c>
    </row>
    <row r="152" spans="1:39" x14ac:dyDescent="0.2">
      <c r="A152">
        <v>151</v>
      </c>
      <c r="B152" t="s">
        <v>1</v>
      </c>
      <c r="C152">
        <v>3</v>
      </c>
      <c r="D152" t="s">
        <v>8</v>
      </c>
      <c r="E152">
        <v>17.600000000000001</v>
      </c>
      <c r="F152">
        <v>0.93</v>
      </c>
      <c r="G152">
        <v>383</v>
      </c>
      <c r="H152">
        <v>13.69</v>
      </c>
      <c r="I152">
        <v>23</v>
      </c>
      <c r="J152">
        <v>85</v>
      </c>
      <c r="K152">
        <v>0.844540768</v>
      </c>
      <c r="L152" s="4">
        <v>370000000000000</v>
      </c>
      <c r="M152" s="4">
        <v>8510000000000000</v>
      </c>
      <c r="N152" s="4">
        <v>8880000000000000</v>
      </c>
      <c r="O152">
        <v>81.231999999999999</v>
      </c>
      <c r="P152" t="s">
        <v>24</v>
      </c>
      <c r="Q152" t="s">
        <v>24</v>
      </c>
      <c r="R152" t="s">
        <v>24</v>
      </c>
      <c r="S152" t="s">
        <v>24</v>
      </c>
      <c r="X152">
        <v>0</v>
      </c>
      <c r="Y152">
        <v>1</v>
      </c>
      <c r="Z152">
        <v>83</v>
      </c>
      <c r="AA152">
        <v>96</v>
      </c>
      <c r="AB152">
        <v>1000</v>
      </c>
      <c r="AD152">
        <v>12.736012860000001</v>
      </c>
      <c r="AE152">
        <v>60.817472860000002</v>
      </c>
      <c r="AF152">
        <v>24.277414289999999</v>
      </c>
      <c r="AG152">
        <v>74.17045143</v>
      </c>
      <c r="AI152">
        <v>228</v>
      </c>
      <c r="AK152">
        <v>173.3</v>
      </c>
      <c r="AL152">
        <v>111.9</v>
      </c>
      <c r="AM152">
        <v>61.4</v>
      </c>
    </row>
    <row r="153" spans="1:39" x14ac:dyDescent="0.2">
      <c r="A153">
        <v>152</v>
      </c>
      <c r="B153" t="s">
        <v>1</v>
      </c>
      <c r="C153">
        <v>3</v>
      </c>
      <c r="D153" t="s">
        <v>9</v>
      </c>
      <c r="E153">
        <v>17.3</v>
      </c>
      <c r="F153">
        <v>1.31</v>
      </c>
      <c r="G153">
        <v>1595</v>
      </c>
      <c r="H153">
        <v>13.67</v>
      </c>
      <c r="I153">
        <v>32</v>
      </c>
      <c r="J153">
        <v>85</v>
      </c>
      <c r="K153">
        <v>0.844540768</v>
      </c>
      <c r="L153" s="4">
        <v>298000000000000</v>
      </c>
      <c r="M153" s="4">
        <v>3080000000000000</v>
      </c>
      <c r="N153" s="4">
        <v>3380000000000000</v>
      </c>
      <c r="O153">
        <v>80.671000000000006</v>
      </c>
      <c r="P153" t="s">
        <v>24</v>
      </c>
      <c r="Q153" t="s">
        <v>24</v>
      </c>
      <c r="R153" t="s">
        <v>24</v>
      </c>
      <c r="S153" t="s">
        <v>24</v>
      </c>
      <c r="X153">
        <v>0</v>
      </c>
      <c r="Y153">
        <v>1</v>
      </c>
      <c r="Z153">
        <v>83</v>
      </c>
      <c r="AA153">
        <v>95</v>
      </c>
      <c r="AB153">
        <v>1036</v>
      </c>
      <c r="AD153">
        <v>15.352868000000001</v>
      </c>
      <c r="AE153">
        <v>66.590468000000001</v>
      </c>
      <c r="AF153">
        <v>26.181484000000001</v>
      </c>
      <c r="AG153">
        <v>73.966836000000001</v>
      </c>
      <c r="AI153">
        <v>178</v>
      </c>
      <c r="AK153">
        <v>167.2</v>
      </c>
      <c r="AL153">
        <v>98</v>
      </c>
      <c r="AM153">
        <v>69.2</v>
      </c>
    </row>
    <row r="154" spans="1:39" x14ac:dyDescent="0.2">
      <c r="A154">
        <v>153</v>
      </c>
      <c r="B154" t="s">
        <v>1</v>
      </c>
      <c r="C154">
        <v>3</v>
      </c>
      <c r="D154" t="s">
        <v>9</v>
      </c>
      <c r="E154">
        <v>17.3</v>
      </c>
      <c r="F154">
        <v>1.31</v>
      </c>
      <c r="G154">
        <v>1595</v>
      </c>
      <c r="H154">
        <v>13.67</v>
      </c>
      <c r="I154">
        <v>25</v>
      </c>
      <c r="J154">
        <v>85</v>
      </c>
      <c r="K154">
        <v>0.844540768</v>
      </c>
      <c r="L154" s="4">
        <v>322000000000000</v>
      </c>
      <c r="M154" s="4">
        <v>1.87E+16</v>
      </c>
      <c r="N154" s="4">
        <v>1.9E+16</v>
      </c>
      <c r="O154">
        <v>75.786000000000001</v>
      </c>
      <c r="P154">
        <v>0.51122718199999995</v>
      </c>
      <c r="Q154">
        <v>0.488772818</v>
      </c>
      <c r="R154">
        <v>52.668889030000003</v>
      </c>
      <c r="S154">
        <v>50.35554097</v>
      </c>
      <c r="X154">
        <v>0</v>
      </c>
      <c r="Y154">
        <v>1</v>
      </c>
      <c r="Z154">
        <v>83</v>
      </c>
      <c r="AA154">
        <v>93</v>
      </c>
      <c r="AB154">
        <v>1010</v>
      </c>
      <c r="AD154">
        <v>14.475778330000001</v>
      </c>
      <c r="AE154">
        <v>45.825695000000003</v>
      </c>
      <c r="AF154">
        <v>22.556278330000001</v>
      </c>
      <c r="AG154">
        <v>72.594786670000005</v>
      </c>
      <c r="AI154">
        <v>221</v>
      </c>
      <c r="AK154">
        <v>175.1</v>
      </c>
      <c r="AL154">
        <v>89.2</v>
      </c>
      <c r="AM154">
        <v>85.9</v>
      </c>
    </row>
    <row r="155" spans="1:39" x14ac:dyDescent="0.2">
      <c r="A155">
        <v>154</v>
      </c>
      <c r="B155" t="s">
        <v>1</v>
      </c>
      <c r="C155">
        <v>3</v>
      </c>
      <c r="D155" t="s">
        <v>10</v>
      </c>
      <c r="E155">
        <v>21.8</v>
      </c>
      <c r="F155">
        <v>1.34</v>
      </c>
      <c r="G155">
        <v>530</v>
      </c>
      <c r="H155">
        <v>13.7</v>
      </c>
      <c r="I155">
        <v>28</v>
      </c>
      <c r="J155">
        <v>85</v>
      </c>
      <c r="K155">
        <v>0.844540768</v>
      </c>
      <c r="L155" s="4">
        <v>292000000000000</v>
      </c>
      <c r="M155" s="4">
        <v>5370000000000000</v>
      </c>
      <c r="N155" s="4">
        <v>5660000000000000</v>
      </c>
      <c r="O155">
        <v>78.623999999999995</v>
      </c>
      <c r="P155">
        <v>0.69319627500000003</v>
      </c>
      <c r="Q155">
        <v>0.30680372500000003</v>
      </c>
      <c r="R155">
        <v>31.104403090000002</v>
      </c>
      <c r="S155">
        <v>13.76658684</v>
      </c>
      <c r="X155">
        <v>0</v>
      </c>
      <c r="Y155">
        <v>1</v>
      </c>
      <c r="Z155">
        <v>83</v>
      </c>
      <c r="AA155">
        <v>95</v>
      </c>
      <c r="AB155">
        <v>1020</v>
      </c>
      <c r="AD155">
        <v>12.251010000000001</v>
      </c>
      <c r="AE155">
        <v>65.895792</v>
      </c>
      <c r="AF155">
        <v>29.520005000000001</v>
      </c>
      <c r="AG155">
        <v>75.015822499999999</v>
      </c>
      <c r="AI155">
        <v>182</v>
      </c>
      <c r="AK155">
        <v>134.80000000000001</v>
      </c>
      <c r="AL155">
        <v>97.4</v>
      </c>
      <c r="AM155">
        <v>37.4</v>
      </c>
    </row>
    <row r="156" spans="1:39" x14ac:dyDescent="0.2">
      <c r="A156">
        <v>155</v>
      </c>
      <c r="B156" t="s">
        <v>1</v>
      </c>
      <c r="C156">
        <v>3</v>
      </c>
      <c r="D156" t="s">
        <v>10</v>
      </c>
      <c r="E156">
        <v>21.8</v>
      </c>
      <c r="F156">
        <v>1.34</v>
      </c>
      <c r="G156">
        <v>530</v>
      </c>
      <c r="H156">
        <v>13.7</v>
      </c>
      <c r="I156">
        <v>22</v>
      </c>
      <c r="J156">
        <v>85</v>
      </c>
      <c r="K156">
        <v>0.844540768</v>
      </c>
      <c r="L156" s="4">
        <v>414000000000000</v>
      </c>
      <c r="M156" s="4">
        <v>9970000000000000</v>
      </c>
      <c r="N156" s="4">
        <v>1.04E+16</v>
      </c>
      <c r="O156">
        <v>101.35</v>
      </c>
      <c r="P156">
        <v>0.702499859</v>
      </c>
      <c r="Q156">
        <v>0.297500141</v>
      </c>
      <c r="R156">
        <v>65.928059529999999</v>
      </c>
      <c r="S156">
        <v>27.919730850000001</v>
      </c>
      <c r="X156">
        <v>0</v>
      </c>
      <c r="Y156">
        <v>1</v>
      </c>
      <c r="Z156">
        <v>83.5</v>
      </c>
      <c r="AA156">
        <v>94</v>
      </c>
      <c r="AB156">
        <v>1033</v>
      </c>
      <c r="AD156">
        <v>12.977297139999999</v>
      </c>
      <c r="AE156">
        <v>61.911888570000002</v>
      </c>
      <c r="AF156">
        <v>23.071037140000001</v>
      </c>
      <c r="AG156">
        <v>76.735847140000004</v>
      </c>
      <c r="AI156">
        <v>260</v>
      </c>
      <c r="AK156">
        <v>215</v>
      </c>
      <c r="AL156">
        <v>136.80000000000001</v>
      </c>
      <c r="AM156">
        <v>78.2</v>
      </c>
    </row>
    <row r="157" spans="1:39" x14ac:dyDescent="0.2">
      <c r="A157">
        <v>156</v>
      </c>
      <c r="B157" t="s">
        <v>1</v>
      </c>
      <c r="C157">
        <v>3</v>
      </c>
      <c r="D157" t="s">
        <v>9</v>
      </c>
      <c r="E157">
        <v>17.3</v>
      </c>
      <c r="F157">
        <v>1.31</v>
      </c>
      <c r="G157">
        <v>1595</v>
      </c>
      <c r="H157">
        <v>13.67</v>
      </c>
      <c r="I157">
        <v>24</v>
      </c>
      <c r="J157">
        <v>85</v>
      </c>
      <c r="K157">
        <v>0.844540768</v>
      </c>
      <c r="L157" s="4">
        <v>345000000000000</v>
      </c>
      <c r="M157" s="4">
        <v>1.62E+16</v>
      </c>
      <c r="N157" s="4">
        <v>1.65E+16</v>
      </c>
      <c r="O157">
        <v>108.88</v>
      </c>
      <c r="P157">
        <v>0.468370966</v>
      </c>
      <c r="Q157">
        <v>0.53162903399999994</v>
      </c>
      <c r="R157">
        <v>65.42490248</v>
      </c>
      <c r="S157">
        <v>74.261173720000002</v>
      </c>
      <c r="X157">
        <v>0</v>
      </c>
      <c r="Y157">
        <v>1</v>
      </c>
      <c r="Z157">
        <v>83.5</v>
      </c>
      <c r="AA157">
        <v>96</v>
      </c>
      <c r="AB157">
        <v>1051</v>
      </c>
      <c r="AD157">
        <v>14.231719999999999</v>
      </c>
      <c r="AE157">
        <v>55.704234999999997</v>
      </c>
      <c r="AF157">
        <v>26.8015325</v>
      </c>
      <c r="AG157">
        <v>78.645764999999997</v>
      </c>
      <c r="AI157">
        <v>131</v>
      </c>
      <c r="AK157">
        <v>250.2</v>
      </c>
      <c r="AL157">
        <v>133.80000000000001</v>
      </c>
      <c r="AM157">
        <v>116.4</v>
      </c>
    </row>
    <row r="158" spans="1:39" x14ac:dyDescent="0.2">
      <c r="A158">
        <v>157</v>
      </c>
      <c r="B158" t="s">
        <v>2</v>
      </c>
      <c r="C158">
        <v>2</v>
      </c>
      <c r="D158" t="s">
        <v>8</v>
      </c>
      <c r="E158">
        <v>18.600000000000001</v>
      </c>
      <c r="F158">
        <v>1.6</v>
      </c>
      <c r="G158">
        <v>1148</v>
      </c>
      <c r="H158">
        <v>13.6</v>
      </c>
      <c r="I158">
        <v>5.9</v>
      </c>
      <c r="J158">
        <v>85</v>
      </c>
      <c r="K158">
        <v>0.844540768</v>
      </c>
      <c r="L158" s="4">
        <v>590000000000000</v>
      </c>
      <c r="M158" s="4">
        <v>1.52E+16</v>
      </c>
      <c r="N158" s="4">
        <v>1.6E+16</v>
      </c>
      <c r="O158">
        <v>81.400000000000006</v>
      </c>
      <c r="P158" t="s">
        <v>24</v>
      </c>
      <c r="Q158" t="s">
        <v>24</v>
      </c>
      <c r="R158" t="s">
        <v>24</v>
      </c>
      <c r="S158" t="s">
        <v>24</v>
      </c>
      <c r="X158">
        <v>1</v>
      </c>
      <c r="Y158">
        <v>0</v>
      </c>
      <c r="Z158" t="s">
        <v>24</v>
      </c>
      <c r="AA158" t="s">
        <v>24</v>
      </c>
      <c r="AB158" t="s">
        <v>24</v>
      </c>
      <c r="AD158">
        <v>14.2807</v>
      </c>
      <c r="AE158">
        <v>55.843499999999999</v>
      </c>
      <c r="AF158">
        <v>22.976600000000001</v>
      </c>
      <c r="AG158">
        <v>102.873</v>
      </c>
      <c r="AI158">
        <v>155</v>
      </c>
      <c r="AK158">
        <v>131.5</v>
      </c>
      <c r="AL158">
        <v>66</v>
      </c>
      <c r="AM158">
        <v>65.400000000000006</v>
      </c>
    </row>
    <row r="159" spans="1:39" x14ac:dyDescent="0.2">
      <c r="A159">
        <v>158</v>
      </c>
      <c r="B159" t="s">
        <v>2</v>
      </c>
      <c r="C159">
        <v>3</v>
      </c>
      <c r="D159" t="s">
        <v>8</v>
      </c>
      <c r="E159">
        <v>18.600000000000001</v>
      </c>
      <c r="F159">
        <v>1.6</v>
      </c>
      <c r="G159">
        <v>1148</v>
      </c>
      <c r="H159">
        <v>13.6</v>
      </c>
      <c r="I159">
        <v>5.9</v>
      </c>
      <c r="J159">
        <v>85</v>
      </c>
      <c r="K159">
        <v>0.844540768</v>
      </c>
      <c r="L159" s="4">
        <v>530000000000000</v>
      </c>
      <c r="M159" s="4">
        <v>1.6E+16</v>
      </c>
      <c r="N159" s="4">
        <v>1.7E+16</v>
      </c>
      <c r="O159">
        <v>64.2</v>
      </c>
      <c r="P159" t="s">
        <v>24</v>
      </c>
      <c r="Q159" t="s">
        <v>24</v>
      </c>
      <c r="R159" t="s">
        <v>24</v>
      </c>
      <c r="S159" t="s">
        <v>24</v>
      </c>
      <c r="X159">
        <v>0</v>
      </c>
      <c r="Y159">
        <v>1</v>
      </c>
      <c r="Z159">
        <v>83.6</v>
      </c>
      <c r="AA159">
        <v>92</v>
      </c>
      <c r="AB159">
        <v>971</v>
      </c>
      <c r="AD159">
        <v>12.879099999999999</v>
      </c>
      <c r="AE159">
        <v>51.569299999999998</v>
      </c>
      <c r="AF159">
        <v>21.243300000000001</v>
      </c>
      <c r="AG159">
        <v>103.381</v>
      </c>
      <c r="AI159">
        <v>350</v>
      </c>
      <c r="AK159">
        <v>116.9</v>
      </c>
      <c r="AL159">
        <v>60.4</v>
      </c>
      <c r="AM159">
        <v>56.5</v>
      </c>
    </row>
    <row r="160" spans="1:39" x14ac:dyDescent="0.2">
      <c r="A160">
        <v>159</v>
      </c>
      <c r="B160" t="s">
        <v>2</v>
      </c>
      <c r="C160">
        <v>3</v>
      </c>
      <c r="D160" t="s">
        <v>8</v>
      </c>
      <c r="E160">
        <v>18.600000000000001</v>
      </c>
      <c r="F160">
        <v>1.6</v>
      </c>
      <c r="G160">
        <v>1148</v>
      </c>
      <c r="H160">
        <v>13.6</v>
      </c>
      <c r="I160">
        <v>9.6</v>
      </c>
      <c r="J160">
        <v>85</v>
      </c>
      <c r="K160">
        <v>0.844540768</v>
      </c>
      <c r="L160" s="4">
        <v>940000000000000</v>
      </c>
      <c r="M160" s="4">
        <v>1.76E+16</v>
      </c>
      <c r="N160" s="4">
        <v>1.9E+16</v>
      </c>
      <c r="O160">
        <v>144.6</v>
      </c>
      <c r="P160">
        <v>0.60342903599999997</v>
      </c>
      <c r="Q160">
        <v>0.39657096400000003</v>
      </c>
      <c r="R160">
        <v>65.617838840000005</v>
      </c>
      <c r="S160">
        <v>43.123761160000001</v>
      </c>
      <c r="X160">
        <v>0</v>
      </c>
      <c r="Y160">
        <v>1</v>
      </c>
      <c r="Z160">
        <v>83.4</v>
      </c>
      <c r="AA160">
        <v>95</v>
      </c>
      <c r="AB160">
        <v>989</v>
      </c>
      <c r="AD160">
        <v>13.367900000000001</v>
      </c>
      <c r="AE160">
        <v>64.928600000000003</v>
      </c>
      <c r="AF160">
        <v>27.643000000000001</v>
      </c>
      <c r="AG160">
        <v>101.794</v>
      </c>
      <c r="AI160">
        <v>150</v>
      </c>
      <c r="AK160">
        <v>198.3</v>
      </c>
      <c r="AL160">
        <v>107.7</v>
      </c>
      <c r="AM160">
        <v>90.6</v>
      </c>
    </row>
    <row r="161" spans="1:39" x14ac:dyDescent="0.2">
      <c r="A161">
        <v>160</v>
      </c>
      <c r="B161" t="s">
        <v>2</v>
      </c>
      <c r="C161">
        <v>2</v>
      </c>
      <c r="D161" t="s">
        <v>8</v>
      </c>
      <c r="E161">
        <v>18.600000000000001</v>
      </c>
      <c r="F161">
        <v>1.6</v>
      </c>
      <c r="G161">
        <v>1148</v>
      </c>
      <c r="H161">
        <v>13.6</v>
      </c>
      <c r="I161">
        <v>9.4</v>
      </c>
      <c r="J161">
        <v>85</v>
      </c>
      <c r="K161">
        <v>0.844540768</v>
      </c>
      <c r="L161" s="4">
        <v>850000000000000</v>
      </c>
      <c r="M161" s="4">
        <v>1.66E+16</v>
      </c>
      <c r="N161" s="4">
        <v>1.7E+16</v>
      </c>
      <c r="O161">
        <v>130</v>
      </c>
      <c r="P161">
        <v>0.60699021500000006</v>
      </c>
      <c r="Q161">
        <v>0.393009785</v>
      </c>
      <c r="R161">
        <v>67.886514030000001</v>
      </c>
      <c r="S161">
        <v>43.95468597</v>
      </c>
      <c r="X161">
        <v>1</v>
      </c>
      <c r="Y161">
        <v>0</v>
      </c>
      <c r="Z161" t="s">
        <v>24</v>
      </c>
      <c r="AA161" t="s">
        <v>24</v>
      </c>
      <c r="AB161" t="s">
        <v>24</v>
      </c>
      <c r="AD161">
        <v>14.791499999999999</v>
      </c>
      <c r="AE161">
        <v>63.562399999999997</v>
      </c>
      <c r="AF161">
        <v>28.3384</v>
      </c>
      <c r="AG161">
        <v>104.065</v>
      </c>
      <c r="AI161">
        <v>190</v>
      </c>
      <c r="AK161">
        <v>204</v>
      </c>
      <c r="AL161">
        <v>110.8</v>
      </c>
      <c r="AM161">
        <v>93.2</v>
      </c>
    </row>
    <row r="162" spans="1:39" x14ac:dyDescent="0.2">
      <c r="A162">
        <v>161</v>
      </c>
      <c r="B162" t="s">
        <v>2</v>
      </c>
      <c r="C162">
        <v>3</v>
      </c>
      <c r="D162" t="s">
        <v>8</v>
      </c>
      <c r="E162">
        <v>18.600000000000001</v>
      </c>
      <c r="F162">
        <v>1.6</v>
      </c>
      <c r="G162">
        <v>1148</v>
      </c>
      <c r="H162">
        <v>13.6</v>
      </c>
      <c r="I162">
        <v>9.8000000000000007</v>
      </c>
      <c r="J162">
        <v>85</v>
      </c>
      <c r="K162">
        <v>0.844540768</v>
      </c>
      <c r="L162" s="4">
        <v>1000000000000000</v>
      </c>
      <c r="M162" s="4">
        <v>1.69E+16</v>
      </c>
      <c r="N162" s="4">
        <v>1.8E+16</v>
      </c>
      <c r="O162">
        <v>158.4</v>
      </c>
      <c r="P162">
        <v>0.54315536799999997</v>
      </c>
      <c r="Q162">
        <v>0.45684463199999997</v>
      </c>
      <c r="R162">
        <v>67.666512990000001</v>
      </c>
      <c r="S162">
        <v>56.913887010000003</v>
      </c>
      <c r="X162">
        <v>0</v>
      </c>
      <c r="Y162">
        <v>1</v>
      </c>
      <c r="Z162">
        <v>83.4</v>
      </c>
      <c r="AA162">
        <v>93</v>
      </c>
      <c r="AB162">
        <v>1001</v>
      </c>
      <c r="AD162">
        <v>13.843999999999999</v>
      </c>
      <c r="AE162">
        <v>69.423599999999993</v>
      </c>
      <c r="AF162">
        <v>28.6676</v>
      </c>
      <c r="AG162">
        <v>95.765900000000002</v>
      </c>
      <c r="AI162">
        <v>90</v>
      </c>
      <c r="AK162">
        <v>229.7</v>
      </c>
      <c r="AL162">
        <v>125.9</v>
      </c>
      <c r="AM162">
        <v>103.8</v>
      </c>
    </row>
    <row r="163" spans="1:39" x14ac:dyDescent="0.2">
      <c r="A163">
        <v>162</v>
      </c>
      <c r="B163" t="s">
        <v>2</v>
      </c>
      <c r="C163">
        <v>3</v>
      </c>
      <c r="D163" t="s">
        <v>8</v>
      </c>
      <c r="E163">
        <v>18.600000000000001</v>
      </c>
      <c r="F163">
        <v>1.6</v>
      </c>
      <c r="G163">
        <v>1148</v>
      </c>
      <c r="H163">
        <v>13.6</v>
      </c>
      <c r="I163">
        <v>-3.1</v>
      </c>
      <c r="J163">
        <v>85</v>
      </c>
      <c r="K163">
        <v>0.844540768</v>
      </c>
      <c r="L163" s="4">
        <v>1200000000000000</v>
      </c>
      <c r="M163" s="4">
        <v>2.43E+16</v>
      </c>
      <c r="N163" s="4">
        <v>2.5E+16</v>
      </c>
      <c r="O163">
        <v>148.5</v>
      </c>
      <c r="P163">
        <v>0.66167548099999995</v>
      </c>
      <c r="Q163">
        <v>0.33832451899999999</v>
      </c>
      <c r="R163">
        <v>77.060314570000003</v>
      </c>
      <c r="S163">
        <v>39.40208543</v>
      </c>
      <c r="X163">
        <v>0</v>
      </c>
      <c r="Y163">
        <v>1</v>
      </c>
      <c r="Z163">
        <v>84.7</v>
      </c>
      <c r="AA163">
        <v>91</v>
      </c>
      <c r="AB163">
        <v>962</v>
      </c>
      <c r="AD163">
        <v>14.2393</v>
      </c>
      <c r="AE163">
        <v>57.9679</v>
      </c>
      <c r="AF163">
        <v>26.4407</v>
      </c>
      <c r="AG163">
        <v>102.627</v>
      </c>
      <c r="AI163">
        <v>125</v>
      </c>
      <c r="AK163">
        <v>239.8</v>
      </c>
      <c r="AL163">
        <v>142.80000000000001</v>
      </c>
      <c r="AM163">
        <v>97.1</v>
      </c>
    </row>
    <row r="164" spans="1:39" x14ac:dyDescent="0.2">
      <c r="A164">
        <v>163</v>
      </c>
      <c r="B164" t="s">
        <v>2</v>
      </c>
      <c r="C164">
        <v>2</v>
      </c>
      <c r="D164" t="s">
        <v>8</v>
      </c>
      <c r="E164">
        <v>18.600000000000001</v>
      </c>
      <c r="F164">
        <v>1.6</v>
      </c>
      <c r="G164">
        <v>1148</v>
      </c>
      <c r="H164">
        <v>13.6</v>
      </c>
      <c r="I164">
        <v>-3</v>
      </c>
      <c r="J164">
        <v>85</v>
      </c>
      <c r="K164">
        <v>0.844540768</v>
      </c>
      <c r="L164" s="4">
        <v>1000000000000000</v>
      </c>
      <c r="M164" s="4">
        <v>1.91E+16</v>
      </c>
      <c r="N164" s="4">
        <v>2E+16</v>
      </c>
      <c r="O164">
        <v>137.9</v>
      </c>
      <c r="P164">
        <v>0.72353585300000001</v>
      </c>
      <c r="Q164">
        <v>0.27646414699999999</v>
      </c>
      <c r="R164">
        <v>81.785019849999998</v>
      </c>
      <c r="S164">
        <v>31.250180149999998</v>
      </c>
      <c r="X164">
        <v>1</v>
      </c>
      <c r="Y164">
        <v>0</v>
      </c>
      <c r="Z164" t="s">
        <v>24</v>
      </c>
      <c r="AA164" t="s">
        <v>24</v>
      </c>
      <c r="AB164" t="s">
        <v>24</v>
      </c>
      <c r="AD164">
        <v>15.178699999999999</v>
      </c>
      <c r="AE164">
        <v>59.389499999999998</v>
      </c>
      <c r="AF164">
        <v>26.883199999999999</v>
      </c>
      <c r="AG164">
        <v>103.566</v>
      </c>
      <c r="AI164">
        <v>137</v>
      </c>
      <c r="AK164">
        <v>231.7</v>
      </c>
      <c r="AL164">
        <v>137.5</v>
      </c>
      <c r="AM164">
        <v>94.2</v>
      </c>
    </row>
    <row r="165" spans="1:39" x14ac:dyDescent="0.2">
      <c r="A165">
        <v>164</v>
      </c>
      <c r="B165" t="s">
        <v>2</v>
      </c>
      <c r="C165">
        <v>3</v>
      </c>
      <c r="D165" t="s">
        <v>8</v>
      </c>
      <c r="E165">
        <v>18.600000000000001</v>
      </c>
      <c r="F165">
        <v>1.6</v>
      </c>
      <c r="G165">
        <v>1148</v>
      </c>
      <c r="H165">
        <v>13.6</v>
      </c>
      <c r="I165">
        <v>1.1000000000000001</v>
      </c>
      <c r="J165">
        <v>85</v>
      </c>
      <c r="K165">
        <v>0.844540768</v>
      </c>
      <c r="L165" s="4">
        <v>5500000000000000</v>
      </c>
      <c r="M165" s="4">
        <v>1.76E+16</v>
      </c>
      <c r="N165" s="4">
        <v>2.3E+16</v>
      </c>
      <c r="O165">
        <v>140.1</v>
      </c>
      <c r="P165">
        <v>0.73000254600000003</v>
      </c>
      <c r="Q165">
        <v>0.26999745400000003</v>
      </c>
      <c r="R165">
        <v>19.512092039999999</v>
      </c>
      <c r="S165">
        <v>7.2167079589999998</v>
      </c>
      <c r="X165">
        <v>0</v>
      </c>
      <c r="Y165">
        <v>1</v>
      </c>
      <c r="Z165">
        <v>83.9</v>
      </c>
      <c r="AA165">
        <v>91</v>
      </c>
      <c r="AB165">
        <v>961</v>
      </c>
      <c r="AD165">
        <v>14.1408</v>
      </c>
      <c r="AE165">
        <v>59.421799999999998</v>
      </c>
      <c r="AF165">
        <v>14.227499999999999</v>
      </c>
      <c r="AG165">
        <v>71.774100000000004</v>
      </c>
      <c r="AI165">
        <v>123</v>
      </c>
      <c r="AK165">
        <v>232.2</v>
      </c>
      <c r="AL165">
        <v>209.9</v>
      </c>
      <c r="AM165">
        <v>22.3</v>
      </c>
    </row>
    <row r="166" spans="1:39" x14ac:dyDescent="0.2">
      <c r="A166">
        <v>165</v>
      </c>
      <c r="B166" t="s">
        <v>2</v>
      </c>
      <c r="C166">
        <v>3</v>
      </c>
      <c r="D166" t="s">
        <v>12</v>
      </c>
      <c r="E166">
        <v>0</v>
      </c>
      <c r="F166">
        <v>0</v>
      </c>
      <c r="G166">
        <v>19</v>
      </c>
      <c r="H166">
        <v>15.5</v>
      </c>
      <c r="I166">
        <v>14.2</v>
      </c>
      <c r="J166">
        <v>85</v>
      </c>
      <c r="K166">
        <v>0.844540768</v>
      </c>
      <c r="L166" s="4">
        <v>230000000000000</v>
      </c>
      <c r="M166" s="4">
        <v>262000000000000</v>
      </c>
      <c r="N166" s="4">
        <v>490000000000000</v>
      </c>
      <c r="O166">
        <v>14.3</v>
      </c>
      <c r="P166">
        <v>0.89997757599999995</v>
      </c>
      <c r="Q166">
        <v>0.100022424</v>
      </c>
      <c r="R166">
        <v>23.133239620000001</v>
      </c>
      <c r="S166">
        <v>2.5710003800000001</v>
      </c>
      <c r="X166">
        <v>0</v>
      </c>
      <c r="Y166">
        <v>1</v>
      </c>
      <c r="Z166">
        <v>82.5</v>
      </c>
      <c r="AA166">
        <v>94</v>
      </c>
      <c r="AB166">
        <v>982</v>
      </c>
      <c r="AD166">
        <v>14.8202</v>
      </c>
      <c r="AE166">
        <v>58.954599999999999</v>
      </c>
      <c r="AF166">
        <v>26.961200000000002</v>
      </c>
      <c r="AG166">
        <v>80.285200000000003</v>
      </c>
      <c r="AI166">
        <v>160</v>
      </c>
      <c r="AK166">
        <v>52.4</v>
      </c>
      <c r="AL166">
        <v>31</v>
      </c>
      <c r="AM166">
        <v>21.4</v>
      </c>
    </row>
    <row r="167" spans="1:39" x14ac:dyDescent="0.2">
      <c r="A167">
        <v>166</v>
      </c>
      <c r="B167" t="s">
        <v>2</v>
      </c>
      <c r="C167">
        <v>2</v>
      </c>
      <c r="D167" t="s">
        <v>8</v>
      </c>
      <c r="E167">
        <v>18.600000000000001</v>
      </c>
      <c r="F167">
        <v>1.6</v>
      </c>
      <c r="G167">
        <v>1148</v>
      </c>
      <c r="H167">
        <v>13.6</v>
      </c>
      <c r="I167">
        <v>14</v>
      </c>
      <c r="J167">
        <v>85</v>
      </c>
      <c r="K167">
        <v>0.844540768</v>
      </c>
      <c r="L167" s="4">
        <v>740000000000000</v>
      </c>
      <c r="M167" s="4">
        <v>1.52E+16</v>
      </c>
      <c r="N167" s="4">
        <v>1.6E+16</v>
      </c>
      <c r="O167">
        <v>104.7</v>
      </c>
      <c r="P167">
        <v>0.56870524700000002</v>
      </c>
      <c r="Q167">
        <v>0.43129475299999998</v>
      </c>
      <c r="R167">
        <v>50.085620839999997</v>
      </c>
      <c r="S167">
        <v>37.983939159999998</v>
      </c>
      <c r="X167">
        <v>1</v>
      </c>
      <c r="Y167">
        <v>0</v>
      </c>
      <c r="Z167" t="s">
        <v>24</v>
      </c>
      <c r="AA167" t="s">
        <v>24</v>
      </c>
      <c r="AB167" t="s">
        <v>24</v>
      </c>
      <c r="AD167">
        <v>14.396599999999999</v>
      </c>
      <c r="AE167">
        <v>58.401299999999999</v>
      </c>
      <c r="AF167">
        <v>27.458600000000001</v>
      </c>
      <c r="AG167">
        <v>85.405199999999994</v>
      </c>
      <c r="AI167">
        <v>130</v>
      </c>
      <c r="AK167">
        <v>164.9</v>
      </c>
      <c r="AL167">
        <v>91.5</v>
      </c>
      <c r="AM167">
        <v>73.400000000000006</v>
      </c>
    </row>
    <row r="168" spans="1:39" x14ac:dyDescent="0.2">
      <c r="A168">
        <v>167</v>
      </c>
      <c r="B168" t="s">
        <v>2</v>
      </c>
      <c r="C168">
        <v>3</v>
      </c>
      <c r="D168" t="s">
        <v>12</v>
      </c>
      <c r="E168">
        <v>0</v>
      </c>
      <c r="F168">
        <v>0</v>
      </c>
      <c r="G168">
        <v>19</v>
      </c>
      <c r="H168">
        <v>15.5</v>
      </c>
      <c r="I168">
        <v>14.8</v>
      </c>
      <c r="J168">
        <v>85</v>
      </c>
      <c r="K168">
        <v>0.844540768</v>
      </c>
      <c r="L168" s="4">
        <v>250000000000000</v>
      </c>
      <c r="M168" s="4">
        <v>266000000000000</v>
      </c>
      <c r="N168" s="4">
        <v>520000000000000</v>
      </c>
      <c r="O168">
        <v>15.2</v>
      </c>
      <c r="P168" t="s">
        <v>24</v>
      </c>
      <c r="Q168" t="s">
        <v>24</v>
      </c>
      <c r="R168" t="s">
        <v>24</v>
      </c>
      <c r="S168" t="s">
        <v>24</v>
      </c>
      <c r="X168">
        <v>0</v>
      </c>
      <c r="Y168">
        <v>1</v>
      </c>
      <c r="Z168">
        <v>82.5</v>
      </c>
      <c r="AA168">
        <v>94</v>
      </c>
      <c r="AB168">
        <v>985</v>
      </c>
      <c r="AD168">
        <v>24.8901</v>
      </c>
      <c r="AE168">
        <v>59.813200000000002</v>
      </c>
      <c r="AF168">
        <v>25.8081</v>
      </c>
      <c r="AG168">
        <v>61.577399999999997</v>
      </c>
      <c r="AI168">
        <v>120</v>
      </c>
      <c r="AK168">
        <v>13.7</v>
      </c>
      <c r="AL168">
        <v>9</v>
      </c>
      <c r="AM168">
        <v>4.7</v>
      </c>
    </row>
    <row r="169" spans="1:39" x14ac:dyDescent="0.2">
      <c r="A169">
        <v>168</v>
      </c>
      <c r="B169" t="s">
        <v>2</v>
      </c>
      <c r="C169">
        <v>3</v>
      </c>
      <c r="D169" t="s">
        <v>12</v>
      </c>
      <c r="E169">
        <v>0</v>
      </c>
      <c r="F169">
        <v>0</v>
      </c>
      <c r="G169">
        <v>19</v>
      </c>
      <c r="H169">
        <v>15.5</v>
      </c>
      <c r="I169">
        <v>1</v>
      </c>
      <c r="J169">
        <v>85</v>
      </c>
      <c r="K169">
        <v>0.844540768</v>
      </c>
      <c r="L169" s="4">
        <v>290000000000000</v>
      </c>
      <c r="M169" s="4">
        <v>432000000000000</v>
      </c>
      <c r="N169" s="4">
        <v>720000000000000</v>
      </c>
      <c r="O169">
        <v>17.600000000000001</v>
      </c>
      <c r="P169" t="s">
        <v>24</v>
      </c>
      <c r="Q169" t="s">
        <v>24</v>
      </c>
      <c r="R169" t="s">
        <v>24</v>
      </c>
      <c r="S169" t="s">
        <v>24</v>
      </c>
      <c r="X169">
        <v>0</v>
      </c>
      <c r="Y169">
        <v>1</v>
      </c>
      <c r="Z169">
        <v>84.7</v>
      </c>
      <c r="AA169">
        <v>94</v>
      </c>
      <c r="AB169">
        <v>968</v>
      </c>
      <c r="AD169">
        <v>17.138300000000001</v>
      </c>
      <c r="AE169">
        <v>56.683</v>
      </c>
      <c r="AF169">
        <v>26.321300000000001</v>
      </c>
      <c r="AG169">
        <v>70.999499999999998</v>
      </c>
      <c r="AI169">
        <v>140</v>
      </c>
      <c r="AK169">
        <v>29.7</v>
      </c>
      <c r="AL169">
        <v>18.100000000000001</v>
      </c>
      <c r="AM169">
        <v>11.6</v>
      </c>
    </row>
    <row r="170" spans="1:39" x14ac:dyDescent="0.2">
      <c r="A170">
        <v>169</v>
      </c>
      <c r="B170" t="s">
        <v>2</v>
      </c>
      <c r="C170">
        <v>2</v>
      </c>
      <c r="D170" t="s">
        <v>8</v>
      </c>
      <c r="E170">
        <v>18.600000000000001</v>
      </c>
      <c r="F170">
        <v>1.6</v>
      </c>
      <c r="G170">
        <v>1148</v>
      </c>
      <c r="H170">
        <v>13.6</v>
      </c>
      <c r="I170">
        <v>1</v>
      </c>
      <c r="J170">
        <v>85</v>
      </c>
      <c r="K170">
        <v>0.844540768</v>
      </c>
      <c r="L170" s="4">
        <v>910000000000000</v>
      </c>
      <c r="M170" s="4">
        <v>5490000000000000</v>
      </c>
      <c r="N170" s="4">
        <v>6400000000000000</v>
      </c>
      <c r="O170">
        <v>125.3</v>
      </c>
      <c r="P170">
        <v>0.52910005100000002</v>
      </c>
      <c r="Q170">
        <v>0.47089994899999998</v>
      </c>
      <c r="R170">
        <v>56.651885280000002</v>
      </c>
      <c r="S170">
        <v>50.420274720000002</v>
      </c>
      <c r="X170">
        <v>1</v>
      </c>
      <c r="Y170">
        <v>0</v>
      </c>
      <c r="Z170" t="s">
        <v>24</v>
      </c>
      <c r="AA170" t="s">
        <v>24</v>
      </c>
      <c r="AB170" t="s">
        <v>24</v>
      </c>
      <c r="AD170">
        <v>15.307600000000001</v>
      </c>
      <c r="AE170">
        <v>54.495199999999997</v>
      </c>
      <c r="AF170">
        <v>25.584</v>
      </c>
      <c r="AG170">
        <v>83.228300000000004</v>
      </c>
      <c r="AI170">
        <v>150</v>
      </c>
      <c r="AK170">
        <v>182.3</v>
      </c>
      <c r="AL170">
        <v>93.1</v>
      </c>
      <c r="AM170">
        <v>89.2</v>
      </c>
    </row>
    <row r="171" spans="1:39" x14ac:dyDescent="0.2">
      <c r="A171">
        <v>170</v>
      </c>
      <c r="B171" t="s">
        <v>2</v>
      </c>
      <c r="C171">
        <v>3</v>
      </c>
      <c r="D171" t="s">
        <v>12</v>
      </c>
      <c r="E171">
        <v>0</v>
      </c>
      <c r="F171">
        <v>0</v>
      </c>
      <c r="G171">
        <v>19</v>
      </c>
      <c r="H171">
        <v>15.5</v>
      </c>
      <c r="I171">
        <v>2.2999999999999998</v>
      </c>
      <c r="J171">
        <v>85</v>
      </c>
      <c r="K171">
        <v>0.844540768</v>
      </c>
      <c r="L171" s="4">
        <v>300000000000000</v>
      </c>
      <c r="M171" s="4">
        <v>398000000000000</v>
      </c>
      <c r="N171" s="4">
        <v>700000000000000</v>
      </c>
      <c r="O171">
        <v>21</v>
      </c>
      <c r="P171">
        <v>0.84983050900000001</v>
      </c>
      <c r="Q171">
        <v>0.15016949099999999</v>
      </c>
      <c r="R171">
        <v>8.4675752220000007</v>
      </c>
      <c r="S171">
        <v>1.496264778</v>
      </c>
      <c r="X171">
        <v>0</v>
      </c>
      <c r="Y171">
        <v>1</v>
      </c>
      <c r="Z171">
        <v>84.4</v>
      </c>
      <c r="AA171">
        <v>94</v>
      </c>
      <c r="AB171">
        <v>974</v>
      </c>
      <c r="AD171">
        <v>25.4541</v>
      </c>
      <c r="AE171">
        <v>62.868200000000002</v>
      </c>
      <c r="AF171">
        <v>26.953900000000001</v>
      </c>
      <c r="AG171">
        <v>65.517600000000002</v>
      </c>
      <c r="AI171">
        <v>120</v>
      </c>
      <c r="AK171">
        <v>23.5</v>
      </c>
      <c r="AL171">
        <v>15.2</v>
      </c>
      <c r="AM171">
        <v>8.3000000000000007</v>
      </c>
    </row>
    <row r="172" spans="1:39" x14ac:dyDescent="0.2">
      <c r="A172">
        <v>171</v>
      </c>
      <c r="B172" t="s">
        <v>2</v>
      </c>
      <c r="C172">
        <v>3</v>
      </c>
      <c r="D172" t="s">
        <v>14</v>
      </c>
      <c r="E172">
        <v>8</v>
      </c>
      <c r="F172">
        <v>0.8</v>
      </c>
      <c r="G172">
        <v>699</v>
      </c>
      <c r="H172">
        <v>14.5</v>
      </c>
      <c r="I172">
        <v>3.1</v>
      </c>
      <c r="J172">
        <v>85</v>
      </c>
      <c r="K172">
        <v>0.844540768</v>
      </c>
      <c r="L172" s="4">
        <v>580000000000000</v>
      </c>
      <c r="M172" s="4">
        <v>1.09E+16</v>
      </c>
      <c r="N172" s="4">
        <v>1.1E+16</v>
      </c>
      <c r="O172">
        <v>52.7</v>
      </c>
      <c r="P172" t="s">
        <v>24</v>
      </c>
      <c r="Q172" t="s">
        <v>24</v>
      </c>
      <c r="R172" t="s">
        <v>24</v>
      </c>
      <c r="S172" t="s">
        <v>24</v>
      </c>
      <c r="X172">
        <v>0</v>
      </c>
      <c r="Y172">
        <v>1</v>
      </c>
      <c r="Z172">
        <v>83.5</v>
      </c>
      <c r="AA172">
        <v>93</v>
      </c>
      <c r="AB172">
        <v>972</v>
      </c>
      <c r="AD172">
        <v>12.432600000000001</v>
      </c>
      <c r="AE172">
        <v>46.137500000000003</v>
      </c>
      <c r="AF172">
        <v>24.063800000000001</v>
      </c>
      <c r="AG172">
        <v>75.548500000000004</v>
      </c>
      <c r="AI172">
        <v>130</v>
      </c>
      <c r="AK172">
        <v>77.3</v>
      </c>
      <c r="AL172">
        <v>37</v>
      </c>
      <c r="AM172">
        <v>40.299999999999997</v>
      </c>
    </row>
    <row r="173" spans="1:39" x14ac:dyDescent="0.2">
      <c r="A173">
        <v>172</v>
      </c>
      <c r="B173" t="s">
        <v>2</v>
      </c>
      <c r="C173">
        <v>2</v>
      </c>
      <c r="D173" t="s">
        <v>8</v>
      </c>
      <c r="E173">
        <v>18.600000000000001</v>
      </c>
      <c r="F173">
        <v>1.6</v>
      </c>
      <c r="G173">
        <v>1148</v>
      </c>
      <c r="H173">
        <v>13.6</v>
      </c>
      <c r="I173">
        <v>3.7</v>
      </c>
      <c r="J173">
        <v>85</v>
      </c>
      <c r="K173">
        <v>0.844540768</v>
      </c>
      <c r="L173" s="4">
        <v>880000000000000</v>
      </c>
      <c r="M173" s="4">
        <v>1.64E+16</v>
      </c>
      <c r="N173" s="4">
        <v>1.7E+16</v>
      </c>
      <c r="O173">
        <v>122.8</v>
      </c>
      <c r="P173" t="s">
        <v>24</v>
      </c>
      <c r="Q173" t="s">
        <v>24</v>
      </c>
      <c r="R173" t="s">
        <v>24</v>
      </c>
      <c r="S173" t="s">
        <v>24</v>
      </c>
      <c r="X173">
        <v>1</v>
      </c>
      <c r="Y173">
        <v>0</v>
      </c>
      <c r="Z173" t="s">
        <v>24</v>
      </c>
      <c r="AA173" t="s">
        <v>24</v>
      </c>
      <c r="AB173" t="s">
        <v>24</v>
      </c>
      <c r="AD173">
        <v>15.243600000000001</v>
      </c>
      <c r="AE173">
        <v>57.891500000000001</v>
      </c>
      <c r="AF173">
        <v>25.4834</v>
      </c>
      <c r="AG173">
        <v>85.681399999999996</v>
      </c>
      <c r="AI173">
        <v>160</v>
      </c>
      <c r="AK173">
        <v>196.9</v>
      </c>
      <c r="AL173">
        <v>87.7</v>
      </c>
      <c r="AM173">
        <v>109.3</v>
      </c>
    </row>
    <row r="174" spans="1:39" x14ac:dyDescent="0.2">
      <c r="A174">
        <v>173</v>
      </c>
      <c r="B174" t="s">
        <v>2</v>
      </c>
      <c r="C174">
        <v>3</v>
      </c>
      <c r="D174" t="s">
        <v>14</v>
      </c>
      <c r="E174">
        <v>8</v>
      </c>
      <c r="F174">
        <v>0.8</v>
      </c>
      <c r="G174">
        <v>699</v>
      </c>
      <c r="H174">
        <v>14.5</v>
      </c>
      <c r="I174">
        <v>7.6</v>
      </c>
      <c r="J174">
        <v>85</v>
      </c>
      <c r="K174">
        <v>0.844540768</v>
      </c>
      <c r="L174" s="4">
        <v>560000000000000</v>
      </c>
      <c r="M174" s="4">
        <v>1.09E+16</v>
      </c>
      <c r="N174" s="4">
        <v>1.1E+16</v>
      </c>
      <c r="O174">
        <v>51.9</v>
      </c>
      <c r="P174" t="s">
        <v>24</v>
      </c>
      <c r="Q174" t="s">
        <v>24</v>
      </c>
      <c r="R174" t="s">
        <v>24</v>
      </c>
      <c r="S174" t="s">
        <v>24</v>
      </c>
      <c r="X174">
        <v>0</v>
      </c>
      <c r="Y174">
        <v>1</v>
      </c>
      <c r="Z174">
        <v>83.3</v>
      </c>
      <c r="AA174">
        <v>91</v>
      </c>
      <c r="AB174">
        <v>972</v>
      </c>
      <c r="AD174">
        <v>12.592599999999999</v>
      </c>
      <c r="AE174">
        <v>54.802999999999997</v>
      </c>
      <c r="AF174">
        <v>27.081900000000001</v>
      </c>
      <c r="AG174">
        <v>70.037899999999993</v>
      </c>
      <c r="AI174">
        <v>140</v>
      </c>
      <c r="AK174">
        <v>90.2</v>
      </c>
      <c r="AL174">
        <v>49.5</v>
      </c>
      <c r="AM174">
        <v>40.700000000000003</v>
      </c>
    </row>
    <row r="175" spans="1:39" x14ac:dyDescent="0.2">
      <c r="A175">
        <v>174</v>
      </c>
      <c r="B175" t="s">
        <v>2</v>
      </c>
      <c r="C175">
        <v>3</v>
      </c>
      <c r="D175" t="s">
        <v>11</v>
      </c>
      <c r="E175">
        <v>0.6</v>
      </c>
      <c r="F175">
        <v>0</v>
      </c>
      <c r="G175">
        <v>22</v>
      </c>
      <c r="H175">
        <v>15.1</v>
      </c>
      <c r="I175">
        <v>17</v>
      </c>
      <c r="J175">
        <v>85</v>
      </c>
      <c r="K175">
        <v>0.844540768</v>
      </c>
      <c r="L175" s="4">
        <v>350000000000000</v>
      </c>
      <c r="M175" s="4">
        <v>414000000000000</v>
      </c>
      <c r="N175" s="4">
        <v>770000000000000</v>
      </c>
      <c r="O175">
        <v>26.3</v>
      </c>
      <c r="P175">
        <v>0.68901474600000001</v>
      </c>
      <c r="Q175">
        <v>0.31098525399999999</v>
      </c>
      <c r="R175">
        <v>8.9473250090000001</v>
      </c>
      <c r="S175">
        <v>4.0383549910000003</v>
      </c>
      <c r="X175">
        <v>0</v>
      </c>
      <c r="Y175">
        <v>1</v>
      </c>
      <c r="Z175">
        <v>82.6</v>
      </c>
      <c r="AA175">
        <v>95</v>
      </c>
      <c r="AB175">
        <v>1006</v>
      </c>
      <c r="AD175">
        <v>19.019400000000001</v>
      </c>
      <c r="AE175">
        <v>62.264499999999998</v>
      </c>
      <c r="AF175">
        <v>28.775700000000001</v>
      </c>
      <c r="AG175">
        <v>71.146100000000004</v>
      </c>
      <c r="AI175">
        <v>140</v>
      </c>
      <c r="AK175">
        <v>30.7</v>
      </c>
      <c r="AL175">
        <v>19.8</v>
      </c>
      <c r="AM175">
        <v>10.8</v>
      </c>
    </row>
    <row r="176" spans="1:39" x14ac:dyDescent="0.2">
      <c r="A176">
        <v>175</v>
      </c>
      <c r="B176" t="s">
        <v>2</v>
      </c>
      <c r="C176">
        <v>2</v>
      </c>
      <c r="D176" t="s">
        <v>8</v>
      </c>
      <c r="E176">
        <v>18.600000000000001</v>
      </c>
      <c r="F176">
        <v>1.6</v>
      </c>
      <c r="G176">
        <v>1148</v>
      </c>
      <c r="H176">
        <v>13.6</v>
      </c>
      <c r="I176">
        <v>17</v>
      </c>
      <c r="J176">
        <v>85</v>
      </c>
      <c r="K176">
        <v>0.844540768</v>
      </c>
      <c r="L176" s="4">
        <v>690000000000000</v>
      </c>
      <c r="M176" s="4">
        <v>1.19E+16</v>
      </c>
      <c r="N176" s="4">
        <v>1.3E+16</v>
      </c>
      <c r="O176">
        <v>96.8</v>
      </c>
      <c r="P176">
        <v>0.55705837499999999</v>
      </c>
      <c r="Q176">
        <v>0.44294162500000001</v>
      </c>
      <c r="R176">
        <v>43.15762969</v>
      </c>
      <c r="S176">
        <v>34.316530309999997</v>
      </c>
      <c r="X176">
        <v>1</v>
      </c>
      <c r="Y176">
        <v>0</v>
      </c>
      <c r="Z176" t="s">
        <v>24</v>
      </c>
      <c r="AA176" t="s">
        <v>24</v>
      </c>
      <c r="AB176" t="s">
        <v>24</v>
      </c>
      <c r="AD176">
        <v>14.1935</v>
      </c>
      <c r="AE176">
        <v>58.299799999999998</v>
      </c>
      <c r="AF176">
        <v>27.976600000000001</v>
      </c>
      <c r="AG176">
        <v>83.748999999999995</v>
      </c>
      <c r="AI176">
        <v>200</v>
      </c>
      <c r="AK176">
        <v>136.5</v>
      </c>
      <c r="AL176">
        <v>72</v>
      </c>
      <c r="AM176">
        <v>64.599999999999994</v>
      </c>
    </row>
    <row r="177" spans="1:39" x14ac:dyDescent="0.2">
      <c r="A177">
        <v>176</v>
      </c>
      <c r="B177" t="s">
        <v>2</v>
      </c>
      <c r="C177">
        <v>3</v>
      </c>
      <c r="D177" t="s">
        <v>11</v>
      </c>
      <c r="E177">
        <v>0.6</v>
      </c>
      <c r="F177">
        <v>0</v>
      </c>
      <c r="G177">
        <v>22</v>
      </c>
      <c r="H177">
        <v>15.1</v>
      </c>
      <c r="I177">
        <v>18</v>
      </c>
      <c r="J177">
        <v>85</v>
      </c>
      <c r="K177">
        <v>0.844540768</v>
      </c>
      <c r="L177" s="4">
        <v>330000000000000</v>
      </c>
      <c r="M177" s="4">
        <v>386000000000000</v>
      </c>
      <c r="N177" s="4">
        <v>720000000000000</v>
      </c>
      <c r="O177">
        <v>27.2</v>
      </c>
      <c r="P177" t="s">
        <v>24</v>
      </c>
      <c r="Q177" t="s">
        <v>24</v>
      </c>
      <c r="R177" t="s">
        <v>24</v>
      </c>
      <c r="S177" t="s">
        <v>24</v>
      </c>
      <c r="X177">
        <v>0</v>
      </c>
      <c r="Y177">
        <v>1</v>
      </c>
      <c r="Z177">
        <v>82.5</v>
      </c>
      <c r="AA177">
        <v>95</v>
      </c>
      <c r="AB177">
        <v>1019</v>
      </c>
      <c r="AD177">
        <v>25.905200000000001</v>
      </c>
      <c r="AE177">
        <v>61.377699999999997</v>
      </c>
      <c r="AF177">
        <v>27.770499999999998</v>
      </c>
      <c r="AG177">
        <v>65.2393</v>
      </c>
      <c r="AI177">
        <v>150</v>
      </c>
      <c r="AK177">
        <v>23.4</v>
      </c>
      <c r="AL177">
        <v>13.5</v>
      </c>
      <c r="AM177">
        <v>9.9</v>
      </c>
    </row>
    <row r="178" spans="1:39" x14ac:dyDescent="0.2">
      <c r="A178">
        <v>177</v>
      </c>
      <c r="B178" t="s">
        <v>2</v>
      </c>
      <c r="C178">
        <v>3</v>
      </c>
      <c r="D178" t="s">
        <v>11</v>
      </c>
      <c r="E178">
        <v>0.6</v>
      </c>
      <c r="F178">
        <v>0</v>
      </c>
      <c r="G178">
        <v>22</v>
      </c>
      <c r="H178">
        <v>15.1</v>
      </c>
      <c r="I178">
        <v>-1.4</v>
      </c>
      <c r="J178">
        <v>85</v>
      </c>
      <c r="K178">
        <v>0.844540768</v>
      </c>
      <c r="L178" s="4">
        <v>330000000000000</v>
      </c>
      <c r="M178" s="4">
        <v>429000000000000</v>
      </c>
      <c r="N178" s="4">
        <v>750000000000000</v>
      </c>
      <c r="O178">
        <v>21.5</v>
      </c>
      <c r="P178">
        <v>0.91775140200000005</v>
      </c>
      <c r="Q178">
        <v>8.2248598000000006E-2</v>
      </c>
      <c r="R178">
        <v>21.451264290000001</v>
      </c>
      <c r="S178">
        <v>1.9224557069999999</v>
      </c>
      <c r="X178">
        <v>0</v>
      </c>
      <c r="Y178">
        <v>1</v>
      </c>
      <c r="Z178">
        <v>84.7</v>
      </c>
      <c r="AA178">
        <v>93</v>
      </c>
      <c r="AB178">
        <v>965</v>
      </c>
      <c r="AD178">
        <v>16.945799999999998</v>
      </c>
      <c r="AE178">
        <v>57.659399999999998</v>
      </c>
      <c r="AF178">
        <v>26.687000000000001</v>
      </c>
      <c r="AG178">
        <v>72.522900000000007</v>
      </c>
      <c r="AI178">
        <v>150</v>
      </c>
      <c r="AK178">
        <v>38.4</v>
      </c>
      <c r="AL178">
        <v>18.899999999999999</v>
      </c>
      <c r="AM178">
        <v>19.5</v>
      </c>
    </row>
    <row r="179" spans="1:39" x14ac:dyDescent="0.2">
      <c r="A179">
        <v>178</v>
      </c>
      <c r="B179" t="s">
        <v>2</v>
      </c>
      <c r="C179">
        <v>2</v>
      </c>
      <c r="D179" t="s">
        <v>8</v>
      </c>
      <c r="E179">
        <v>18.600000000000001</v>
      </c>
      <c r="F179">
        <v>1.6</v>
      </c>
      <c r="G179">
        <v>1148</v>
      </c>
      <c r="H179">
        <v>13.6</v>
      </c>
      <c r="I179">
        <v>-1.2</v>
      </c>
      <c r="J179">
        <v>85</v>
      </c>
      <c r="K179">
        <v>0.844540768</v>
      </c>
      <c r="L179" s="4">
        <v>920000000000000</v>
      </c>
      <c r="M179" s="4">
        <v>1.74E+16</v>
      </c>
      <c r="N179" s="4">
        <v>1.8E+16</v>
      </c>
      <c r="O179">
        <v>114.6</v>
      </c>
      <c r="P179">
        <v>0.68235790299999999</v>
      </c>
      <c r="Q179">
        <v>0.31764209700000001</v>
      </c>
      <c r="R179">
        <v>89.597714159999995</v>
      </c>
      <c r="S179">
        <v>41.708325840000001</v>
      </c>
      <c r="X179">
        <v>1</v>
      </c>
      <c r="Y179">
        <v>0</v>
      </c>
      <c r="Z179" t="s">
        <v>24</v>
      </c>
      <c r="AA179" t="s">
        <v>24</v>
      </c>
      <c r="AB179" t="s">
        <v>24</v>
      </c>
      <c r="AD179">
        <v>15.2714</v>
      </c>
      <c r="AE179">
        <v>52.917200000000001</v>
      </c>
      <c r="AF179">
        <v>25.561800000000002</v>
      </c>
      <c r="AG179">
        <v>82.462599999999995</v>
      </c>
      <c r="AI179">
        <v>120</v>
      </c>
      <c r="AK179">
        <v>189.5</v>
      </c>
      <c r="AL179">
        <v>80</v>
      </c>
      <c r="AM179">
        <v>109.4</v>
      </c>
    </row>
    <row r="180" spans="1:39" x14ac:dyDescent="0.2">
      <c r="A180">
        <v>179</v>
      </c>
      <c r="B180" t="s">
        <v>2</v>
      </c>
      <c r="C180">
        <v>3</v>
      </c>
      <c r="D180" t="s">
        <v>13</v>
      </c>
      <c r="E180">
        <v>9.1</v>
      </c>
      <c r="F180">
        <v>0.8</v>
      </c>
      <c r="G180">
        <v>658</v>
      </c>
      <c r="H180">
        <v>14.3</v>
      </c>
      <c r="I180">
        <v>10.7</v>
      </c>
      <c r="J180">
        <v>85</v>
      </c>
      <c r="K180">
        <v>0.844540768</v>
      </c>
      <c r="L180" s="4">
        <v>530000000000000</v>
      </c>
      <c r="M180" s="4">
        <v>6700000000000000</v>
      </c>
      <c r="N180" s="4">
        <v>7200000000000000</v>
      </c>
      <c r="O180">
        <v>50.3</v>
      </c>
      <c r="P180">
        <v>0.68642789900000001</v>
      </c>
      <c r="Q180">
        <v>0.31357210099999999</v>
      </c>
      <c r="R180">
        <v>35.18689818</v>
      </c>
      <c r="S180">
        <v>16.07398182</v>
      </c>
      <c r="X180">
        <v>0</v>
      </c>
      <c r="Y180">
        <v>1</v>
      </c>
      <c r="Z180">
        <v>87.6</v>
      </c>
      <c r="AA180">
        <v>96</v>
      </c>
      <c r="AB180">
        <v>1034</v>
      </c>
      <c r="AD180">
        <v>12.5893</v>
      </c>
      <c r="AE180">
        <v>53.086300000000001</v>
      </c>
      <c r="AF180">
        <v>21.772400000000001</v>
      </c>
      <c r="AG180">
        <v>77.282300000000006</v>
      </c>
      <c r="AI180">
        <v>160</v>
      </c>
      <c r="AK180">
        <v>87</v>
      </c>
      <c r="AL180">
        <v>44.3</v>
      </c>
      <c r="AM180">
        <v>42.7</v>
      </c>
    </row>
    <row r="181" spans="1:39" x14ac:dyDescent="0.2">
      <c r="A181">
        <v>180</v>
      </c>
      <c r="B181" t="s">
        <v>2</v>
      </c>
      <c r="C181">
        <v>2</v>
      </c>
      <c r="D181" t="s">
        <v>8</v>
      </c>
      <c r="E181">
        <v>18.600000000000001</v>
      </c>
      <c r="F181">
        <v>1.6</v>
      </c>
      <c r="G181">
        <v>1148</v>
      </c>
      <c r="H181">
        <v>13.6</v>
      </c>
      <c r="I181">
        <v>10.8</v>
      </c>
      <c r="J181">
        <v>85</v>
      </c>
      <c r="K181">
        <v>0.844540768</v>
      </c>
      <c r="L181" s="4">
        <v>800000000000000</v>
      </c>
      <c r="M181" s="4">
        <v>1.51E+16</v>
      </c>
      <c r="N181" s="4">
        <v>1.6E+16</v>
      </c>
      <c r="O181">
        <v>110.9</v>
      </c>
      <c r="P181">
        <v>0.59708561000000004</v>
      </c>
      <c r="Q181">
        <v>0.40291439000000001</v>
      </c>
      <c r="R181">
        <v>62.71147174</v>
      </c>
      <c r="S181">
        <v>42.31780826</v>
      </c>
      <c r="X181">
        <v>1</v>
      </c>
      <c r="Y181">
        <v>0</v>
      </c>
      <c r="Z181" t="s">
        <v>24</v>
      </c>
      <c r="AA181" t="s">
        <v>24</v>
      </c>
      <c r="AB181" t="s">
        <v>24</v>
      </c>
      <c r="AD181">
        <v>14.5708</v>
      </c>
      <c r="AE181">
        <v>56.700200000000002</v>
      </c>
      <c r="AF181">
        <v>25.165700000000001</v>
      </c>
      <c r="AG181">
        <v>84.462500000000006</v>
      </c>
      <c r="AI181">
        <v>140</v>
      </c>
      <c r="AK181">
        <v>168.7</v>
      </c>
      <c r="AL181">
        <v>81.2</v>
      </c>
      <c r="AM181">
        <v>87.5</v>
      </c>
    </row>
    <row r="182" spans="1:39" x14ac:dyDescent="0.2">
      <c r="A182">
        <v>181</v>
      </c>
      <c r="B182" t="s">
        <v>2</v>
      </c>
      <c r="C182">
        <v>3</v>
      </c>
      <c r="D182" t="s">
        <v>13</v>
      </c>
      <c r="E182">
        <v>9.1</v>
      </c>
      <c r="F182">
        <v>0.8</v>
      </c>
      <c r="G182">
        <v>658</v>
      </c>
      <c r="H182">
        <v>14.3</v>
      </c>
      <c r="I182">
        <v>12</v>
      </c>
      <c r="J182">
        <v>85</v>
      </c>
      <c r="K182">
        <v>0.844540768</v>
      </c>
      <c r="L182" s="4">
        <v>530000000000000</v>
      </c>
      <c r="M182" s="4">
        <v>5980000000000000</v>
      </c>
      <c r="N182" s="4">
        <v>6500000000000000</v>
      </c>
      <c r="O182">
        <v>50.6</v>
      </c>
      <c r="P182" t="s">
        <v>24</v>
      </c>
      <c r="Q182" t="s">
        <v>24</v>
      </c>
      <c r="R182" t="s">
        <v>24</v>
      </c>
      <c r="S182" t="s">
        <v>24</v>
      </c>
      <c r="X182">
        <v>0</v>
      </c>
      <c r="Y182">
        <v>1</v>
      </c>
      <c r="Z182">
        <v>52.7</v>
      </c>
      <c r="AA182">
        <v>82</v>
      </c>
      <c r="AB182">
        <v>751</v>
      </c>
      <c r="AD182">
        <v>12.026999999999999</v>
      </c>
      <c r="AE182">
        <v>53.6145</v>
      </c>
      <c r="AF182">
        <v>24.0625</v>
      </c>
      <c r="AG182">
        <v>75.779799999999994</v>
      </c>
      <c r="AI182">
        <v>170</v>
      </c>
      <c r="AK182">
        <v>75.400000000000006</v>
      </c>
      <c r="AL182">
        <v>39</v>
      </c>
      <c r="AM182">
        <v>36.4</v>
      </c>
    </row>
    <row r="183" spans="1:39" x14ac:dyDescent="0.2">
      <c r="A183">
        <v>182</v>
      </c>
      <c r="B183" t="s">
        <v>2</v>
      </c>
      <c r="C183">
        <v>3</v>
      </c>
      <c r="D183" t="s">
        <v>8</v>
      </c>
      <c r="E183">
        <v>18.600000000000001</v>
      </c>
      <c r="F183">
        <v>1.6</v>
      </c>
      <c r="G183">
        <v>1148</v>
      </c>
      <c r="H183">
        <v>13.6</v>
      </c>
      <c r="I183">
        <v>19.7</v>
      </c>
      <c r="J183">
        <v>85</v>
      </c>
      <c r="K183">
        <v>0.844540768</v>
      </c>
      <c r="L183" s="4">
        <v>790000000000000</v>
      </c>
      <c r="M183" s="4">
        <v>8790000000000000</v>
      </c>
      <c r="N183" s="4">
        <v>9600000000000000</v>
      </c>
      <c r="O183">
        <v>99.9</v>
      </c>
      <c r="P183" t="s">
        <v>24</v>
      </c>
      <c r="Q183" t="s">
        <v>24</v>
      </c>
      <c r="R183" t="s">
        <v>24</v>
      </c>
      <c r="S183" t="s">
        <v>24</v>
      </c>
      <c r="X183">
        <v>0</v>
      </c>
      <c r="Y183">
        <v>1</v>
      </c>
      <c r="Z183">
        <v>81.8</v>
      </c>
      <c r="AA183">
        <v>96</v>
      </c>
      <c r="AB183">
        <v>1004</v>
      </c>
      <c r="AD183">
        <v>12.6091</v>
      </c>
      <c r="AE183">
        <v>67.860600000000005</v>
      </c>
      <c r="AF183">
        <v>28.447199999999999</v>
      </c>
      <c r="AG183">
        <v>96.725499999999997</v>
      </c>
      <c r="AI183">
        <v>205</v>
      </c>
      <c r="AK183">
        <v>138.6</v>
      </c>
      <c r="AL183">
        <v>86.1</v>
      </c>
      <c r="AM183">
        <v>52.5</v>
      </c>
    </row>
    <row r="184" spans="1:39" x14ac:dyDescent="0.2">
      <c r="A184">
        <v>183</v>
      </c>
      <c r="B184" t="s">
        <v>3</v>
      </c>
      <c r="C184">
        <v>3</v>
      </c>
      <c r="D184" t="s">
        <v>8</v>
      </c>
      <c r="E184">
        <v>21.8</v>
      </c>
      <c r="F184">
        <v>1.3</v>
      </c>
      <c r="G184">
        <v>188</v>
      </c>
      <c r="H184">
        <v>13.5</v>
      </c>
      <c r="I184">
        <v>17</v>
      </c>
      <c r="J184">
        <v>85</v>
      </c>
      <c r="K184">
        <v>0.844540768</v>
      </c>
      <c r="L184" s="4">
        <v>541000000000000</v>
      </c>
      <c r="M184" s="4">
        <v>781000000000000</v>
      </c>
      <c r="N184" s="4">
        <v>1320000000000000</v>
      </c>
      <c r="O184">
        <v>75.7</v>
      </c>
      <c r="P184">
        <v>0.81666666700000001</v>
      </c>
      <c r="Q184">
        <v>0.18333333299999999</v>
      </c>
      <c r="R184">
        <v>19.149395999999999</v>
      </c>
      <c r="S184">
        <v>4.2988439999999999</v>
      </c>
      <c r="X184">
        <v>0</v>
      </c>
      <c r="Y184">
        <v>1</v>
      </c>
      <c r="Z184" t="s">
        <v>24</v>
      </c>
      <c r="AA184" t="s">
        <v>24</v>
      </c>
      <c r="AB184" t="s">
        <v>24</v>
      </c>
      <c r="AD184">
        <v>24.578900000000001</v>
      </c>
      <c r="AE184">
        <v>73.8035</v>
      </c>
      <c r="AF184">
        <v>29.568300000000001</v>
      </c>
      <c r="AG184">
        <v>74.475800000000007</v>
      </c>
      <c r="AI184">
        <v>130</v>
      </c>
      <c r="AK184">
        <v>56.7</v>
      </c>
      <c r="AL184">
        <v>37.200000000000003</v>
      </c>
      <c r="AM184">
        <v>19.5</v>
      </c>
    </row>
    <row r="185" spans="1:39" x14ac:dyDescent="0.2">
      <c r="A185">
        <v>184</v>
      </c>
      <c r="B185" t="s">
        <v>3</v>
      </c>
      <c r="C185">
        <v>2</v>
      </c>
      <c r="D185" t="s">
        <v>8</v>
      </c>
      <c r="E185">
        <v>21.8</v>
      </c>
      <c r="F185">
        <v>1.3</v>
      </c>
      <c r="G185">
        <v>188</v>
      </c>
      <c r="H185">
        <v>13.5</v>
      </c>
      <c r="I185">
        <v>17</v>
      </c>
      <c r="J185">
        <v>85</v>
      </c>
      <c r="K185">
        <v>0.844540768</v>
      </c>
      <c r="L185" s="4">
        <v>449000000000000</v>
      </c>
      <c r="M185" s="4">
        <v>996000000000000</v>
      </c>
      <c r="N185" s="4">
        <v>1440000000000000</v>
      </c>
      <c r="O185">
        <v>72.7</v>
      </c>
      <c r="P185">
        <v>0.840909091</v>
      </c>
      <c r="Q185">
        <v>0.159090909</v>
      </c>
      <c r="R185">
        <v>15.908822730000001</v>
      </c>
      <c r="S185">
        <v>3.0097772730000001</v>
      </c>
      <c r="X185">
        <v>1</v>
      </c>
      <c r="Y185">
        <v>0</v>
      </c>
      <c r="Z185" t="s">
        <v>24</v>
      </c>
      <c r="AA185" t="s">
        <v>24</v>
      </c>
      <c r="AB185" t="s">
        <v>24</v>
      </c>
      <c r="AD185">
        <v>18.392900000000001</v>
      </c>
      <c r="AE185">
        <v>75.840199999999996</v>
      </c>
      <c r="AF185">
        <v>21.104199999999999</v>
      </c>
      <c r="AG185">
        <v>76.762699999999995</v>
      </c>
      <c r="AI185">
        <v>140</v>
      </c>
      <c r="AK185">
        <v>56.8</v>
      </c>
      <c r="AL185">
        <v>41</v>
      </c>
      <c r="AM185">
        <v>15.8</v>
      </c>
    </row>
    <row r="186" spans="1:39" x14ac:dyDescent="0.2">
      <c r="A186">
        <v>185</v>
      </c>
      <c r="B186" t="s">
        <v>3</v>
      </c>
      <c r="C186">
        <v>3</v>
      </c>
      <c r="D186" t="s">
        <v>8</v>
      </c>
      <c r="E186">
        <v>21.8</v>
      </c>
      <c r="F186">
        <v>1.3</v>
      </c>
      <c r="G186">
        <v>188</v>
      </c>
      <c r="H186">
        <v>13.5</v>
      </c>
      <c r="I186">
        <v>17</v>
      </c>
      <c r="J186">
        <v>85</v>
      </c>
      <c r="K186">
        <v>0.844540768</v>
      </c>
      <c r="L186" s="4">
        <v>596000000000000</v>
      </c>
      <c r="M186" s="4">
        <v>720000000000000</v>
      </c>
      <c r="N186" s="4">
        <v>1320000000000000</v>
      </c>
      <c r="O186">
        <v>84.5</v>
      </c>
      <c r="P186">
        <v>0.80800000000000005</v>
      </c>
      <c r="Q186">
        <v>0.192</v>
      </c>
      <c r="R186">
        <v>20.483187839999999</v>
      </c>
      <c r="S186">
        <v>4.8672921599999999</v>
      </c>
      <c r="X186">
        <v>0</v>
      </c>
      <c r="Y186">
        <v>1</v>
      </c>
      <c r="Z186" t="s">
        <v>24</v>
      </c>
      <c r="AA186" t="s">
        <v>24</v>
      </c>
      <c r="AB186" t="s">
        <v>24</v>
      </c>
      <c r="AD186">
        <v>28.615500000000001</v>
      </c>
      <c r="AE186">
        <v>77.118799999999993</v>
      </c>
      <c r="AF186">
        <v>30.472300000000001</v>
      </c>
      <c r="AG186">
        <v>79.054100000000005</v>
      </c>
      <c r="AI186">
        <v>125</v>
      </c>
      <c r="AK186">
        <v>66.2</v>
      </c>
      <c r="AL186">
        <v>45.1</v>
      </c>
      <c r="AM186">
        <v>21.1</v>
      </c>
    </row>
    <row r="187" spans="1:39" x14ac:dyDescent="0.2">
      <c r="A187">
        <v>186</v>
      </c>
      <c r="B187" t="s">
        <v>3</v>
      </c>
      <c r="C187">
        <v>2</v>
      </c>
      <c r="D187" t="s">
        <v>8</v>
      </c>
      <c r="E187">
        <v>21.8</v>
      </c>
      <c r="F187">
        <v>1.3</v>
      </c>
      <c r="G187">
        <v>188</v>
      </c>
      <c r="H187">
        <v>13.5</v>
      </c>
      <c r="I187">
        <v>18</v>
      </c>
      <c r="J187">
        <v>85</v>
      </c>
      <c r="K187">
        <v>0.844540768</v>
      </c>
      <c r="L187" s="4">
        <v>533000000000000</v>
      </c>
      <c r="M187" s="4">
        <v>1630000000000000</v>
      </c>
      <c r="N187" s="4">
        <v>2160000000000000</v>
      </c>
      <c r="O187">
        <v>89.9</v>
      </c>
      <c r="P187">
        <v>0.77108433700000001</v>
      </c>
      <c r="Q187">
        <v>0.22891566299999999</v>
      </c>
      <c r="R187">
        <v>26.087386989999999</v>
      </c>
      <c r="S187">
        <v>7.7446930119999999</v>
      </c>
      <c r="X187">
        <v>1</v>
      </c>
      <c r="Y187">
        <v>0</v>
      </c>
      <c r="Z187" t="s">
        <v>24</v>
      </c>
      <c r="AA187" t="s">
        <v>24</v>
      </c>
      <c r="AB187" t="s">
        <v>24</v>
      </c>
      <c r="AD187">
        <v>17.304300000000001</v>
      </c>
      <c r="AE187">
        <v>76.148899999999998</v>
      </c>
      <c r="AF187">
        <v>31.086500000000001</v>
      </c>
      <c r="AG187">
        <v>79.641099999999994</v>
      </c>
      <c r="AI187">
        <v>135</v>
      </c>
      <c r="AK187">
        <v>72.400000000000006</v>
      </c>
      <c r="AL187">
        <v>44.2</v>
      </c>
      <c r="AM187">
        <v>28.2</v>
      </c>
    </row>
    <row r="188" spans="1:39" x14ac:dyDescent="0.2">
      <c r="A188">
        <v>187</v>
      </c>
      <c r="B188" t="s">
        <v>3</v>
      </c>
      <c r="C188">
        <v>3</v>
      </c>
      <c r="D188" t="s">
        <v>8</v>
      </c>
      <c r="E188">
        <v>21.8</v>
      </c>
      <c r="F188">
        <v>1.3</v>
      </c>
      <c r="G188">
        <v>188</v>
      </c>
      <c r="H188">
        <v>13.5</v>
      </c>
      <c r="I188">
        <v>17</v>
      </c>
      <c r="J188">
        <v>85</v>
      </c>
      <c r="K188">
        <v>0.844540768</v>
      </c>
      <c r="L188" s="4">
        <v>558000000000000</v>
      </c>
      <c r="M188" s="4">
        <v>1140000000000000</v>
      </c>
      <c r="N188" s="4">
        <v>1690000000000000</v>
      </c>
      <c r="O188">
        <v>79.3</v>
      </c>
      <c r="P188">
        <v>0.75925925900000002</v>
      </c>
      <c r="Q188">
        <v>0.24074074100000001</v>
      </c>
      <c r="R188">
        <v>20.320237779999999</v>
      </c>
      <c r="S188">
        <v>6.4430022219999996</v>
      </c>
      <c r="X188">
        <v>0</v>
      </c>
      <c r="Y188">
        <v>1</v>
      </c>
      <c r="Z188" t="s">
        <v>24</v>
      </c>
      <c r="AA188" t="s">
        <v>24</v>
      </c>
      <c r="AB188" t="s">
        <v>24</v>
      </c>
      <c r="AD188">
        <v>23.282800000000002</v>
      </c>
      <c r="AE188">
        <v>75.999899999999997</v>
      </c>
      <c r="AF188">
        <v>29.882000000000001</v>
      </c>
      <c r="AG188">
        <v>76.624499999999998</v>
      </c>
      <c r="AI188">
        <v>110</v>
      </c>
      <c r="AK188">
        <v>62.4</v>
      </c>
      <c r="AL188">
        <v>40.1</v>
      </c>
      <c r="AM188">
        <v>22.3</v>
      </c>
    </row>
    <row r="189" spans="1:39" x14ac:dyDescent="0.2">
      <c r="A189">
        <v>188</v>
      </c>
      <c r="B189" t="s">
        <v>3</v>
      </c>
      <c r="C189">
        <v>3</v>
      </c>
      <c r="D189" t="s">
        <v>8</v>
      </c>
      <c r="E189">
        <v>21.8</v>
      </c>
      <c r="F189">
        <v>1.3</v>
      </c>
      <c r="G189">
        <v>188</v>
      </c>
      <c r="H189">
        <v>13.5</v>
      </c>
      <c r="I189">
        <v>17</v>
      </c>
      <c r="J189">
        <v>85</v>
      </c>
      <c r="K189">
        <v>0.844540768</v>
      </c>
      <c r="L189" s="4">
        <v>559000000000000</v>
      </c>
      <c r="M189" s="4">
        <v>1120000000000000</v>
      </c>
      <c r="N189" s="4">
        <v>1680000000000000</v>
      </c>
      <c r="O189">
        <v>77.7</v>
      </c>
      <c r="P189">
        <v>0.75155279500000005</v>
      </c>
      <c r="Q189">
        <v>0.248447205</v>
      </c>
      <c r="R189">
        <v>19.342894659999999</v>
      </c>
      <c r="S189">
        <v>6.3943453420000003</v>
      </c>
      <c r="X189">
        <v>0</v>
      </c>
      <c r="Y189">
        <v>1</v>
      </c>
      <c r="Z189" t="s">
        <v>24</v>
      </c>
      <c r="AA189" t="s">
        <v>24</v>
      </c>
      <c r="AB189" t="s">
        <v>24</v>
      </c>
      <c r="AD189">
        <v>23.203099999999999</v>
      </c>
      <c r="AE189">
        <v>75.651600000000002</v>
      </c>
      <c r="AF189">
        <v>29.9467</v>
      </c>
      <c r="AG189">
        <v>78.043099999999995</v>
      </c>
      <c r="AI189">
        <v>120</v>
      </c>
      <c r="AK189">
        <v>62.6</v>
      </c>
      <c r="AL189">
        <v>41.1</v>
      </c>
      <c r="AM189">
        <v>21.4</v>
      </c>
    </row>
    <row r="190" spans="1:39" x14ac:dyDescent="0.2">
      <c r="A190">
        <v>189</v>
      </c>
      <c r="B190" t="s">
        <v>3</v>
      </c>
      <c r="C190">
        <v>2</v>
      </c>
      <c r="D190" t="s">
        <v>8</v>
      </c>
      <c r="E190">
        <v>21.8</v>
      </c>
      <c r="F190">
        <v>1.3</v>
      </c>
      <c r="G190">
        <v>188</v>
      </c>
      <c r="H190">
        <v>13.5</v>
      </c>
      <c r="I190">
        <v>9</v>
      </c>
      <c r="J190">
        <v>85</v>
      </c>
      <c r="K190">
        <v>0.844540768</v>
      </c>
      <c r="L190" s="4">
        <v>614000000000000</v>
      </c>
      <c r="M190" s="4">
        <v>2740000000000000</v>
      </c>
      <c r="N190" s="4">
        <v>3350000000000000</v>
      </c>
      <c r="O190">
        <v>85.5</v>
      </c>
      <c r="P190">
        <v>0.79354838699999997</v>
      </c>
      <c r="Q190">
        <v>0.20645161300000001</v>
      </c>
      <c r="R190">
        <v>31.55345187</v>
      </c>
      <c r="S190">
        <v>8.209028129</v>
      </c>
      <c r="X190">
        <v>1</v>
      </c>
      <c r="Y190">
        <v>0</v>
      </c>
      <c r="Z190" t="s">
        <v>24</v>
      </c>
      <c r="AA190" t="s">
        <v>24</v>
      </c>
      <c r="AB190" t="s">
        <v>24</v>
      </c>
      <c r="AD190">
        <v>14.8895</v>
      </c>
      <c r="AE190">
        <v>71.861000000000004</v>
      </c>
      <c r="AF190">
        <v>30.3398</v>
      </c>
      <c r="AG190">
        <v>75.8352</v>
      </c>
      <c r="AI190">
        <v>120</v>
      </c>
      <c r="AK190">
        <v>70.400000000000006</v>
      </c>
      <c r="AL190">
        <v>37.299999999999997</v>
      </c>
      <c r="AM190">
        <v>33.1</v>
      </c>
    </row>
    <row r="191" spans="1:39" x14ac:dyDescent="0.2">
      <c r="A191">
        <v>190</v>
      </c>
      <c r="B191" t="s">
        <v>3</v>
      </c>
      <c r="C191">
        <v>3</v>
      </c>
      <c r="D191" t="s">
        <v>15</v>
      </c>
      <c r="E191">
        <v>0.4</v>
      </c>
      <c r="F191">
        <v>0</v>
      </c>
      <c r="G191">
        <v>6</v>
      </c>
      <c r="H191">
        <v>15.3</v>
      </c>
      <c r="I191">
        <v>10</v>
      </c>
      <c r="J191">
        <v>85</v>
      </c>
      <c r="K191">
        <v>0.844540768</v>
      </c>
      <c r="L191" s="4">
        <v>214000000000000</v>
      </c>
      <c r="M191" s="4">
        <v>436000000000000</v>
      </c>
      <c r="N191" s="4">
        <v>651000000000000</v>
      </c>
      <c r="O191">
        <v>15.3</v>
      </c>
      <c r="P191">
        <v>0.77450980400000002</v>
      </c>
      <c r="Q191">
        <v>0.225490196</v>
      </c>
      <c r="R191">
        <v>3.353791647</v>
      </c>
      <c r="S191">
        <v>0.97642035299999996</v>
      </c>
      <c r="X191">
        <v>0</v>
      </c>
      <c r="Y191">
        <v>1</v>
      </c>
      <c r="Z191" t="s">
        <v>24</v>
      </c>
      <c r="AA191" t="s">
        <v>24</v>
      </c>
      <c r="AB191" t="s">
        <v>24</v>
      </c>
      <c r="AD191">
        <v>22.5077</v>
      </c>
      <c r="AE191">
        <v>66.056799999999996</v>
      </c>
      <c r="AF191">
        <v>24.0183</v>
      </c>
      <c r="AG191">
        <v>59.767499999999998</v>
      </c>
      <c r="AI191">
        <v>138</v>
      </c>
      <c r="AK191">
        <v>9.1</v>
      </c>
      <c r="AL191">
        <v>5.5</v>
      </c>
      <c r="AM191">
        <v>3.6</v>
      </c>
    </row>
    <row r="192" spans="1:39" x14ac:dyDescent="0.2">
      <c r="A192">
        <v>191</v>
      </c>
      <c r="B192" t="s">
        <v>3</v>
      </c>
      <c r="C192">
        <v>3</v>
      </c>
      <c r="D192" t="s">
        <v>15</v>
      </c>
      <c r="E192">
        <v>0.4</v>
      </c>
      <c r="F192">
        <v>0</v>
      </c>
      <c r="G192">
        <v>6</v>
      </c>
      <c r="H192">
        <v>15.3</v>
      </c>
      <c r="I192">
        <v>11</v>
      </c>
      <c r="J192">
        <v>85</v>
      </c>
      <c r="K192">
        <v>0.844540768</v>
      </c>
      <c r="L192" s="4">
        <v>242000000000000</v>
      </c>
      <c r="M192" s="4">
        <v>647000000000000</v>
      </c>
      <c r="N192" s="4">
        <v>888000000000000</v>
      </c>
      <c r="O192">
        <v>16.600000000000001</v>
      </c>
      <c r="P192">
        <v>0.73873873899999998</v>
      </c>
      <c r="Q192">
        <v>0.26126126100000002</v>
      </c>
      <c r="R192">
        <v>4.1523292969999996</v>
      </c>
      <c r="S192">
        <v>1.4685067030000001</v>
      </c>
      <c r="X192">
        <v>0</v>
      </c>
      <c r="Y192">
        <v>1</v>
      </c>
      <c r="Z192" t="s">
        <v>24</v>
      </c>
      <c r="AA192" t="s">
        <v>24</v>
      </c>
      <c r="AB192" t="s">
        <v>24</v>
      </c>
      <c r="AD192">
        <v>21.0562</v>
      </c>
      <c r="AE192">
        <v>67.637900000000002</v>
      </c>
      <c r="AF192">
        <v>24.444900000000001</v>
      </c>
      <c r="AG192">
        <v>63.7547</v>
      </c>
      <c r="AI192">
        <v>130</v>
      </c>
      <c r="AK192">
        <v>11.3</v>
      </c>
      <c r="AL192">
        <v>6.6</v>
      </c>
      <c r="AM192">
        <v>4.7</v>
      </c>
    </row>
    <row r="193" spans="1:39" x14ac:dyDescent="0.2">
      <c r="A193">
        <v>192</v>
      </c>
      <c r="B193" t="s">
        <v>3</v>
      </c>
      <c r="C193">
        <v>2</v>
      </c>
      <c r="D193" t="s">
        <v>8</v>
      </c>
      <c r="E193">
        <v>21.8</v>
      </c>
      <c r="F193">
        <v>1.3</v>
      </c>
      <c r="G193">
        <v>188</v>
      </c>
      <c r="H193">
        <v>13.5</v>
      </c>
      <c r="I193">
        <v>17</v>
      </c>
      <c r="J193">
        <v>85</v>
      </c>
      <c r="K193">
        <v>0.844540768</v>
      </c>
      <c r="L193" s="4">
        <v>609000000000000</v>
      </c>
      <c r="M193" s="4">
        <v>1930000000000000</v>
      </c>
      <c r="N193" s="4">
        <v>2540000000000000</v>
      </c>
      <c r="O193">
        <v>49.2</v>
      </c>
      <c r="P193">
        <v>0.75862068999999999</v>
      </c>
      <c r="Q193">
        <v>0.24137931000000001</v>
      </c>
      <c r="R193">
        <v>29.112372409999999</v>
      </c>
      <c r="S193">
        <v>9.2630275859999998</v>
      </c>
      <c r="X193">
        <v>1</v>
      </c>
      <c r="Y193">
        <v>0</v>
      </c>
      <c r="Z193" t="s">
        <v>24</v>
      </c>
      <c r="AA193" t="s">
        <v>24</v>
      </c>
      <c r="AB193" t="s">
        <v>24</v>
      </c>
      <c r="AD193">
        <v>16.791499999999999</v>
      </c>
      <c r="AE193">
        <v>78.168999999999997</v>
      </c>
      <c r="AF193">
        <v>31.777899999999999</v>
      </c>
      <c r="AG193">
        <v>81.186499999999995</v>
      </c>
      <c r="AI193">
        <v>150</v>
      </c>
      <c r="AK193">
        <v>78</v>
      </c>
      <c r="AL193">
        <v>46</v>
      </c>
      <c r="AM193">
        <v>32</v>
      </c>
    </row>
    <row r="194" spans="1:39" x14ac:dyDescent="0.2">
      <c r="A194">
        <v>193</v>
      </c>
      <c r="B194" t="s">
        <v>3</v>
      </c>
      <c r="C194">
        <v>3</v>
      </c>
      <c r="D194" t="s">
        <v>15</v>
      </c>
      <c r="E194">
        <v>0.4</v>
      </c>
      <c r="F194">
        <v>0</v>
      </c>
      <c r="G194">
        <v>6</v>
      </c>
      <c r="H194">
        <v>15.3</v>
      </c>
      <c r="I194">
        <v>17</v>
      </c>
      <c r="J194">
        <v>85</v>
      </c>
      <c r="K194">
        <v>0.844540768</v>
      </c>
      <c r="L194" s="4">
        <v>227000000000000</v>
      </c>
      <c r="M194" s="4">
        <v>421000000000000</v>
      </c>
      <c r="N194" s="4">
        <v>648000000000000</v>
      </c>
      <c r="O194">
        <v>13.9</v>
      </c>
      <c r="P194">
        <v>0.71311475400000002</v>
      </c>
      <c r="Q194">
        <v>0.28688524599999998</v>
      </c>
      <c r="R194">
        <v>3.4718819019999998</v>
      </c>
      <c r="S194">
        <v>1.396734098</v>
      </c>
      <c r="X194">
        <v>0</v>
      </c>
      <c r="Y194">
        <v>1</v>
      </c>
      <c r="Z194" t="s">
        <v>24</v>
      </c>
      <c r="AA194" t="s">
        <v>24</v>
      </c>
      <c r="AB194" t="s">
        <v>24</v>
      </c>
      <c r="AD194">
        <v>22.2806</v>
      </c>
      <c r="AE194">
        <v>68.4636</v>
      </c>
      <c r="AF194">
        <v>25.0395</v>
      </c>
      <c r="AG194">
        <v>59.701700000000002</v>
      </c>
      <c r="AI194">
        <v>120</v>
      </c>
      <c r="AK194">
        <v>10.5</v>
      </c>
      <c r="AL194">
        <v>6.4</v>
      </c>
      <c r="AM194">
        <v>4.0999999999999996</v>
      </c>
    </row>
    <row r="195" spans="1:39" x14ac:dyDescent="0.2">
      <c r="A195">
        <v>194</v>
      </c>
      <c r="B195" t="s">
        <v>3</v>
      </c>
      <c r="C195">
        <v>3</v>
      </c>
      <c r="D195" t="s">
        <v>15</v>
      </c>
      <c r="E195">
        <v>0.4</v>
      </c>
      <c r="F195">
        <v>0</v>
      </c>
      <c r="G195">
        <v>6</v>
      </c>
      <c r="H195">
        <v>15.3</v>
      </c>
      <c r="I195">
        <v>18</v>
      </c>
      <c r="J195">
        <v>85</v>
      </c>
      <c r="K195">
        <v>0.844540768</v>
      </c>
      <c r="L195" s="4">
        <v>228000000000000</v>
      </c>
      <c r="M195" s="4">
        <v>298000000000000</v>
      </c>
      <c r="N195" s="4">
        <v>526000000000000</v>
      </c>
      <c r="O195">
        <v>15.3</v>
      </c>
      <c r="P195">
        <v>0.76785714299999996</v>
      </c>
      <c r="Q195">
        <v>0.23214285700000001</v>
      </c>
      <c r="R195">
        <v>3.197016214</v>
      </c>
      <c r="S195">
        <v>0.96653978600000001</v>
      </c>
      <c r="X195">
        <v>0</v>
      </c>
      <c r="Y195">
        <v>1</v>
      </c>
      <c r="Z195" t="s">
        <v>24</v>
      </c>
      <c r="AA195" t="s">
        <v>24</v>
      </c>
      <c r="AB195" t="s">
        <v>24</v>
      </c>
      <c r="AD195">
        <v>23.6081</v>
      </c>
      <c r="AE195">
        <v>65.947800000000001</v>
      </c>
      <c r="AF195">
        <v>25.247299999999999</v>
      </c>
      <c r="AG195">
        <v>61.709299999999999</v>
      </c>
      <c r="AI195">
        <v>155</v>
      </c>
      <c r="AK195">
        <v>10</v>
      </c>
      <c r="AL195">
        <v>6.6</v>
      </c>
      <c r="AM195">
        <v>3.5</v>
      </c>
    </row>
    <row r="196" spans="1:39" x14ac:dyDescent="0.2">
      <c r="A196">
        <v>195</v>
      </c>
      <c r="B196" t="s">
        <v>3</v>
      </c>
      <c r="C196">
        <v>2</v>
      </c>
      <c r="D196" t="s">
        <v>8</v>
      </c>
      <c r="E196">
        <v>21.8</v>
      </c>
      <c r="F196">
        <v>1.3</v>
      </c>
      <c r="G196">
        <v>188</v>
      </c>
      <c r="H196">
        <v>13.5</v>
      </c>
      <c r="I196">
        <v>23</v>
      </c>
      <c r="J196">
        <v>85</v>
      </c>
      <c r="K196">
        <v>0.844540768</v>
      </c>
      <c r="L196" s="4">
        <v>506000000000000</v>
      </c>
      <c r="M196" s="4">
        <v>838000000000000</v>
      </c>
      <c r="N196" s="4">
        <v>1340000000000000</v>
      </c>
      <c r="O196">
        <v>70.900000000000006</v>
      </c>
      <c r="P196">
        <v>0.79865771799999996</v>
      </c>
      <c r="Q196">
        <v>0.20134228200000001</v>
      </c>
      <c r="R196">
        <v>21.852521070000002</v>
      </c>
      <c r="S196">
        <v>5.5090389259999997</v>
      </c>
      <c r="X196">
        <v>1</v>
      </c>
      <c r="Y196">
        <v>0</v>
      </c>
      <c r="Z196" t="s">
        <v>24</v>
      </c>
      <c r="AA196" t="s">
        <v>24</v>
      </c>
      <c r="AB196" t="s">
        <v>24</v>
      </c>
      <c r="AD196">
        <v>29.6084</v>
      </c>
      <c r="AE196">
        <v>77.886499999999998</v>
      </c>
      <c r="AF196">
        <v>32.810299999999998</v>
      </c>
      <c r="AG196">
        <v>77.413399999999996</v>
      </c>
      <c r="AI196">
        <v>97</v>
      </c>
      <c r="AK196">
        <v>61.8</v>
      </c>
      <c r="AL196">
        <v>39</v>
      </c>
      <c r="AM196">
        <v>22.8</v>
      </c>
    </row>
    <row r="197" spans="1:39" x14ac:dyDescent="0.2">
      <c r="A197">
        <v>196</v>
      </c>
      <c r="B197" t="s">
        <v>3</v>
      </c>
      <c r="C197">
        <v>3</v>
      </c>
      <c r="D197" t="s">
        <v>15</v>
      </c>
      <c r="E197">
        <v>0.4</v>
      </c>
      <c r="F197">
        <v>0</v>
      </c>
      <c r="G197">
        <v>6</v>
      </c>
      <c r="H197">
        <v>15.3</v>
      </c>
      <c r="I197">
        <v>23</v>
      </c>
      <c r="J197">
        <v>85</v>
      </c>
      <c r="K197">
        <v>0.844540768</v>
      </c>
      <c r="L197" s="4">
        <v>198000000000000</v>
      </c>
      <c r="M197" s="4">
        <v>201000000000000</v>
      </c>
      <c r="N197" s="4">
        <v>399000000000000</v>
      </c>
      <c r="O197">
        <v>12.8</v>
      </c>
      <c r="P197">
        <v>0.78947368399999995</v>
      </c>
      <c r="Q197">
        <v>0.21052631599999999</v>
      </c>
      <c r="R197">
        <v>2.9851294739999998</v>
      </c>
      <c r="S197">
        <v>0.79603452600000002</v>
      </c>
      <c r="X197">
        <v>0</v>
      </c>
      <c r="Y197">
        <v>1</v>
      </c>
      <c r="Z197" t="s">
        <v>24</v>
      </c>
      <c r="AA197" t="s">
        <v>24</v>
      </c>
      <c r="AB197" t="s">
        <v>24</v>
      </c>
      <c r="AD197">
        <v>21.4224</v>
      </c>
      <c r="AE197">
        <v>62.63</v>
      </c>
      <c r="AF197">
        <v>24.531700000000001</v>
      </c>
      <c r="AG197">
        <v>59.610700000000001</v>
      </c>
      <c r="AI197">
        <v>145</v>
      </c>
      <c r="AK197">
        <v>9</v>
      </c>
      <c r="AL197">
        <v>5.8</v>
      </c>
      <c r="AM197">
        <v>3.2</v>
      </c>
    </row>
    <row r="198" spans="1:39" x14ac:dyDescent="0.2">
      <c r="A198">
        <v>197</v>
      </c>
      <c r="B198" t="s">
        <v>3</v>
      </c>
      <c r="C198">
        <v>3</v>
      </c>
      <c r="D198" t="s">
        <v>15</v>
      </c>
      <c r="E198">
        <v>0.4</v>
      </c>
      <c r="F198">
        <v>0</v>
      </c>
      <c r="G198">
        <v>6</v>
      </c>
      <c r="H198">
        <v>15.3</v>
      </c>
      <c r="I198">
        <v>24</v>
      </c>
      <c r="J198">
        <v>85</v>
      </c>
      <c r="K198">
        <v>0.844540768</v>
      </c>
      <c r="L198" s="4">
        <v>204000000000000</v>
      </c>
      <c r="M198" s="4">
        <v>229000000000000</v>
      </c>
      <c r="N198" s="4">
        <v>432000000000000</v>
      </c>
      <c r="O198">
        <v>12.7</v>
      </c>
      <c r="P198">
        <v>0.79591836699999996</v>
      </c>
      <c r="Q198">
        <v>0.20408163300000001</v>
      </c>
      <c r="R198">
        <v>2.9334144489999998</v>
      </c>
      <c r="S198">
        <v>0.75215755100000004</v>
      </c>
      <c r="X198">
        <v>0</v>
      </c>
      <c r="Y198">
        <v>1</v>
      </c>
      <c r="Z198" t="s">
        <v>24</v>
      </c>
      <c r="AA198" t="s">
        <v>24</v>
      </c>
      <c r="AB198" t="s">
        <v>24</v>
      </c>
      <c r="AD198">
        <v>23.622299999999999</v>
      </c>
      <c r="AE198">
        <v>61.892400000000002</v>
      </c>
      <c r="AF198">
        <v>24.7395</v>
      </c>
      <c r="AG198">
        <v>59.305399999999999</v>
      </c>
      <c r="AI198">
        <v>125</v>
      </c>
      <c r="AK198">
        <v>8.9</v>
      </c>
      <c r="AL198">
        <v>5.8</v>
      </c>
      <c r="AM198">
        <v>3.1</v>
      </c>
    </row>
    <row r="199" spans="1:39" x14ac:dyDescent="0.2">
      <c r="A199">
        <v>198</v>
      </c>
      <c r="B199" t="s">
        <v>3</v>
      </c>
      <c r="C199">
        <v>2</v>
      </c>
      <c r="D199" t="s">
        <v>8</v>
      </c>
      <c r="E199">
        <v>21.8</v>
      </c>
      <c r="F199">
        <v>1.3</v>
      </c>
      <c r="G199">
        <v>188</v>
      </c>
      <c r="H199">
        <v>13.5</v>
      </c>
      <c r="I199">
        <v>13</v>
      </c>
      <c r="J199">
        <v>85</v>
      </c>
      <c r="K199">
        <v>0.844540768</v>
      </c>
      <c r="L199" s="4">
        <v>605000000000000</v>
      </c>
      <c r="M199" s="4">
        <v>1940000000000000</v>
      </c>
      <c r="N199" s="4">
        <v>2540000000000000</v>
      </c>
      <c r="O199">
        <v>92.8</v>
      </c>
      <c r="P199">
        <v>0.77435897399999998</v>
      </c>
      <c r="Q199">
        <v>0.22564102599999999</v>
      </c>
      <c r="R199">
        <v>36.519140919999998</v>
      </c>
      <c r="S199">
        <v>10.64133908</v>
      </c>
      <c r="X199">
        <v>1</v>
      </c>
      <c r="Y199">
        <v>0</v>
      </c>
      <c r="Z199" t="s">
        <v>24</v>
      </c>
      <c r="AA199" t="s">
        <v>24</v>
      </c>
      <c r="AB199" t="s">
        <v>24</v>
      </c>
      <c r="AD199">
        <v>15.182600000000001</v>
      </c>
      <c r="AE199">
        <v>75.785200000000003</v>
      </c>
      <c r="AF199">
        <v>29.077300000000001</v>
      </c>
      <c r="AG199">
        <v>75.6648</v>
      </c>
      <c r="AI199">
        <v>150</v>
      </c>
      <c r="AK199">
        <v>78</v>
      </c>
      <c r="AL199">
        <v>38.700000000000003</v>
      </c>
      <c r="AM199">
        <v>39.299999999999997</v>
      </c>
    </row>
    <row r="200" spans="1:39" x14ac:dyDescent="0.2">
      <c r="A200">
        <v>199</v>
      </c>
      <c r="B200" t="s">
        <v>3</v>
      </c>
      <c r="C200">
        <v>3</v>
      </c>
      <c r="D200" t="s">
        <v>17</v>
      </c>
      <c r="E200">
        <v>1.4</v>
      </c>
      <c r="F200">
        <v>0</v>
      </c>
      <c r="G200">
        <v>4</v>
      </c>
      <c r="H200">
        <v>15</v>
      </c>
      <c r="I200">
        <v>14</v>
      </c>
      <c r="J200">
        <v>85</v>
      </c>
      <c r="K200">
        <v>0.844540768</v>
      </c>
      <c r="L200" s="4">
        <v>231000000000000</v>
      </c>
      <c r="M200" s="4">
        <v>232000000000000</v>
      </c>
      <c r="N200" s="4">
        <v>463000000000000</v>
      </c>
      <c r="O200">
        <v>16.5</v>
      </c>
      <c r="P200">
        <v>0.75524475499999999</v>
      </c>
      <c r="Q200">
        <v>0.24475524500000001</v>
      </c>
      <c r="R200">
        <v>4.8860287549999999</v>
      </c>
      <c r="S200">
        <v>1.583435245</v>
      </c>
      <c r="X200">
        <v>0</v>
      </c>
      <c r="Y200">
        <v>1</v>
      </c>
      <c r="Z200" t="s">
        <v>24</v>
      </c>
      <c r="AA200" t="s">
        <v>24</v>
      </c>
      <c r="AB200" t="s">
        <v>24</v>
      </c>
      <c r="AD200">
        <v>23.253900000000002</v>
      </c>
      <c r="AE200">
        <v>73.5411</v>
      </c>
      <c r="AF200">
        <v>24.585000000000001</v>
      </c>
      <c r="AG200">
        <v>59.1526</v>
      </c>
      <c r="AI200">
        <v>170</v>
      </c>
      <c r="AK200">
        <v>12</v>
      </c>
      <c r="AL200">
        <v>6.6</v>
      </c>
      <c r="AM200">
        <v>5.4</v>
      </c>
    </row>
    <row r="201" spans="1:39" x14ac:dyDescent="0.2">
      <c r="A201">
        <v>200</v>
      </c>
      <c r="B201" t="s">
        <v>3</v>
      </c>
      <c r="C201">
        <v>3</v>
      </c>
      <c r="D201" t="s">
        <v>17</v>
      </c>
      <c r="E201">
        <v>1.4</v>
      </c>
      <c r="F201">
        <v>0</v>
      </c>
      <c r="G201">
        <v>4</v>
      </c>
      <c r="H201">
        <v>15</v>
      </c>
      <c r="I201">
        <v>14</v>
      </c>
      <c r="J201">
        <v>85</v>
      </c>
      <c r="K201">
        <v>0.844540768</v>
      </c>
      <c r="L201" s="4">
        <v>249000000000000</v>
      </c>
      <c r="M201" s="4">
        <v>236000000000000</v>
      </c>
      <c r="N201" s="4">
        <v>485000000000000</v>
      </c>
      <c r="O201">
        <v>18</v>
      </c>
      <c r="P201">
        <v>0.72903225800000004</v>
      </c>
      <c r="Q201">
        <v>0.27096774200000001</v>
      </c>
      <c r="R201">
        <v>4.9159111739999997</v>
      </c>
      <c r="S201">
        <v>1.8271528260000001</v>
      </c>
      <c r="X201">
        <v>0</v>
      </c>
      <c r="Y201">
        <v>1</v>
      </c>
      <c r="Z201" t="s">
        <v>24</v>
      </c>
      <c r="AA201" t="s">
        <v>24</v>
      </c>
      <c r="AB201" t="s">
        <v>24</v>
      </c>
      <c r="AD201">
        <v>23.7041</v>
      </c>
      <c r="AE201">
        <v>72.209900000000005</v>
      </c>
      <c r="AF201">
        <v>24.9069</v>
      </c>
      <c r="AG201">
        <v>59.318399999999997</v>
      </c>
      <c r="AI201">
        <v>200</v>
      </c>
      <c r="AK201">
        <v>12.7</v>
      </c>
      <c r="AL201">
        <v>7.1</v>
      </c>
      <c r="AM201">
        <v>5.6</v>
      </c>
    </row>
    <row r="202" spans="1:39" x14ac:dyDescent="0.2">
      <c r="A202">
        <v>201</v>
      </c>
      <c r="B202" t="s">
        <v>3</v>
      </c>
      <c r="C202">
        <v>3</v>
      </c>
      <c r="D202" t="s">
        <v>18</v>
      </c>
      <c r="E202">
        <v>10.199999999999999</v>
      </c>
      <c r="F202">
        <v>0.65</v>
      </c>
      <c r="G202">
        <v>276</v>
      </c>
      <c r="H202">
        <v>14.4</v>
      </c>
      <c r="I202">
        <v>23</v>
      </c>
      <c r="J202">
        <v>85</v>
      </c>
      <c r="K202">
        <v>0.844540768</v>
      </c>
      <c r="L202" s="4">
        <v>430000000000000</v>
      </c>
      <c r="M202" s="4">
        <v>1160000000000000</v>
      </c>
      <c r="N202" s="4">
        <v>1590000000000000</v>
      </c>
      <c r="O202">
        <v>45</v>
      </c>
      <c r="P202">
        <v>0.74074074099999998</v>
      </c>
      <c r="Q202">
        <v>0.25925925900000002</v>
      </c>
      <c r="R202">
        <v>17.84764444</v>
      </c>
      <c r="S202">
        <v>6.2466755559999996</v>
      </c>
      <c r="X202">
        <v>0</v>
      </c>
      <c r="Y202">
        <v>1</v>
      </c>
      <c r="Z202" t="s">
        <v>24</v>
      </c>
      <c r="AA202" t="s">
        <v>24</v>
      </c>
      <c r="AB202" t="s">
        <v>24</v>
      </c>
      <c r="AD202">
        <v>14.654400000000001</v>
      </c>
      <c r="AE202">
        <v>69.109200000000001</v>
      </c>
      <c r="AF202">
        <v>27.192499999999999</v>
      </c>
      <c r="AG202">
        <v>68.365200000000002</v>
      </c>
      <c r="AI202">
        <v>110</v>
      </c>
      <c r="AK202">
        <v>41.9</v>
      </c>
      <c r="AL202">
        <v>21.9</v>
      </c>
      <c r="AM202">
        <v>20.100000000000001</v>
      </c>
    </row>
    <row r="203" spans="1:39" x14ac:dyDescent="0.2">
      <c r="A203">
        <v>202</v>
      </c>
      <c r="B203" t="s">
        <v>3</v>
      </c>
      <c r="C203">
        <v>2</v>
      </c>
      <c r="D203" t="s">
        <v>8</v>
      </c>
      <c r="E203">
        <v>21.8</v>
      </c>
      <c r="F203">
        <v>1.3</v>
      </c>
      <c r="G203">
        <v>188</v>
      </c>
      <c r="H203">
        <v>13.5</v>
      </c>
      <c r="I203">
        <v>14</v>
      </c>
      <c r="J203">
        <v>85</v>
      </c>
      <c r="K203">
        <v>0.844540768</v>
      </c>
      <c r="L203" s="4">
        <v>568000000000000</v>
      </c>
      <c r="M203" s="4">
        <v>1740000000000000</v>
      </c>
      <c r="N203" s="4">
        <v>2300000000000000</v>
      </c>
      <c r="O203">
        <v>72.5</v>
      </c>
      <c r="P203">
        <v>0.87074829899999995</v>
      </c>
      <c r="Q203">
        <v>0.129251701</v>
      </c>
      <c r="R203">
        <v>30.284591020000001</v>
      </c>
      <c r="S203">
        <v>4.4953689800000003</v>
      </c>
      <c r="X203">
        <v>1</v>
      </c>
      <c r="Y203">
        <v>0</v>
      </c>
      <c r="Z203" t="s">
        <v>24</v>
      </c>
      <c r="AA203" t="s">
        <v>24</v>
      </c>
      <c r="AB203" t="s">
        <v>24</v>
      </c>
      <c r="AD203">
        <v>16.489799999999999</v>
      </c>
      <c r="AE203">
        <v>75.907899999999998</v>
      </c>
      <c r="AF203">
        <v>29.898800000000001</v>
      </c>
      <c r="AG203">
        <v>77.658299999999997</v>
      </c>
      <c r="AI203">
        <v>148</v>
      </c>
      <c r="AK203">
        <v>67.599999999999994</v>
      </c>
      <c r="AL203">
        <v>38.6</v>
      </c>
      <c r="AM203">
        <v>29</v>
      </c>
    </row>
    <row r="204" spans="1:39" x14ac:dyDescent="0.2">
      <c r="A204">
        <v>203</v>
      </c>
      <c r="B204" t="s">
        <v>3</v>
      </c>
      <c r="C204">
        <v>3</v>
      </c>
      <c r="D204" t="s">
        <v>16</v>
      </c>
      <c r="E204">
        <v>2.1</v>
      </c>
      <c r="F204">
        <v>0</v>
      </c>
      <c r="G204">
        <v>1083</v>
      </c>
      <c r="H204">
        <v>15</v>
      </c>
      <c r="I204">
        <v>14</v>
      </c>
      <c r="J204">
        <v>85</v>
      </c>
      <c r="K204">
        <v>0.844540768</v>
      </c>
      <c r="L204" s="4">
        <v>254000000000000</v>
      </c>
      <c r="M204" s="4">
        <v>9980000000000000</v>
      </c>
      <c r="N204" s="4">
        <v>1.02E+16</v>
      </c>
      <c r="O204">
        <v>16</v>
      </c>
      <c r="P204">
        <v>0.69343065699999995</v>
      </c>
      <c r="Q204">
        <v>0.30656934299999999</v>
      </c>
      <c r="R204">
        <v>37.599596499999997</v>
      </c>
      <c r="S204">
        <v>16.6229795</v>
      </c>
      <c r="X204">
        <v>0</v>
      </c>
      <c r="Y204">
        <v>1</v>
      </c>
      <c r="Z204" t="s">
        <v>24</v>
      </c>
      <c r="AA204" t="s">
        <v>24</v>
      </c>
      <c r="AB204" t="s">
        <v>24</v>
      </c>
      <c r="AD204">
        <v>14.7966</v>
      </c>
      <c r="AE204">
        <v>28.0732</v>
      </c>
      <c r="AF204">
        <v>21.950199999999999</v>
      </c>
      <c r="AG204">
        <v>61.116100000000003</v>
      </c>
      <c r="AI204">
        <v>170</v>
      </c>
      <c r="AK204">
        <v>51.6</v>
      </c>
      <c r="AL204">
        <v>6.5</v>
      </c>
      <c r="AM204">
        <v>45.2</v>
      </c>
    </row>
    <row r="205" spans="1:39" x14ac:dyDescent="0.2">
      <c r="A205">
        <v>204</v>
      </c>
      <c r="B205" t="s">
        <v>3</v>
      </c>
      <c r="C205">
        <v>3</v>
      </c>
      <c r="D205" t="s">
        <v>16</v>
      </c>
      <c r="E205">
        <v>2.1</v>
      </c>
      <c r="F205">
        <v>0</v>
      </c>
      <c r="G205">
        <v>1083</v>
      </c>
      <c r="H205">
        <v>15</v>
      </c>
      <c r="I205">
        <v>16</v>
      </c>
      <c r="J205">
        <v>85</v>
      </c>
      <c r="K205">
        <v>0.844540768</v>
      </c>
      <c r="L205" s="4">
        <v>252000000000000</v>
      </c>
      <c r="M205" s="4">
        <v>1.04E+16</v>
      </c>
      <c r="N205" s="4">
        <v>1.06E+16</v>
      </c>
      <c r="O205">
        <v>16.600000000000001</v>
      </c>
      <c r="P205">
        <v>0.70700636900000002</v>
      </c>
      <c r="Q205">
        <v>0.29299363099999998</v>
      </c>
      <c r="R205">
        <v>43.894312280000001</v>
      </c>
      <c r="S205">
        <v>18.19043572</v>
      </c>
      <c r="X205">
        <v>0</v>
      </c>
      <c r="Y205">
        <v>1</v>
      </c>
      <c r="Z205" t="s">
        <v>24</v>
      </c>
      <c r="AA205" t="s">
        <v>24</v>
      </c>
      <c r="AB205" t="s">
        <v>24</v>
      </c>
      <c r="AD205">
        <v>14.388299999999999</v>
      </c>
      <c r="AE205">
        <v>27.6707</v>
      </c>
      <c r="AF205">
        <v>21.971900000000002</v>
      </c>
      <c r="AG205">
        <v>65.3874</v>
      </c>
      <c r="AI205">
        <v>150</v>
      </c>
      <c r="AK205">
        <v>58.9</v>
      </c>
      <c r="AL205">
        <v>7.2</v>
      </c>
      <c r="AM205">
        <v>51.7</v>
      </c>
    </row>
    <row r="206" spans="1:39" x14ac:dyDescent="0.2">
      <c r="A206">
        <v>205</v>
      </c>
      <c r="B206" t="s">
        <v>3</v>
      </c>
      <c r="C206">
        <v>3</v>
      </c>
      <c r="D206" t="s">
        <v>18</v>
      </c>
      <c r="E206">
        <v>10.199999999999999</v>
      </c>
      <c r="F206">
        <v>0.65</v>
      </c>
      <c r="G206">
        <v>276</v>
      </c>
      <c r="H206">
        <v>14.4</v>
      </c>
      <c r="I206">
        <v>25</v>
      </c>
      <c r="J206">
        <v>85</v>
      </c>
      <c r="K206">
        <v>0.844540768</v>
      </c>
      <c r="L206" s="4">
        <v>447000000000000</v>
      </c>
      <c r="M206" s="4">
        <v>1290000000000000</v>
      </c>
      <c r="N206" s="4">
        <v>1740000000000000</v>
      </c>
      <c r="O206">
        <v>51.4</v>
      </c>
      <c r="P206" t="s">
        <v>24</v>
      </c>
      <c r="Q206" t="s">
        <v>24</v>
      </c>
      <c r="R206" t="s">
        <v>24</v>
      </c>
      <c r="S206" t="s">
        <v>24</v>
      </c>
      <c r="X206">
        <v>0</v>
      </c>
      <c r="Y206">
        <v>1</v>
      </c>
      <c r="Z206" t="s">
        <v>24</v>
      </c>
      <c r="AA206" t="s">
        <v>24</v>
      </c>
      <c r="AB206" t="s">
        <v>24</v>
      </c>
      <c r="AD206">
        <v>13.635899999999999</v>
      </c>
      <c r="AE206">
        <v>68.112799999999993</v>
      </c>
      <c r="AF206">
        <v>27.347100000000001</v>
      </c>
      <c r="AG206">
        <v>68.943299999999994</v>
      </c>
      <c r="AI206">
        <v>80</v>
      </c>
      <c r="AK206">
        <v>46.6</v>
      </c>
      <c r="AL206">
        <v>24.1</v>
      </c>
      <c r="AM206">
        <v>22.5</v>
      </c>
    </row>
    <row r="207" spans="1:39" x14ac:dyDescent="0.2">
      <c r="A207">
        <v>206</v>
      </c>
      <c r="B207" t="s">
        <v>3</v>
      </c>
      <c r="C207">
        <v>2</v>
      </c>
      <c r="D207" t="s">
        <v>18</v>
      </c>
      <c r="E207">
        <v>10.199999999999999</v>
      </c>
      <c r="F207">
        <v>0.65</v>
      </c>
      <c r="G207">
        <v>276</v>
      </c>
      <c r="H207">
        <v>14.4</v>
      </c>
      <c r="I207">
        <v>25</v>
      </c>
      <c r="J207">
        <v>85</v>
      </c>
      <c r="K207">
        <v>0.844540768</v>
      </c>
      <c r="L207" s="4">
        <v>403000000000000</v>
      </c>
      <c r="M207" s="4">
        <v>1750000000000000</v>
      </c>
      <c r="N207" s="4">
        <v>2150000000000000</v>
      </c>
      <c r="O207">
        <v>51.9</v>
      </c>
      <c r="P207" t="s">
        <v>24</v>
      </c>
      <c r="Q207" t="s">
        <v>24</v>
      </c>
      <c r="R207" t="s">
        <v>24</v>
      </c>
      <c r="S207" t="s">
        <v>24</v>
      </c>
      <c r="X207">
        <v>1</v>
      </c>
      <c r="Y207">
        <v>0</v>
      </c>
      <c r="Z207" t="s">
        <v>24</v>
      </c>
      <c r="AA207" t="s">
        <v>24</v>
      </c>
      <c r="AB207" t="s">
        <v>24</v>
      </c>
      <c r="AD207">
        <v>13.338100000000001</v>
      </c>
      <c r="AE207">
        <v>70.015600000000006</v>
      </c>
      <c r="AF207">
        <v>28.427600000000002</v>
      </c>
      <c r="AG207">
        <v>73.961299999999994</v>
      </c>
      <c r="AI207">
        <v>100</v>
      </c>
      <c r="AK207">
        <v>45.3</v>
      </c>
      <c r="AL207">
        <v>23.5</v>
      </c>
      <c r="AM207">
        <v>21.7</v>
      </c>
    </row>
    <row r="208" spans="1:39" x14ac:dyDescent="0.2">
      <c r="A208">
        <v>207</v>
      </c>
      <c r="B208" t="s">
        <v>3</v>
      </c>
      <c r="C208">
        <v>2</v>
      </c>
      <c r="D208" t="s">
        <v>8</v>
      </c>
      <c r="E208">
        <v>21.8</v>
      </c>
      <c r="F208">
        <v>1.3</v>
      </c>
      <c r="G208">
        <v>188</v>
      </c>
      <c r="H208">
        <v>13.5</v>
      </c>
      <c r="I208">
        <v>29</v>
      </c>
      <c r="J208">
        <v>85</v>
      </c>
      <c r="K208">
        <v>0.844540768</v>
      </c>
      <c r="L208" s="4">
        <v>350000000000000</v>
      </c>
      <c r="M208" s="4">
        <v>877000000000000</v>
      </c>
      <c r="N208" s="4">
        <v>1230000000000000</v>
      </c>
      <c r="O208">
        <v>35.200000000000003</v>
      </c>
      <c r="P208">
        <v>0.93103448300000002</v>
      </c>
      <c r="Q208">
        <v>6.8965517000000004E-2</v>
      </c>
      <c r="R208" t="s">
        <v>24</v>
      </c>
      <c r="S208" t="s">
        <v>24</v>
      </c>
      <c r="X208">
        <v>1</v>
      </c>
      <c r="Y208">
        <v>0</v>
      </c>
      <c r="Z208" t="s">
        <v>24</v>
      </c>
      <c r="AA208" t="s">
        <v>24</v>
      </c>
      <c r="AB208" t="s">
        <v>24</v>
      </c>
      <c r="AD208">
        <v>16.213799999999999</v>
      </c>
      <c r="AE208">
        <v>67.136899999999997</v>
      </c>
      <c r="AF208" t="s">
        <v>24</v>
      </c>
      <c r="AG208" t="s">
        <v>24</v>
      </c>
      <c r="AI208">
        <v>140</v>
      </c>
      <c r="AK208">
        <v>42.9</v>
      </c>
      <c r="AL208" t="s">
        <v>24</v>
      </c>
      <c r="AM208" t="s">
        <v>24</v>
      </c>
    </row>
    <row r="209" spans="1:39" x14ac:dyDescent="0.2">
      <c r="A209">
        <v>208</v>
      </c>
      <c r="B209" t="s">
        <v>3</v>
      </c>
      <c r="C209">
        <v>3</v>
      </c>
      <c r="D209" t="s">
        <v>8</v>
      </c>
      <c r="E209">
        <v>21.8</v>
      </c>
      <c r="F209">
        <v>1.3</v>
      </c>
      <c r="G209">
        <v>188</v>
      </c>
      <c r="H209">
        <v>13.5</v>
      </c>
      <c r="I209">
        <v>30</v>
      </c>
      <c r="J209">
        <v>85</v>
      </c>
      <c r="K209">
        <v>0.844540768</v>
      </c>
      <c r="L209" s="4">
        <v>545000000000000</v>
      </c>
      <c r="M209" s="4">
        <v>516000000000000</v>
      </c>
      <c r="N209" s="4">
        <v>1060000000000000</v>
      </c>
      <c r="O209">
        <v>64.400000000000006</v>
      </c>
      <c r="P209">
        <v>0.87096774200000004</v>
      </c>
      <c r="Q209">
        <v>0.12903225800000001</v>
      </c>
      <c r="R209" t="s">
        <v>24</v>
      </c>
      <c r="S209" t="s">
        <v>24</v>
      </c>
      <c r="X209">
        <v>0</v>
      </c>
      <c r="Y209">
        <v>1</v>
      </c>
      <c r="Z209" t="s">
        <v>24</v>
      </c>
      <c r="AA209" t="s">
        <v>24</v>
      </c>
      <c r="AB209" t="s">
        <v>24</v>
      </c>
      <c r="AD209">
        <v>28.153400000000001</v>
      </c>
      <c r="AE209">
        <v>72.835599999999999</v>
      </c>
      <c r="AF209" t="s">
        <v>24</v>
      </c>
      <c r="AG209" t="s">
        <v>24</v>
      </c>
      <c r="AI209">
        <v>120</v>
      </c>
      <c r="AK209">
        <v>74.2</v>
      </c>
      <c r="AL209" t="s">
        <v>24</v>
      </c>
      <c r="AM209" t="s">
        <v>24</v>
      </c>
    </row>
    <row r="210" spans="1:39" x14ac:dyDescent="0.2">
      <c r="A210">
        <v>209</v>
      </c>
      <c r="B210" t="s">
        <v>4</v>
      </c>
      <c r="C210">
        <v>2</v>
      </c>
      <c r="D210" t="s">
        <v>19</v>
      </c>
      <c r="E210">
        <v>8</v>
      </c>
      <c r="F210">
        <v>0.9</v>
      </c>
      <c r="G210">
        <v>500</v>
      </c>
      <c r="H210">
        <v>14.4</v>
      </c>
      <c r="I210">
        <v>18.13</v>
      </c>
      <c r="J210">
        <v>85</v>
      </c>
      <c r="K210">
        <v>0.844540768</v>
      </c>
      <c r="L210" s="4">
        <v>1310000000000000</v>
      </c>
      <c r="M210" s="4">
        <v>7790000000000000</v>
      </c>
      <c r="N210" s="4">
        <v>9100000000000000</v>
      </c>
      <c r="O210">
        <v>81.12</v>
      </c>
      <c r="P210">
        <v>0.78115345000000003</v>
      </c>
      <c r="Q210">
        <v>0.21884655</v>
      </c>
      <c r="R210">
        <v>21.032556639999999</v>
      </c>
      <c r="S210">
        <v>5.8924433570000003</v>
      </c>
      <c r="X210">
        <v>1</v>
      </c>
      <c r="Y210">
        <v>0</v>
      </c>
      <c r="Z210">
        <v>82.5</v>
      </c>
      <c r="AA210" t="s">
        <v>24</v>
      </c>
      <c r="AB210">
        <v>1011</v>
      </c>
      <c r="AD210">
        <v>12.619300000000001</v>
      </c>
      <c r="AE210">
        <v>53.1875</v>
      </c>
      <c r="AF210">
        <v>23.3916</v>
      </c>
      <c r="AG210">
        <v>65.421300000000002</v>
      </c>
      <c r="AI210">
        <v>360</v>
      </c>
      <c r="AK210">
        <v>43.770499999999998</v>
      </c>
      <c r="AL210">
        <v>21.332999999999998</v>
      </c>
      <c r="AM210">
        <v>22.4</v>
      </c>
    </row>
    <row r="211" spans="1:39" x14ac:dyDescent="0.2">
      <c r="A211">
        <v>210</v>
      </c>
      <c r="B211" t="s">
        <v>4</v>
      </c>
      <c r="C211">
        <v>2</v>
      </c>
      <c r="D211" t="s">
        <v>8</v>
      </c>
      <c r="E211">
        <v>16</v>
      </c>
      <c r="F211">
        <v>1.4</v>
      </c>
      <c r="G211">
        <v>800</v>
      </c>
      <c r="H211">
        <v>13.9</v>
      </c>
      <c r="I211">
        <v>16.809999999999999</v>
      </c>
      <c r="J211">
        <v>85</v>
      </c>
      <c r="K211">
        <v>0.844540768</v>
      </c>
      <c r="L211" s="4">
        <v>1210000000000000</v>
      </c>
      <c r="M211" s="4">
        <v>1.06E+16</v>
      </c>
      <c r="N211" s="4">
        <v>1.18E+16</v>
      </c>
      <c r="O211">
        <v>117.71</v>
      </c>
      <c r="P211">
        <v>0.71199727300000004</v>
      </c>
      <c r="Q211">
        <v>0.28800272700000001</v>
      </c>
      <c r="R211">
        <v>44.458790059999998</v>
      </c>
      <c r="S211">
        <v>17.983569939999999</v>
      </c>
      <c r="X211">
        <v>1</v>
      </c>
      <c r="Y211">
        <v>0</v>
      </c>
      <c r="Z211">
        <v>83</v>
      </c>
      <c r="AA211" t="s">
        <v>24</v>
      </c>
      <c r="AB211">
        <v>988</v>
      </c>
      <c r="AD211">
        <v>13.6364</v>
      </c>
      <c r="AE211">
        <v>51.158700000000003</v>
      </c>
      <c r="AF211">
        <v>21.003299999999999</v>
      </c>
      <c r="AG211">
        <v>71.578500000000005</v>
      </c>
      <c r="AI211">
        <v>480</v>
      </c>
      <c r="AK211">
        <v>92.837599999999995</v>
      </c>
      <c r="AL211">
        <v>40.802300000000002</v>
      </c>
      <c r="AM211">
        <v>52</v>
      </c>
    </row>
    <row r="212" spans="1:39" x14ac:dyDescent="0.2">
      <c r="A212">
        <v>211</v>
      </c>
      <c r="B212" t="s">
        <v>4</v>
      </c>
      <c r="C212">
        <v>3</v>
      </c>
      <c r="D212" t="s">
        <v>19</v>
      </c>
      <c r="E212">
        <v>8</v>
      </c>
      <c r="F212">
        <v>0.9</v>
      </c>
      <c r="G212">
        <v>500</v>
      </c>
      <c r="H212">
        <v>14.4</v>
      </c>
      <c r="I212">
        <v>17.05</v>
      </c>
      <c r="J212">
        <v>85</v>
      </c>
      <c r="K212">
        <v>0.844540768</v>
      </c>
      <c r="L212" s="4">
        <v>1420000000000000</v>
      </c>
      <c r="M212" s="4">
        <v>2640000000000000</v>
      </c>
      <c r="N212" s="4">
        <v>4060000000000000</v>
      </c>
      <c r="O212">
        <v>40.395299999999999</v>
      </c>
      <c r="P212">
        <v>0.87863843900000005</v>
      </c>
      <c r="Q212">
        <v>0.12136156100000001</v>
      </c>
      <c r="R212">
        <v>15.74124344</v>
      </c>
      <c r="S212">
        <v>2.1742525590000001</v>
      </c>
      <c r="X212">
        <v>0</v>
      </c>
      <c r="Y212">
        <v>1</v>
      </c>
      <c r="Z212">
        <v>82.7</v>
      </c>
      <c r="AA212" t="s">
        <v>24</v>
      </c>
      <c r="AB212">
        <v>974</v>
      </c>
      <c r="AD212">
        <v>14.601699999999999</v>
      </c>
      <c r="AE212">
        <v>60.874600000000001</v>
      </c>
      <c r="AF212">
        <v>14.3177</v>
      </c>
      <c r="AG212">
        <v>60.8093</v>
      </c>
      <c r="AI212">
        <v>360</v>
      </c>
      <c r="AK212">
        <v>22.137499999999999</v>
      </c>
      <c r="AL212">
        <v>7.2079199999999997</v>
      </c>
      <c r="AM212">
        <v>14.9</v>
      </c>
    </row>
    <row r="213" spans="1:39" x14ac:dyDescent="0.2">
      <c r="A213">
        <v>212</v>
      </c>
      <c r="B213" t="s">
        <v>1</v>
      </c>
      <c r="C213">
        <v>3</v>
      </c>
      <c r="D213" t="s">
        <v>8</v>
      </c>
      <c r="E213">
        <v>17.600000000000001</v>
      </c>
      <c r="F213">
        <v>0.93</v>
      </c>
      <c r="G213">
        <v>383</v>
      </c>
      <c r="H213">
        <v>13.69</v>
      </c>
      <c r="I213" t="s">
        <v>24</v>
      </c>
      <c r="J213">
        <v>85</v>
      </c>
      <c r="K213">
        <v>0.89440883299999996</v>
      </c>
      <c r="L213" s="4">
        <v>535000000000000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  <c r="X213">
        <v>0</v>
      </c>
      <c r="Y213">
        <v>1</v>
      </c>
      <c r="Z213" t="s">
        <v>24</v>
      </c>
      <c r="AA213" t="s">
        <v>24</v>
      </c>
      <c r="AB213" t="s">
        <v>24</v>
      </c>
      <c r="AD213" t="s">
        <v>24</v>
      </c>
      <c r="AE213" t="s">
        <v>24</v>
      </c>
      <c r="AF213" t="s">
        <v>24</v>
      </c>
      <c r="AG213" t="s">
        <v>24</v>
      </c>
      <c r="AI213">
        <v>26</v>
      </c>
      <c r="AK213" t="s">
        <v>24</v>
      </c>
      <c r="AL213" t="s">
        <v>24</v>
      </c>
      <c r="AM213" t="s">
        <v>24</v>
      </c>
    </row>
    <row r="214" spans="1:39" x14ac:dyDescent="0.2">
      <c r="A214">
        <v>213</v>
      </c>
      <c r="B214" t="s">
        <v>1</v>
      </c>
      <c r="C214">
        <v>3</v>
      </c>
      <c r="D214" t="s">
        <v>8</v>
      </c>
      <c r="E214">
        <v>17.600000000000001</v>
      </c>
      <c r="F214">
        <v>0.93</v>
      </c>
      <c r="G214">
        <v>383</v>
      </c>
      <c r="H214">
        <v>13.69</v>
      </c>
      <c r="I214">
        <v>33</v>
      </c>
      <c r="J214">
        <v>85</v>
      </c>
      <c r="K214">
        <v>0.89440883299999996</v>
      </c>
      <c r="L214" s="4">
        <v>276000000000000</v>
      </c>
      <c r="M214" s="4">
        <v>4080000000000000</v>
      </c>
      <c r="N214" s="4">
        <v>4360000000000000</v>
      </c>
      <c r="O214">
        <v>78.900000000000006</v>
      </c>
      <c r="P214" t="s">
        <v>24</v>
      </c>
      <c r="Q214" t="s">
        <v>24</v>
      </c>
      <c r="R214" t="s">
        <v>24</v>
      </c>
      <c r="S214" t="s">
        <v>24</v>
      </c>
      <c r="X214">
        <v>0</v>
      </c>
      <c r="Y214">
        <v>1</v>
      </c>
      <c r="Z214">
        <v>86</v>
      </c>
      <c r="AA214">
        <v>97</v>
      </c>
      <c r="AB214">
        <v>1039</v>
      </c>
      <c r="AD214">
        <v>19.113489999999999</v>
      </c>
      <c r="AE214">
        <v>75.427859999999995</v>
      </c>
      <c r="AF214">
        <v>18.760680000000001</v>
      </c>
      <c r="AG214">
        <v>81.517169999999993</v>
      </c>
      <c r="AI214">
        <v>53</v>
      </c>
      <c r="AK214">
        <v>198.4</v>
      </c>
      <c r="AL214">
        <v>155.69999999999999</v>
      </c>
      <c r="AM214">
        <v>42.7</v>
      </c>
    </row>
    <row r="215" spans="1:39" x14ac:dyDescent="0.2">
      <c r="A215">
        <v>214</v>
      </c>
      <c r="B215" t="s">
        <v>1</v>
      </c>
      <c r="C215">
        <v>3</v>
      </c>
      <c r="D215" t="s">
        <v>8</v>
      </c>
      <c r="E215">
        <v>17.600000000000001</v>
      </c>
      <c r="F215">
        <v>0.93</v>
      </c>
      <c r="G215">
        <v>383</v>
      </c>
      <c r="H215">
        <v>13.69</v>
      </c>
      <c r="I215">
        <v>24</v>
      </c>
      <c r="J215">
        <v>85</v>
      </c>
      <c r="K215">
        <v>0.89440883299999996</v>
      </c>
      <c r="L215" s="4">
        <v>465000000000000</v>
      </c>
      <c r="M215" s="4">
        <v>6900000000000000</v>
      </c>
      <c r="N215" s="4">
        <v>7360000000000000</v>
      </c>
      <c r="O215">
        <v>128.69999999999999</v>
      </c>
      <c r="P215" t="s">
        <v>24</v>
      </c>
      <c r="Q215" t="s">
        <v>24</v>
      </c>
      <c r="R215" t="s">
        <v>24</v>
      </c>
      <c r="S215" t="s">
        <v>24</v>
      </c>
      <c r="X215">
        <v>0</v>
      </c>
      <c r="Y215">
        <v>1</v>
      </c>
      <c r="Z215">
        <v>86</v>
      </c>
      <c r="AA215">
        <v>98</v>
      </c>
      <c r="AB215">
        <v>1044</v>
      </c>
      <c r="AD215">
        <v>13.617175</v>
      </c>
      <c r="AE215">
        <v>67.559635</v>
      </c>
      <c r="AF215">
        <v>22.520534999999999</v>
      </c>
      <c r="AG215">
        <v>77.481425000000002</v>
      </c>
      <c r="AI215">
        <v>73</v>
      </c>
      <c r="AK215">
        <v>268.5</v>
      </c>
      <c r="AL215">
        <v>158.1</v>
      </c>
      <c r="AM215">
        <v>110.4</v>
      </c>
    </row>
    <row r="216" spans="1:39" x14ac:dyDescent="0.2">
      <c r="A216">
        <v>215</v>
      </c>
      <c r="B216" t="s">
        <v>1</v>
      </c>
      <c r="C216">
        <v>3</v>
      </c>
      <c r="D216" t="s">
        <v>8</v>
      </c>
      <c r="E216">
        <v>17.600000000000001</v>
      </c>
      <c r="F216">
        <v>0.93</v>
      </c>
      <c r="G216">
        <v>383</v>
      </c>
      <c r="H216">
        <v>13.69</v>
      </c>
      <c r="I216">
        <v>33</v>
      </c>
      <c r="J216">
        <v>85</v>
      </c>
      <c r="K216">
        <v>0.89440883299999996</v>
      </c>
      <c r="L216" s="4">
        <v>374000000000000</v>
      </c>
      <c r="M216" s="4">
        <v>2340000000000000</v>
      </c>
      <c r="N216" s="4">
        <v>2710000000000000</v>
      </c>
      <c r="O216">
        <v>95.7</v>
      </c>
      <c r="P216">
        <v>0.73</v>
      </c>
      <c r="Q216">
        <v>0.27</v>
      </c>
      <c r="R216">
        <v>54.296312669999999</v>
      </c>
      <c r="S216">
        <v>20.130861360000001</v>
      </c>
      <c r="X216">
        <v>0</v>
      </c>
      <c r="Y216">
        <v>1</v>
      </c>
      <c r="Z216">
        <v>86</v>
      </c>
      <c r="AA216">
        <v>97</v>
      </c>
      <c r="AB216">
        <v>1038</v>
      </c>
      <c r="AD216">
        <v>19.353455</v>
      </c>
      <c r="AE216">
        <v>74.207445000000007</v>
      </c>
      <c r="AF216">
        <v>24.753025000000001</v>
      </c>
      <c r="AG216">
        <v>76.565640000000002</v>
      </c>
      <c r="AI216">
        <v>129</v>
      </c>
      <c r="AK216">
        <v>185.7</v>
      </c>
      <c r="AL216">
        <v>123.6</v>
      </c>
      <c r="AM216">
        <v>62</v>
      </c>
    </row>
    <row r="217" spans="1:39" x14ac:dyDescent="0.2">
      <c r="A217">
        <v>216</v>
      </c>
      <c r="B217" t="s">
        <v>1</v>
      </c>
      <c r="C217">
        <v>3</v>
      </c>
      <c r="D217" t="s">
        <v>8</v>
      </c>
      <c r="E217">
        <v>17.600000000000001</v>
      </c>
      <c r="F217">
        <v>0.93</v>
      </c>
      <c r="G217">
        <v>383</v>
      </c>
      <c r="H217">
        <v>13.69</v>
      </c>
      <c r="I217">
        <v>23</v>
      </c>
      <c r="J217">
        <v>85</v>
      </c>
      <c r="K217">
        <v>0.89440883299999996</v>
      </c>
      <c r="L217" s="4">
        <v>425000000000000</v>
      </c>
      <c r="M217" s="4">
        <v>9710000000000000</v>
      </c>
      <c r="N217" s="4">
        <v>1.01E+16</v>
      </c>
      <c r="O217">
        <v>31.7</v>
      </c>
      <c r="P217" t="s">
        <v>24</v>
      </c>
      <c r="Q217" t="s">
        <v>24</v>
      </c>
      <c r="R217" t="s">
        <v>24</v>
      </c>
      <c r="S217" t="s">
        <v>24</v>
      </c>
      <c r="X217">
        <v>0</v>
      </c>
      <c r="Y217">
        <v>1</v>
      </c>
      <c r="Z217">
        <v>86</v>
      </c>
      <c r="AA217">
        <v>97</v>
      </c>
      <c r="AB217">
        <v>1011</v>
      </c>
      <c r="AD217">
        <v>12.5175</v>
      </c>
      <c r="AE217">
        <v>56.94023</v>
      </c>
      <c r="AF217">
        <v>29.433949999999999</v>
      </c>
      <c r="AG217">
        <v>76.636160000000004</v>
      </c>
      <c r="AI217">
        <v>61</v>
      </c>
      <c r="AK217">
        <v>173.8</v>
      </c>
      <c r="AL217">
        <v>128</v>
      </c>
      <c r="AM217">
        <v>45.8</v>
      </c>
    </row>
    <row r="218" spans="1:39" x14ac:dyDescent="0.2">
      <c r="A218">
        <v>217</v>
      </c>
      <c r="B218" t="s">
        <v>1</v>
      </c>
      <c r="C218">
        <v>3</v>
      </c>
      <c r="D218" t="s">
        <v>9</v>
      </c>
      <c r="E218">
        <v>17.3</v>
      </c>
      <c r="F218">
        <v>1.31</v>
      </c>
      <c r="G218">
        <v>1595</v>
      </c>
      <c r="H218">
        <v>13.67</v>
      </c>
      <c r="I218">
        <v>34</v>
      </c>
      <c r="J218">
        <v>85</v>
      </c>
      <c r="K218">
        <v>0.89440883299999996</v>
      </c>
      <c r="L218" s="4">
        <v>482000000000000</v>
      </c>
      <c r="M218" s="4">
        <v>5140000000000000</v>
      </c>
      <c r="N218" s="4">
        <v>5620000000000000</v>
      </c>
      <c r="O218">
        <v>102.7</v>
      </c>
      <c r="P218">
        <v>0.55700000000000005</v>
      </c>
      <c r="Q218">
        <v>0.443</v>
      </c>
      <c r="R218">
        <v>53.939990010000002</v>
      </c>
      <c r="S218">
        <v>42.872179010000004</v>
      </c>
      <c r="X218">
        <v>0</v>
      </c>
      <c r="Y218">
        <v>1</v>
      </c>
      <c r="Z218">
        <v>86</v>
      </c>
      <c r="AA218">
        <v>97</v>
      </c>
      <c r="AB218">
        <v>1050</v>
      </c>
      <c r="AD218">
        <v>15.246536669999999</v>
      </c>
      <c r="AE218">
        <v>67.263196669999999</v>
      </c>
      <c r="AF218">
        <v>21.585486670000002</v>
      </c>
      <c r="AG218">
        <v>76.675799999999995</v>
      </c>
      <c r="AI218">
        <v>130</v>
      </c>
      <c r="AK218">
        <v>214.8</v>
      </c>
      <c r="AL218">
        <v>134.1</v>
      </c>
      <c r="AM218">
        <v>80.7</v>
      </c>
    </row>
    <row r="219" spans="1:39" x14ac:dyDescent="0.2">
      <c r="A219">
        <v>218</v>
      </c>
      <c r="B219" t="s">
        <v>1</v>
      </c>
      <c r="C219">
        <v>3</v>
      </c>
      <c r="D219" t="s">
        <v>9</v>
      </c>
      <c r="E219">
        <v>17.3</v>
      </c>
      <c r="F219">
        <v>1.31</v>
      </c>
      <c r="G219">
        <v>1595</v>
      </c>
      <c r="H219">
        <v>13.67</v>
      </c>
      <c r="I219">
        <v>25</v>
      </c>
      <c r="J219">
        <v>85</v>
      </c>
      <c r="K219">
        <v>0.89440883299999996</v>
      </c>
      <c r="L219" s="4">
        <v>678000000000000</v>
      </c>
      <c r="M219" s="4">
        <v>2.01E+16</v>
      </c>
      <c r="N219" s="4">
        <v>2.07E+16</v>
      </c>
      <c r="O219">
        <v>109.3</v>
      </c>
      <c r="P219">
        <v>0.58799999999999997</v>
      </c>
      <c r="Q219">
        <v>0.41199999999999998</v>
      </c>
      <c r="R219">
        <v>74.861356509999993</v>
      </c>
      <c r="S219">
        <v>52.416656119999999</v>
      </c>
      <c r="X219">
        <v>0</v>
      </c>
      <c r="Y219">
        <v>1</v>
      </c>
      <c r="Z219">
        <v>86</v>
      </c>
      <c r="AA219">
        <v>98</v>
      </c>
      <c r="AB219">
        <v>1022</v>
      </c>
      <c r="AD219">
        <v>13.491044670000001</v>
      </c>
      <c r="AE219">
        <v>43.481606669999998</v>
      </c>
      <c r="AF219">
        <v>15.16128333</v>
      </c>
      <c r="AG219">
        <v>70.55986</v>
      </c>
      <c r="AI219">
        <v>98</v>
      </c>
      <c r="AK219">
        <v>220.7</v>
      </c>
      <c r="AL219">
        <v>114.6</v>
      </c>
      <c r="AM219">
        <v>106.1</v>
      </c>
    </row>
    <row r="220" spans="1:39" x14ac:dyDescent="0.2">
      <c r="A220">
        <v>219</v>
      </c>
      <c r="B220" t="s">
        <v>1</v>
      </c>
      <c r="C220">
        <v>3</v>
      </c>
      <c r="D220" t="s">
        <v>10</v>
      </c>
      <c r="E220">
        <v>21.8</v>
      </c>
      <c r="F220">
        <v>1.34</v>
      </c>
      <c r="G220">
        <v>530</v>
      </c>
      <c r="H220">
        <v>13.7</v>
      </c>
      <c r="I220">
        <v>29</v>
      </c>
      <c r="J220">
        <v>85</v>
      </c>
      <c r="K220">
        <v>0.89440883299999996</v>
      </c>
      <c r="L220" s="4">
        <v>391000000000000</v>
      </c>
      <c r="M220" s="4">
        <v>7260000000000000</v>
      </c>
      <c r="N220" s="4">
        <v>7650000000000000</v>
      </c>
      <c r="O220">
        <v>115.3</v>
      </c>
      <c r="P220">
        <v>0.69199999999999995</v>
      </c>
      <c r="Q220">
        <v>0.308</v>
      </c>
      <c r="R220">
        <v>49.831866949999998</v>
      </c>
      <c r="S220">
        <v>22.209234210000002</v>
      </c>
      <c r="X220">
        <v>0</v>
      </c>
      <c r="Y220">
        <v>1</v>
      </c>
      <c r="Z220">
        <v>86</v>
      </c>
      <c r="AA220">
        <v>98</v>
      </c>
      <c r="AB220">
        <v>1049</v>
      </c>
      <c r="AD220">
        <v>12.595935000000001</v>
      </c>
      <c r="AE220">
        <v>70.477279999999993</v>
      </c>
      <c r="AF220">
        <v>23.515170000000001</v>
      </c>
      <c r="AG220">
        <v>76.915914999999998</v>
      </c>
      <c r="AI220">
        <v>102</v>
      </c>
      <c r="AK220">
        <v>194</v>
      </c>
      <c r="AL220">
        <v>134</v>
      </c>
      <c r="AM220">
        <v>60</v>
      </c>
    </row>
    <row r="221" spans="1:39" x14ac:dyDescent="0.2">
      <c r="A221">
        <v>220</v>
      </c>
      <c r="B221" t="s">
        <v>1</v>
      </c>
      <c r="C221">
        <v>3</v>
      </c>
      <c r="D221" t="s">
        <v>10</v>
      </c>
      <c r="E221">
        <v>21.8</v>
      </c>
      <c r="F221">
        <v>1.34</v>
      </c>
      <c r="G221">
        <v>530</v>
      </c>
      <c r="H221">
        <v>13.7</v>
      </c>
      <c r="I221">
        <v>22</v>
      </c>
      <c r="J221">
        <v>85</v>
      </c>
      <c r="K221">
        <v>0.89440883299999996</v>
      </c>
      <c r="L221" s="4">
        <v>970000000000000</v>
      </c>
      <c r="M221" s="4">
        <v>1.29E+16</v>
      </c>
      <c r="N221" s="4">
        <v>1.39E+16</v>
      </c>
      <c r="O221">
        <v>152.9</v>
      </c>
      <c r="P221">
        <v>0.77800000000000002</v>
      </c>
      <c r="Q221">
        <v>0.222</v>
      </c>
      <c r="R221">
        <v>86.558847409999998</v>
      </c>
      <c r="S221">
        <v>24.645689600000001</v>
      </c>
      <c r="X221">
        <v>0</v>
      </c>
      <c r="Y221">
        <v>1</v>
      </c>
      <c r="Z221">
        <v>86</v>
      </c>
      <c r="AA221">
        <v>95</v>
      </c>
      <c r="AB221">
        <v>1024</v>
      </c>
      <c r="AD221">
        <v>14.161110000000001</v>
      </c>
      <c r="AE221">
        <v>65.711375000000004</v>
      </c>
      <c r="AF221">
        <v>19.517914999999999</v>
      </c>
      <c r="AG221">
        <v>77.726500000000001</v>
      </c>
      <c r="AI221">
        <v>104</v>
      </c>
      <c r="AK221">
        <v>275.2</v>
      </c>
      <c r="AL221">
        <v>182.6</v>
      </c>
      <c r="AM221">
        <v>92.7</v>
      </c>
    </row>
    <row r="222" spans="1:39" x14ac:dyDescent="0.2">
      <c r="A222">
        <v>221</v>
      </c>
      <c r="B222" t="s">
        <v>1</v>
      </c>
      <c r="C222">
        <v>3</v>
      </c>
      <c r="D222" t="s">
        <v>9</v>
      </c>
      <c r="E222">
        <v>17.3</v>
      </c>
      <c r="F222">
        <v>1.31</v>
      </c>
      <c r="G222">
        <v>1595</v>
      </c>
      <c r="H222">
        <v>13.67</v>
      </c>
      <c r="I222">
        <v>24</v>
      </c>
      <c r="J222">
        <v>85</v>
      </c>
      <c r="K222">
        <v>0.89440883299999996</v>
      </c>
      <c r="L222" s="4">
        <v>388000000000000</v>
      </c>
      <c r="M222" s="4">
        <v>2.05E+16</v>
      </c>
      <c r="N222" s="4">
        <v>2.09E+16</v>
      </c>
      <c r="O222">
        <v>108.2</v>
      </c>
      <c r="P222" t="s">
        <v>24</v>
      </c>
      <c r="Q222" t="s">
        <v>24</v>
      </c>
      <c r="R222" t="s">
        <v>24</v>
      </c>
      <c r="S222" t="s">
        <v>24</v>
      </c>
      <c r="X222">
        <v>0</v>
      </c>
      <c r="Y222">
        <v>1</v>
      </c>
      <c r="Z222">
        <v>86</v>
      </c>
      <c r="AA222">
        <v>98</v>
      </c>
      <c r="AB222">
        <v>1072</v>
      </c>
      <c r="AD222">
        <v>14.44727</v>
      </c>
      <c r="AE222">
        <v>53.77084</v>
      </c>
      <c r="AF222">
        <v>30.862670000000001</v>
      </c>
      <c r="AG222">
        <v>82.960710000000006</v>
      </c>
      <c r="AI222">
        <v>70</v>
      </c>
      <c r="AK222">
        <v>308.7</v>
      </c>
      <c r="AL222">
        <v>172.5</v>
      </c>
      <c r="AM222">
        <v>136.19999999999999</v>
      </c>
    </row>
    <row r="223" spans="1:39" x14ac:dyDescent="0.2">
      <c r="A223">
        <v>222</v>
      </c>
      <c r="B223" t="s">
        <v>2</v>
      </c>
      <c r="C223">
        <v>3</v>
      </c>
      <c r="D223" t="s">
        <v>8</v>
      </c>
      <c r="E223">
        <v>18.600000000000001</v>
      </c>
      <c r="F223">
        <v>1.6</v>
      </c>
      <c r="G223">
        <v>1148</v>
      </c>
      <c r="H223">
        <v>13.6</v>
      </c>
      <c r="I223">
        <v>6</v>
      </c>
      <c r="J223">
        <v>85</v>
      </c>
      <c r="K223">
        <v>0.89440883299999996</v>
      </c>
      <c r="L223" s="4">
        <v>580000000000000</v>
      </c>
      <c r="M223" s="4">
        <v>1.46E+16</v>
      </c>
      <c r="N223" s="4">
        <v>1.51E+16</v>
      </c>
      <c r="O223">
        <v>86.3</v>
      </c>
      <c r="P223" t="s">
        <v>24</v>
      </c>
      <c r="Q223" t="s">
        <v>24</v>
      </c>
      <c r="R223" t="s">
        <v>24</v>
      </c>
      <c r="S223" t="s">
        <v>24</v>
      </c>
      <c r="X223">
        <v>0</v>
      </c>
      <c r="Y223">
        <v>1</v>
      </c>
      <c r="Z223">
        <v>87.4</v>
      </c>
      <c r="AA223">
        <v>96</v>
      </c>
      <c r="AB223">
        <v>999</v>
      </c>
      <c r="AD223">
        <v>12.907299999999999</v>
      </c>
      <c r="AE223">
        <v>59.921900000000001</v>
      </c>
      <c r="AF223">
        <v>23.059000000000001</v>
      </c>
      <c r="AG223">
        <v>104.922</v>
      </c>
      <c r="AI223">
        <v>120</v>
      </c>
      <c r="AK223">
        <v>139.69999999999999</v>
      </c>
      <c r="AL223">
        <v>76.900000000000006</v>
      </c>
      <c r="AM223">
        <v>62.8</v>
      </c>
    </row>
    <row r="224" spans="1:39" x14ac:dyDescent="0.2">
      <c r="A224">
        <v>223</v>
      </c>
      <c r="B224" t="s">
        <v>2</v>
      </c>
      <c r="C224">
        <v>3</v>
      </c>
      <c r="D224" t="s">
        <v>8</v>
      </c>
      <c r="E224">
        <v>18.600000000000001</v>
      </c>
      <c r="F224">
        <v>1.6</v>
      </c>
      <c r="G224">
        <v>1148</v>
      </c>
      <c r="H224">
        <v>13.6</v>
      </c>
      <c r="I224">
        <v>9.9</v>
      </c>
      <c r="J224">
        <v>85</v>
      </c>
      <c r="K224">
        <v>0.89440883299999996</v>
      </c>
      <c r="L224" s="4">
        <v>1250000000000000</v>
      </c>
      <c r="M224" s="4">
        <v>1.62E+16</v>
      </c>
      <c r="N224" s="4">
        <v>1.74E+16</v>
      </c>
      <c r="O224">
        <v>246.4</v>
      </c>
      <c r="P224">
        <v>0.55200000000000005</v>
      </c>
      <c r="Q224">
        <v>0.44800000000000001</v>
      </c>
      <c r="R224">
        <v>86.144998009999995</v>
      </c>
      <c r="S224">
        <v>69.844201990000002</v>
      </c>
      <c r="X224">
        <v>0</v>
      </c>
      <c r="Y224">
        <v>1</v>
      </c>
      <c r="Z224">
        <v>87.7</v>
      </c>
      <c r="AA224">
        <v>97</v>
      </c>
      <c r="AB224">
        <v>1052</v>
      </c>
      <c r="AD224">
        <v>14.2157</v>
      </c>
      <c r="AE224">
        <v>76.125600000000006</v>
      </c>
      <c r="AF224">
        <v>31.766999999999999</v>
      </c>
      <c r="AG224">
        <v>104.548</v>
      </c>
      <c r="AI224">
        <v>132</v>
      </c>
      <c r="AK224">
        <v>289.39999999999998</v>
      </c>
      <c r="AL224">
        <v>159.4</v>
      </c>
      <c r="AM224">
        <v>130</v>
      </c>
    </row>
    <row r="225" spans="1:39" x14ac:dyDescent="0.2">
      <c r="A225">
        <v>224</v>
      </c>
      <c r="B225" t="s">
        <v>2</v>
      </c>
      <c r="C225">
        <v>3</v>
      </c>
      <c r="D225" t="s">
        <v>8</v>
      </c>
      <c r="E225">
        <v>18.600000000000001</v>
      </c>
      <c r="F225">
        <v>1.6</v>
      </c>
      <c r="G225">
        <v>1148</v>
      </c>
      <c r="H225">
        <v>13.6</v>
      </c>
      <c r="I225">
        <v>0.9</v>
      </c>
      <c r="J225">
        <v>85</v>
      </c>
      <c r="K225">
        <v>0.89440883299999996</v>
      </c>
      <c r="L225" s="4">
        <v>5000000000000000</v>
      </c>
      <c r="M225" s="4">
        <v>1.79E+16</v>
      </c>
      <c r="N225" s="4">
        <v>2.29E+16</v>
      </c>
      <c r="O225">
        <v>202.3</v>
      </c>
      <c r="P225">
        <v>0.70299999999999996</v>
      </c>
      <c r="Q225">
        <v>0.29699999999999999</v>
      </c>
      <c r="R225">
        <v>25.538075790000001</v>
      </c>
      <c r="S225">
        <v>10.808724209999999</v>
      </c>
      <c r="X225">
        <v>0</v>
      </c>
      <c r="Y225">
        <v>1</v>
      </c>
      <c r="Z225">
        <v>86.5</v>
      </c>
      <c r="AA225">
        <v>92</v>
      </c>
      <c r="AB225">
        <v>996</v>
      </c>
      <c r="AD225">
        <v>14.7484</v>
      </c>
      <c r="AE225">
        <v>69.038899999999998</v>
      </c>
      <c r="AF225">
        <v>14.5932</v>
      </c>
      <c r="AG225">
        <v>81.914900000000003</v>
      </c>
      <c r="AI225">
        <v>118</v>
      </c>
      <c r="AK225">
        <v>295.39999999999998</v>
      </c>
      <c r="AL225">
        <v>265.10000000000002</v>
      </c>
      <c r="AM225">
        <v>30.3</v>
      </c>
    </row>
    <row r="226" spans="1:39" x14ac:dyDescent="0.2">
      <c r="A226">
        <v>225</v>
      </c>
      <c r="B226" t="s">
        <v>2</v>
      </c>
      <c r="C226">
        <v>3</v>
      </c>
      <c r="D226" t="s">
        <v>12</v>
      </c>
      <c r="E226">
        <v>0</v>
      </c>
      <c r="F226">
        <v>0</v>
      </c>
      <c r="G226">
        <v>19</v>
      </c>
      <c r="H226">
        <v>15.5</v>
      </c>
      <c r="I226">
        <v>14.7</v>
      </c>
      <c r="J226">
        <v>85</v>
      </c>
      <c r="K226">
        <v>0.89440883299999996</v>
      </c>
      <c r="L226" s="4">
        <v>447000000000000</v>
      </c>
      <c r="M226" s="4">
        <v>608000000000000</v>
      </c>
      <c r="N226" s="4">
        <v>1060000000000000</v>
      </c>
      <c r="O226">
        <v>49.6</v>
      </c>
      <c r="P226">
        <v>0.92200000000000004</v>
      </c>
      <c r="Q226">
        <v>7.8E-2</v>
      </c>
      <c r="R226">
        <v>15.721884210000001</v>
      </c>
      <c r="S226">
        <v>1.333835791</v>
      </c>
      <c r="X226">
        <v>0</v>
      </c>
      <c r="Y226">
        <v>1</v>
      </c>
      <c r="Z226">
        <v>87.1</v>
      </c>
      <c r="AA226">
        <v>95</v>
      </c>
      <c r="AB226">
        <v>1052</v>
      </c>
      <c r="AD226">
        <v>28.361899999999999</v>
      </c>
      <c r="AE226">
        <v>70.740200000000002</v>
      </c>
      <c r="AF226">
        <v>30.080400000000001</v>
      </c>
      <c r="AG226">
        <v>74.405500000000004</v>
      </c>
      <c r="AI226">
        <v>120</v>
      </c>
      <c r="AK226">
        <v>45.4</v>
      </c>
      <c r="AL226">
        <v>31.2</v>
      </c>
      <c r="AM226">
        <v>14.2</v>
      </c>
    </row>
    <row r="227" spans="1:39" x14ac:dyDescent="0.2">
      <c r="A227">
        <v>226</v>
      </c>
      <c r="B227" t="s">
        <v>2</v>
      </c>
      <c r="C227">
        <v>3</v>
      </c>
      <c r="D227" t="s">
        <v>12</v>
      </c>
      <c r="E227">
        <v>0</v>
      </c>
      <c r="F227">
        <v>0</v>
      </c>
      <c r="G227">
        <v>19</v>
      </c>
      <c r="H227">
        <v>15.5</v>
      </c>
      <c r="I227">
        <v>2.1</v>
      </c>
      <c r="J227">
        <v>85</v>
      </c>
      <c r="K227">
        <v>0.89440883299999996</v>
      </c>
      <c r="L227" s="4">
        <v>497000000000000</v>
      </c>
      <c r="M227" s="4">
        <v>822000000000000</v>
      </c>
      <c r="N227" s="4">
        <v>1320000000000000</v>
      </c>
      <c r="O227">
        <v>52.4</v>
      </c>
      <c r="P227">
        <v>0.874</v>
      </c>
      <c r="Q227">
        <v>0.126</v>
      </c>
      <c r="R227">
        <v>16.648444810000001</v>
      </c>
      <c r="S227">
        <v>2.3973551940000002</v>
      </c>
      <c r="X227">
        <v>0</v>
      </c>
      <c r="Y227">
        <v>1</v>
      </c>
      <c r="Z227">
        <v>87.5</v>
      </c>
      <c r="AA227">
        <v>95</v>
      </c>
      <c r="AB227">
        <v>1017</v>
      </c>
      <c r="AD227">
        <v>25.963100000000001</v>
      </c>
      <c r="AE227">
        <v>67.159000000000006</v>
      </c>
      <c r="AF227">
        <v>28.6235</v>
      </c>
      <c r="AG227">
        <v>70.916499999999999</v>
      </c>
      <c r="AI227">
        <v>120</v>
      </c>
      <c r="AK227">
        <v>46.3</v>
      </c>
      <c r="AL227">
        <v>30.4</v>
      </c>
      <c r="AM227">
        <v>15.9</v>
      </c>
    </row>
    <row r="228" spans="1:39" x14ac:dyDescent="0.2">
      <c r="A228">
        <v>227</v>
      </c>
      <c r="B228" t="s">
        <v>2</v>
      </c>
      <c r="C228">
        <v>3</v>
      </c>
      <c r="D228" t="s">
        <v>14</v>
      </c>
      <c r="E228">
        <v>8</v>
      </c>
      <c r="F228">
        <v>0.8</v>
      </c>
      <c r="G228">
        <v>699</v>
      </c>
      <c r="H228">
        <v>14.5</v>
      </c>
      <c r="I228">
        <v>7.4</v>
      </c>
      <c r="J228">
        <v>85</v>
      </c>
      <c r="K228">
        <v>0.89440883299999996</v>
      </c>
      <c r="L228" s="4">
        <v>871000000000000</v>
      </c>
      <c r="M228" s="4">
        <v>9440000000000000</v>
      </c>
      <c r="N228" s="4">
        <v>1.03E+16</v>
      </c>
      <c r="O228">
        <v>115.4</v>
      </c>
      <c r="P228" t="s">
        <v>24</v>
      </c>
      <c r="Q228" t="s">
        <v>24</v>
      </c>
      <c r="R228" t="s">
        <v>24</v>
      </c>
      <c r="S228" t="s">
        <v>24</v>
      </c>
      <c r="X228">
        <v>0</v>
      </c>
      <c r="Y228">
        <v>1</v>
      </c>
      <c r="Z228">
        <v>88.4</v>
      </c>
      <c r="AA228">
        <v>93</v>
      </c>
      <c r="AB228">
        <v>1040</v>
      </c>
      <c r="AD228">
        <v>13.6272</v>
      </c>
      <c r="AE228">
        <v>64.419700000000006</v>
      </c>
      <c r="AF228">
        <v>29.095400000000001</v>
      </c>
      <c r="AG228">
        <v>84.397800000000004</v>
      </c>
      <c r="AI228">
        <v>110</v>
      </c>
      <c r="AK228">
        <v>160.30000000000001</v>
      </c>
      <c r="AL228">
        <v>82.2</v>
      </c>
      <c r="AM228">
        <v>78.2</v>
      </c>
    </row>
    <row r="229" spans="1:39" x14ac:dyDescent="0.2">
      <c r="A229">
        <v>228</v>
      </c>
      <c r="B229" t="s">
        <v>2</v>
      </c>
      <c r="C229">
        <v>3</v>
      </c>
      <c r="D229" t="s">
        <v>11</v>
      </c>
      <c r="E229">
        <v>0.6</v>
      </c>
      <c r="F229">
        <v>0</v>
      </c>
      <c r="G229">
        <v>22</v>
      </c>
      <c r="H229">
        <v>15.1</v>
      </c>
      <c r="I229">
        <v>17.8</v>
      </c>
      <c r="J229">
        <v>85</v>
      </c>
      <c r="K229">
        <v>0.89440883299999996</v>
      </c>
      <c r="L229" s="4">
        <v>584000000000000</v>
      </c>
      <c r="M229" s="4">
        <v>738000000000000</v>
      </c>
      <c r="N229" s="4">
        <v>1320000000000000</v>
      </c>
      <c r="O229">
        <v>81</v>
      </c>
      <c r="P229">
        <v>0.86799999999999999</v>
      </c>
      <c r="Q229">
        <v>0.13200000000000001</v>
      </c>
      <c r="R229">
        <v>29.108799189999999</v>
      </c>
      <c r="S229">
        <v>4.4150008129999998</v>
      </c>
      <c r="X229">
        <v>0</v>
      </c>
      <c r="Y229">
        <v>1</v>
      </c>
      <c r="Z229">
        <v>87.5</v>
      </c>
      <c r="AA229">
        <v>96</v>
      </c>
      <c r="AB229">
        <v>1076</v>
      </c>
      <c r="AD229">
        <v>30.300599999999999</v>
      </c>
      <c r="AE229">
        <v>72.776899999999998</v>
      </c>
      <c r="AF229">
        <v>32.041400000000003</v>
      </c>
      <c r="AG229">
        <v>78.442800000000005</v>
      </c>
      <c r="AI229">
        <v>120</v>
      </c>
      <c r="AK229">
        <v>66.5</v>
      </c>
      <c r="AL229">
        <v>38.5</v>
      </c>
      <c r="AM229">
        <v>27.9</v>
      </c>
    </row>
    <row r="230" spans="1:39" x14ac:dyDescent="0.2">
      <c r="A230">
        <v>229</v>
      </c>
      <c r="B230" t="s">
        <v>2</v>
      </c>
      <c r="C230">
        <v>3</v>
      </c>
      <c r="D230" t="s">
        <v>13</v>
      </c>
      <c r="E230">
        <v>9.1</v>
      </c>
      <c r="F230">
        <v>0.8</v>
      </c>
      <c r="G230">
        <v>658</v>
      </c>
      <c r="H230">
        <v>14.3</v>
      </c>
      <c r="I230">
        <v>11.8</v>
      </c>
      <c r="J230">
        <v>85</v>
      </c>
      <c r="K230">
        <v>0.89440883299999996</v>
      </c>
      <c r="L230" s="4">
        <v>783000000000000</v>
      </c>
      <c r="M230" s="4">
        <v>5980000000000000</v>
      </c>
      <c r="N230" s="4">
        <v>6760000000000000</v>
      </c>
      <c r="O230">
        <v>106.2</v>
      </c>
      <c r="P230" t="s">
        <v>24</v>
      </c>
      <c r="Q230" t="s">
        <v>24</v>
      </c>
      <c r="R230" t="s">
        <v>24</v>
      </c>
      <c r="S230" t="s">
        <v>24</v>
      </c>
      <c r="X230">
        <v>0</v>
      </c>
      <c r="Y230">
        <v>1</v>
      </c>
      <c r="Z230">
        <v>62.9</v>
      </c>
      <c r="AA230">
        <v>86</v>
      </c>
      <c r="AB230">
        <v>802</v>
      </c>
      <c r="AD230">
        <v>12.781000000000001</v>
      </c>
      <c r="AE230">
        <v>63.942799999999998</v>
      </c>
      <c r="AF230">
        <v>28.553000000000001</v>
      </c>
      <c r="AG230">
        <v>83.156599999999997</v>
      </c>
      <c r="AI230">
        <v>110</v>
      </c>
      <c r="AK230">
        <v>114.5</v>
      </c>
      <c r="AL230">
        <v>70.7</v>
      </c>
      <c r="AM230">
        <v>43.8</v>
      </c>
    </row>
    <row r="231" spans="1:39" x14ac:dyDescent="0.2">
      <c r="A231">
        <v>230</v>
      </c>
      <c r="B231" t="s">
        <v>2</v>
      </c>
      <c r="C231">
        <v>3</v>
      </c>
      <c r="D231" t="s">
        <v>8</v>
      </c>
      <c r="E231">
        <v>18.600000000000001</v>
      </c>
      <c r="F231">
        <v>1.6</v>
      </c>
      <c r="G231">
        <v>1148</v>
      </c>
      <c r="H231">
        <v>13.6</v>
      </c>
      <c r="I231">
        <v>19.5</v>
      </c>
      <c r="J231">
        <v>85</v>
      </c>
      <c r="K231">
        <v>0.89440883299999996</v>
      </c>
      <c r="L231" s="4">
        <v>888000000000000</v>
      </c>
      <c r="M231" s="4">
        <v>5490000000000000</v>
      </c>
      <c r="N231" s="4">
        <v>6370000000000000</v>
      </c>
      <c r="O231">
        <v>151.80000000000001</v>
      </c>
      <c r="P231" t="s">
        <v>24</v>
      </c>
      <c r="Q231" t="s">
        <v>24</v>
      </c>
      <c r="R231" t="s">
        <v>24</v>
      </c>
      <c r="S231" t="s">
        <v>24</v>
      </c>
      <c r="X231">
        <v>0</v>
      </c>
      <c r="Y231">
        <v>1</v>
      </c>
      <c r="Z231">
        <v>87.4</v>
      </c>
      <c r="AA231">
        <v>98</v>
      </c>
      <c r="AB231">
        <v>1052</v>
      </c>
      <c r="AD231">
        <v>13.487299999999999</v>
      </c>
      <c r="AE231">
        <v>75.725099999999998</v>
      </c>
      <c r="AF231">
        <v>26.8978</v>
      </c>
      <c r="AG231">
        <v>98.427800000000005</v>
      </c>
      <c r="AI231">
        <v>180</v>
      </c>
      <c r="AK231">
        <v>167</v>
      </c>
      <c r="AL231">
        <v>109.6</v>
      </c>
      <c r="AM231">
        <v>57.4</v>
      </c>
    </row>
    <row r="232" spans="1:39" x14ac:dyDescent="0.2">
      <c r="A232">
        <v>231</v>
      </c>
      <c r="B232" t="s">
        <v>3</v>
      </c>
      <c r="C232">
        <v>3</v>
      </c>
      <c r="D232" t="s">
        <v>8</v>
      </c>
      <c r="E232">
        <v>21.8</v>
      </c>
      <c r="F232">
        <v>1.3</v>
      </c>
      <c r="G232">
        <v>188</v>
      </c>
      <c r="H232">
        <v>13.5</v>
      </c>
      <c r="I232">
        <v>17.2</v>
      </c>
      <c r="J232">
        <v>85</v>
      </c>
      <c r="K232">
        <v>0.89440883299999996</v>
      </c>
      <c r="L232" s="4">
        <v>770000000000000</v>
      </c>
      <c r="M232" s="4">
        <v>1020000000000000</v>
      </c>
      <c r="N232" s="4">
        <v>1790000000000000</v>
      </c>
      <c r="O232">
        <v>159.4</v>
      </c>
      <c r="P232">
        <v>0.83499999999999996</v>
      </c>
      <c r="Q232">
        <v>0.16500000000000001</v>
      </c>
      <c r="R232">
        <v>41.769249879999997</v>
      </c>
      <c r="S232">
        <v>8.2361901179999997</v>
      </c>
      <c r="X232">
        <v>0</v>
      </c>
      <c r="Y232">
        <v>1</v>
      </c>
      <c r="Z232" t="s">
        <v>24</v>
      </c>
      <c r="AA232" t="s">
        <v>24</v>
      </c>
      <c r="AB232" t="s">
        <v>24</v>
      </c>
      <c r="AD232">
        <v>29.697600000000001</v>
      </c>
      <c r="AE232">
        <v>88.861800000000002</v>
      </c>
      <c r="AF232">
        <v>34.255099999999999</v>
      </c>
      <c r="AG232">
        <v>90.863699999999994</v>
      </c>
      <c r="AI232">
        <v>58</v>
      </c>
      <c r="AK232">
        <v>131.30000000000001</v>
      </c>
      <c r="AL232">
        <v>89.7</v>
      </c>
      <c r="AM232">
        <v>41.7</v>
      </c>
    </row>
    <row r="233" spans="1:39" x14ac:dyDescent="0.2">
      <c r="A233">
        <v>232</v>
      </c>
      <c r="B233" t="s">
        <v>3</v>
      </c>
      <c r="C233">
        <v>3</v>
      </c>
      <c r="D233" t="s">
        <v>8</v>
      </c>
      <c r="E233">
        <v>21.8</v>
      </c>
      <c r="F233">
        <v>1.3</v>
      </c>
      <c r="G233">
        <v>188</v>
      </c>
      <c r="H233">
        <v>13.5</v>
      </c>
      <c r="I233">
        <v>17.8</v>
      </c>
      <c r="J233">
        <v>85</v>
      </c>
      <c r="K233">
        <v>0.89440883299999996</v>
      </c>
      <c r="L233" s="4">
        <v>643000000000000</v>
      </c>
      <c r="M233" s="4">
        <v>1060000000000000</v>
      </c>
      <c r="N233" s="4">
        <v>1700000000000000</v>
      </c>
      <c r="O233">
        <v>136</v>
      </c>
      <c r="P233">
        <v>0.78100000000000003</v>
      </c>
      <c r="Q233">
        <v>0.219</v>
      </c>
      <c r="R233">
        <v>36.967096849999997</v>
      </c>
      <c r="S233">
        <v>10.372063150000001</v>
      </c>
      <c r="X233">
        <v>0</v>
      </c>
      <c r="Y233">
        <v>1</v>
      </c>
      <c r="Z233" t="s">
        <v>24</v>
      </c>
      <c r="AA233" t="s">
        <v>24</v>
      </c>
      <c r="AB233" t="s">
        <v>24</v>
      </c>
      <c r="AD233">
        <v>29.003499999999999</v>
      </c>
      <c r="AE233">
        <v>86.896799999999999</v>
      </c>
      <c r="AF233">
        <v>33.357700000000001</v>
      </c>
      <c r="AG233">
        <v>88.243200000000002</v>
      </c>
      <c r="AI233">
        <v>120</v>
      </c>
      <c r="AK233">
        <v>103.8</v>
      </c>
      <c r="AL233">
        <v>64.3</v>
      </c>
      <c r="AM233">
        <v>39.4</v>
      </c>
    </row>
    <row r="234" spans="1:39" x14ac:dyDescent="0.2">
      <c r="A234">
        <v>233</v>
      </c>
      <c r="B234" t="s">
        <v>3</v>
      </c>
      <c r="C234">
        <v>3</v>
      </c>
      <c r="D234" t="s">
        <v>15</v>
      </c>
      <c r="E234">
        <v>0.4</v>
      </c>
      <c r="F234">
        <v>0</v>
      </c>
      <c r="G234">
        <v>6</v>
      </c>
      <c r="H234">
        <v>15.3</v>
      </c>
      <c r="I234">
        <v>10</v>
      </c>
      <c r="J234">
        <v>85</v>
      </c>
      <c r="K234">
        <v>0.89440883299999996</v>
      </c>
      <c r="L234" s="4">
        <v>271000000000000</v>
      </c>
      <c r="M234" s="4">
        <v>568000000000000</v>
      </c>
      <c r="N234" s="4">
        <v>839000000000000</v>
      </c>
      <c r="O234">
        <v>25.5</v>
      </c>
      <c r="P234">
        <v>0.8</v>
      </c>
      <c r="Q234">
        <v>0.2</v>
      </c>
      <c r="R234">
        <v>2.902752</v>
      </c>
      <c r="S234">
        <v>0.725688</v>
      </c>
      <c r="X234">
        <v>0</v>
      </c>
      <c r="Y234">
        <v>1</v>
      </c>
      <c r="Z234" t="s">
        <v>24</v>
      </c>
      <c r="AA234" t="s">
        <v>24</v>
      </c>
      <c r="AB234" t="s">
        <v>24</v>
      </c>
      <c r="AD234">
        <v>24.3645</v>
      </c>
      <c r="AE234">
        <v>68.799400000000006</v>
      </c>
      <c r="AF234">
        <v>26.116199999999999</v>
      </c>
      <c r="AG234">
        <v>80.174499999999995</v>
      </c>
      <c r="AI234">
        <v>120</v>
      </c>
      <c r="AK234">
        <v>14.9</v>
      </c>
      <c r="AL234">
        <v>11.9</v>
      </c>
      <c r="AM234">
        <v>3</v>
      </c>
    </row>
    <row r="235" spans="1:39" x14ac:dyDescent="0.2">
      <c r="A235">
        <v>234</v>
      </c>
      <c r="B235" t="s">
        <v>3</v>
      </c>
      <c r="C235">
        <v>3</v>
      </c>
      <c r="D235" t="s">
        <v>15</v>
      </c>
      <c r="E235">
        <v>0.4</v>
      </c>
      <c r="F235">
        <v>0</v>
      </c>
      <c r="G235">
        <v>6</v>
      </c>
      <c r="H235">
        <v>15.3</v>
      </c>
      <c r="I235">
        <v>17.2</v>
      </c>
      <c r="J235">
        <v>85</v>
      </c>
      <c r="K235">
        <v>0.89440883299999996</v>
      </c>
      <c r="L235" s="4">
        <v>354000000000000</v>
      </c>
      <c r="M235" s="4">
        <v>654000000000000</v>
      </c>
      <c r="N235" s="4">
        <v>1010000000000000</v>
      </c>
      <c r="O235">
        <v>40.799999999999997</v>
      </c>
      <c r="P235">
        <v>0.76400000000000001</v>
      </c>
      <c r="Q235">
        <v>0.23599999999999999</v>
      </c>
      <c r="R235">
        <v>7.9288563779999999</v>
      </c>
      <c r="S235">
        <v>2.452223622</v>
      </c>
      <c r="X235">
        <v>0</v>
      </c>
      <c r="Y235">
        <v>1</v>
      </c>
      <c r="Z235" t="s">
        <v>24</v>
      </c>
      <c r="AA235" t="s">
        <v>24</v>
      </c>
      <c r="AB235" t="s">
        <v>24</v>
      </c>
      <c r="AD235">
        <v>27.4178</v>
      </c>
      <c r="AE235">
        <v>71.770600000000002</v>
      </c>
      <c r="AF235">
        <v>29.566400000000002</v>
      </c>
      <c r="AG235">
        <v>73.283299999999997</v>
      </c>
      <c r="AI235">
        <v>130</v>
      </c>
      <c r="AK235">
        <v>28.4</v>
      </c>
      <c r="AL235">
        <v>19.8</v>
      </c>
      <c r="AM235">
        <v>8.6999999999999993</v>
      </c>
    </row>
    <row r="236" spans="1:39" x14ac:dyDescent="0.2">
      <c r="A236">
        <v>235</v>
      </c>
      <c r="B236" t="s">
        <v>3</v>
      </c>
      <c r="C236">
        <v>3</v>
      </c>
      <c r="D236" t="s">
        <v>15</v>
      </c>
      <c r="E236">
        <v>0.4</v>
      </c>
      <c r="F236">
        <v>0</v>
      </c>
      <c r="G236">
        <v>6</v>
      </c>
      <c r="H236">
        <v>15.3</v>
      </c>
      <c r="I236">
        <v>23.9</v>
      </c>
      <c r="J236">
        <v>85</v>
      </c>
      <c r="K236">
        <v>0.89440883299999996</v>
      </c>
      <c r="L236" s="4">
        <v>324000000000000</v>
      </c>
      <c r="M236" s="4">
        <v>404000000000000</v>
      </c>
      <c r="N236" s="4">
        <v>727000000000000</v>
      </c>
      <c r="O236">
        <v>38.200000000000003</v>
      </c>
      <c r="P236">
        <v>0.82699999999999996</v>
      </c>
      <c r="Q236">
        <v>0.17299999999999999</v>
      </c>
      <c r="R236">
        <v>8.48949</v>
      </c>
      <c r="S236">
        <v>1.7768699999999999</v>
      </c>
      <c r="X236">
        <v>0</v>
      </c>
      <c r="Y236">
        <v>1</v>
      </c>
      <c r="Z236" t="s">
        <v>24</v>
      </c>
      <c r="AA236" t="s">
        <v>24</v>
      </c>
      <c r="AB236" t="s">
        <v>24</v>
      </c>
      <c r="AD236">
        <v>27.648299999999999</v>
      </c>
      <c r="AE236">
        <v>72.073999999999998</v>
      </c>
      <c r="AF236">
        <v>29.222000000000001</v>
      </c>
      <c r="AG236">
        <v>73.318299999999994</v>
      </c>
      <c r="AI236">
        <v>115</v>
      </c>
      <c r="AK236">
        <v>27.4</v>
      </c>
      <c r="AL236">
        <v>18.8</v>
      </c>
      <c r="AM236">
        <v>8.6</v>
      </c>
    </row>
    <row r="237" spans="1:39" x14ac:dyDescent="0.2">
      <c r="A237">
        <v>236</v>
      </c>
      <c r="B237" t="s">
        <v>3</v>
      </c>
      <c r="C237">
        <v>3</v>
      </c>
      <c r="D237" t="s">
        <v>17</v>
      </c>
      <c r="E237">
        <v>1.4</v>
      </c>
      <c r="F237">
        <v>0</v>
      </c>
      <c r="G237">
        <v>4</v>
      </c>
      <c r="H237">
        <v>15</v>
      </c>
      <c r="I237">
        <v>13.3</v>
      </c>
      <c r="J237">
        <v>85</v>
      </c>
      <c r="K237">
        <v>0.89440883299999996</v>
      </c>
      <c r="L237" s="4">
        <v>314000000000000</v>
      </c>
      <c r="M237" s="4">
        <v>346000000000000</v>
      </c>
      <c r="N237" s="4">
        <v>660000000000000</v>
      </c>
      <c r="O237">
        <v>32.700000000000003</v>
      </c>
      <c r="P237">
        <v>0.77900000000000003</v>
      </c>
      <c r="Q237">
        <v>0.221</v>
      </c>
      <c r="R237">
        <v>7.7503348970000001</v>
      </c>
      <c r="S237">
        <v>2.1947851030000001</v>
      </c>
      <c r="X237">
        <v>0</v>
      </c>
      <c r="Y237">
        <v>1</v>
      </c>
      <c r="Z237" t="s">
        <v>24</v>
      </c>
      <c r="AA237" t="s">
        <v>24</v>
      </c>
      <c r="AB237" t="s">
        <v>24</v>
      </c>
      <c r="AD237">
        <v>25.617899999999999</v>
      </c>
      <c r="AE237">
        <v>70.797499999999999</v>
      </c>
      <c r="AF237">
        <v>26.936900000000001</v>
      </c>
      <c r="AG237">
        <v>65.790300000000002</v>
      </c>
      <c r="AI237">
        <v>135</v>
      </c>
      <c r="AK237">
        <v>21.8</v>
      </c>
      <c r="AL237">
        <v>13.5</v>
      </c>
      <c r="AM237">
        <v>8.3000000000000007</v>
      </c>
    </row>
    <row r="238" spans="1:39" x14ac:dyDescent="0.2">
      <c r="A238">
        <v>237</v>
      </c>
      <c r="B238" t="s">
        <v>3</v>
      </c>
      <c r="C238">
        <v>3</v>
      </c>
      <c r="D238" t="s">
        <v>16</v>
      </c>
      <c r="E238">
        <v>2.1</v>
      </c>
      <c r="F238">
        <v>0</v>
      </c>
      <c r="G238">
        <v>1083</v>
      </c>
      <c r="H238">
        <v>15</v>
      </c>
      <c r="I238">
        <v>13.9</v>
      </c>
      <c r="J238">
        <v>85</v>
      </c>
      <c r="K238">
        <v>0.89440883299999996</v>
      </c>
      <c r="L238" s="4">
        <v>332000000000000</v>
      </c>
      <c r="M238" s="4">
        <v>9010000000000000</v>
      </c>
      <c r="N238" s="4">
        <v>9340000000000000</v>
      </c>
      <c r="O238">
        <v>27.6</v>
      </c>
      <c r="P238">
        <v>0.66700000000000004</v>
      </c>
      <c r="Q238">
        <v>0.33300000000000002</v>
      </c>
      <c r="R238">
        <v>44.713039999999999</v>
      </c>
      <c r="S238">
        <v>22.35652</v>
      </c>
      <c r="X238">
        <v>0</v>
      </c>
      <c r="Y238">
        <v>1</v>
      </c>
      <c r="Z238" t="s">
        <v>24</v>
      </c>
      <c r="AA238" t="s">
        <v>24</v>
      </c>
      <c r="AB238" t="s">
        <v>24</v>
      </c>
      <c r="AD238">
        <v>15.1591</v>
      </c>
      <c r="AE238">
        <v>33.906199999999998</v>
      </c>
      <c r="AF238">
        <v>24.279399999999999</v>
      </c>
      <c r="AG238">
        <v>62.973700000000001</v>
      </c>
      <c r="AI238">
        <v>120</v>
      </c>
      <c r="AK238">
        <v>67.900000000000006</v>
      </c>
      <c r="AL238">
        <v>12</v>
      </c>
      <c r="AM238">
        <v>55.9</v>
      </c>
    </row>
    <row r="239" spans="1:39" x14ac:dyDescent="0.2">
      <c r="A239">
        <v>238</v>
      </c>
      <c r="B239" t="s">
        <v>3</v>
      </c>
      <c r="C239">
        <v>3</v>
      </c>
      <c r="D239" t="s">
        <v>18</v>
      </c>
      <c r="E239">
        <v>10.199999999999999</v>
      </c>
      <c r="F239">
        <v>0.65</v>
      </c>
      <c r="G239">
        <v>276</v>
      </c>
      <c r="H239">
        <v>14.4</v>
      </c>
      <c r="I239">
        <v>25</v>
      </c>
      <c r="J239">
        <v>85</v>
      </c>
      <c r="K239">
        <v>0.89440883299999996</v>
      </c>
      <c r="L239" s="4">
        <v>708000000000000</v>
      </c>
      <c r="M239" s="4">
        <v>1650000000000000</v>
      </c>
      <c r="N239" s="4">
        <v>2360000000000000</v>
      </c>
      <c r="O239">
        <v>116.8</v>
      </c>
      <c r="P239" t="s">
        <v>24</v>
      </c>
      <c r="Q239" t="s">
        <v>24</v>
      </c>
      <c r="R239" t="s">
        <v>24</v>
      </c>
      <c r="S239" t="s">
        <v>24</v>
      </c>
      <c r="X239">
        <v>0</v>
      </c>
      <c r="Y239">
        <v>1</v>
      </c>
      <c r="Z239" t="s">
        <v>24</v>
      </c>
      <c r="AA239" t="s">
        <v>24</v>
      </c>
      <c r="AB239" t="s">
        <v>24</v>
      </c>
      <c r="AD239">
        <v>14.57</v>
      </c>
      <c r="AE239">
        <v>75.0291</v>
      </c>
      <c r="AF239">
        <v>30.097100000000001</v>
      </c>
      <c r="AG239">
        <v>80.183000000000007</v>
      </c>
      <c r="AI239">
        <v>130</v>
      </c>
      <c r="AK239">
        <v>98.9</v>
      </c>
      <c r="AL239">
        <v>49.8</v>
      </c>
      <c r="AM239">
        <v>49.1</v>
      </c>
    </row>
    <row r="240" spans="1:39" x14ac:dyDescent="0.2">
      <c r="A240">
        <v>239</v>
      </c>
      <c r="B240" t="s">
        <v>3</v>
      </c>
      <c r="C240">
        <v>3</v>
      </c>
      <c r="D240" t="s">
        <v>8</v>
      </c>
      <c r="E240">
        <v>21.8</v>
      </c>
      <c r="F240">
        <v>1.3</v>
      </c>
      <c r="G240">
        <v>188</v>
      </c>
      <c r="H240">
        <v>13.5</v>
      </c>
      <c r="I240">
        <v>30.6</v>
      </c>
      <c r="J240">
        <v>85</v>
      </c>
      <c r="K240">
        <v>0.89440883299999996</v>
      </c>
      <c r="L240" s="4">
        <v>637000000000000</v>
      </c>
      <c r="M240" s="4">
        <v>558000000000000</v>
      </c>
      <c r="N240" s="4">
        <v>1200000000000000</v>
      </c>
      <c r="O240">
        <v>98.6</v>
      </c>
      <c r="P240">
        <v>0.874</v>
      </c>
      <c r="Q240">
        <v>0.126</v>
      </c>
      <c r="R240" t="s">
        <v>24</v>
      </c>
      <c r="S240" t="s">
        <v>24</v>
      </c>
      <c r="X240">
        <v>0</v>
      </c>
      <c r="Y240">
        <v>1</v>
      </c>
      <c r="Z240" t="s">
        <v>24</v>
      </c>
      <c r="AA240" t="s">
        <v>24</v>
      </c>
      <c r="AB240" t="s">
        <v>24</v>
      </c>
      <c r="AD240">
        <v>32.200600000000001</v>
      </c>
      <c r="AE240">
        <v>86.078100000000006</v>
      </c>
      <c r="AF240" t="s">
        <v>24</v>
      </c>
      <c r="AG240" t="s">
        <v>24</v>
      </c>
      <c r="AI240">
        <v>130</v>
      </c>
      <c r="AK240">
        <v>122</v>
      </c>
      <c r="AL240" t="s">
        <v>24</v>
      </c>
      <c r="AM240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A96D-53D8-4348-9BCC-6BA6DC2CB81D}">
  <dimension ref="A1:AP267"/>
  <sheetViews>
    <sheetView topLeftCell="A60" zoomScale="63" workbookViewId="0">
      <selection activeCell="N95" sqref="N95"/>
    </sheetView>
  </sheetViews>
  <sheetFormatPr baseColWidth="10" defaultRowHeight="16" x14ac:dyDescent="0.2"/>
  <cols>
    <col min="1" max="1" width="14.5" bestFit="1" customWidth="1"/>
    <col min="2" max="2" width="22.33203125" bestFit="1" customWidth="1"/>
    <col min="3" max="3" width="18.83203125" bestFit="1" customWidth="1"/>
    <col min="4" max="4" width="12.33203125" bestFit="1" customWidth="1"/>
    <col min="5" max="5" width="16.5" bestFit="1" customWidth="1"/>
    <col min="6" max="6" width="28.6640625" bestFit="1" customWidth="1"/>
    <col min="7" max="12" width="11" bestFit="1" customWidth="1"/>
    <col min="14" max="15" width="12.33203125" bestFit="1" customWidth="1"/>
    <col min="16" max="16" width="14" bestFit="1" customWidth="1"/>
    <col min="17" max="21" width="14" customWidth="1"/>
    <col min="22" max="22" width="25.1640625" bestFit="1" customWidth="1"/>
    <col min="23" max="23" width="14" customWidth="1"/>
    <col min="24" max="24" width="14.5" bestFit="1" customWidth="1"/>
    <col min="25" max="26" width="12.33203125" bestFit="1" customWidth="1"/>
    <col min="27" max="32" width="12.33203125" customWidth="1"/>
    <col min="41" max="41" width="20.83203125" customWidth="1"/>
    <col min="42" max="42" width="26.1640625" customWidth="1"/>
  </cols>
  <sheetData>
    <row r="1" spans="1:42" x14ac:dyDescent="0.2">
      <c r="A1" t="s">
        <v>6</v>
      </c>
      <c r="B1" t="s">
        <v>5</v>
      </c>
      <c r="C1" t="s">
        <v>109</v>
      </c>
      <c r="D1" t="s">
        <v>20</v>
      </c>
      <c r="E1" t="s">
        <v>111</v>
      </c>
      <c r="F1" t="s">
        <v>7</v>
      </c>
      <c r="G1" t="s">
        <v>21</v>
      </c>
      <c r="H1" t="s">
        <v>22</v>
      </c>
      <c r="I1" t="s">
        <v>9</v>
      </c>
      <c r="J1" t="s">
        <v>25</v>
      </c>
      <c r="K1" t="s">
        <v>76</v>
      </c>
      <c r="L1" t="s">
        <v>26</v>
      </c>
      <c r="M1" t="s">
        <v>31</v>
      </c>
      <c r="N1" t="s">
        <v>113</v>
      </c>
      <c r="O1" t="s">
        <v>114</v>
      </c>
      <c r="P1" t="s">
        <v>115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135</v>
      </c>
      <c r="W1" s="1" t="s">
        <v>136</v>
      </c>
      <c r="X1" t="s">
        <v>116</v>
      </c>
      <c r="Y1" t="s">
        <v>117</v>
      </c>
      <c r="Z1" t="s">
        <v>118</v>
      </c>
      <c r="AA1" t="s">
        <v>71</v>
      </c>
      <c r="AB1" t="s">
        <v>72</v>
      </c>
      <c r="AC1" t="s">
        <v>73</v>
      </c>
      <c r="AD1" s="1" t="s">
        <v>105</v>
      </c>
      <c r="AE1" t="s">
        <v>74</v>
      </c>
      <c r="AF1" t="s">
        <v>75</v>
      </c>
      <c r="AG1" t="s">
        <v>56</v>
      </c>
      <c r="AH1" t="s">
        <v>124</v>
      </c>
      <c r="AI1" t="s">
        <v>125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</row>
    <row r="2" spans="1:42" x14ac:dyDescent="0.2">
      <c r="A2" t="s">
        <v>32</v>
      </c>
      <c r="B2" t="s">
        <v>1</v>
      </c>
      <c r="C2" t="s">
        <v>110</v>
      </c>
      <c r="D2" t="s">
        <v>112</v>
      </c>
      <c r="E2">
        <v>30</v>
      </c>
      <c r="F2" t="s">
        <v>8</v>
      </c>
      <c r="G2">
        <v>17.600000000000001</v>
      </c>
      <c r="H2">
        <v>0.93</v>
      </c>
      <c r="I2">
        <v>383</v>
      </c>
      <c r="J2">
        <v>13.69</v>
      </c>
      <c r="K2" s="2">
        <f>AVERAGEIFS('Individual data from NASA'!J:J, 'Individual data from NASA'!$C:$C, $F2, 'Individual data from NASA'!$B:$B, $B2, 'Individual data from NASA'!$K:$K, $L2) + 273.15</f>
        <v>303.27499999999998</v>
      </c>
      <c r="L2">
        <v>4</v>
      </c>
      <c r="M2">
        <f>0.127*60*60</f>
        <v>457.2</v>
      </c>
      <c r="N2" s="3">
        <f>AVERAGEIFS('Individual data from NASA'!M:M, 'Individual data from NASA'!$C:$C, $F2, 'Individual data from NASA'!$B:$B, $B2, 'Individual data from NASA'!$K:$K, $L2)</f>
        <v>2318750000000000</v>
      </c>
      <c r="O2" s="3">
        <f>AVERAGEIFS('Individual data from NASA'!N:N, 'Individual data from NASA'!$C:$C, $F2, 'Individual data from NASA'!$B:$B, $B2, 'Individual data from NASA'!$K:$K, $L2)</f>
        <v>3.2275E+16</v>
      </c>
      <c r="P2" s="3">
        <f>AVERAGEIFS('Individual data from NASA'!O:O, 'Individual data from NASA'!$C:$C, $F2, 'Individual data from NASA'!$B:$B, $B2, 'Individual data from NASA'!$K:$K, $L2)</f>
        <v>3.46125E+16</v>
      </c>
      <c r="Q2" s="3">
        <f>AVERAGEIFS('Individual data from NASA'!P:P, 'Individual data from NASA'!$C:$C, $F2, 'Individual data from NASA'!$B:$B, $B2, 'Individual data from NASA'!$K:$K, $L2)</f>
        <v>20.764999999999997</v>
      </c>
      <c r="R2" s="3">
        <f>AVERAGEIFS('Individual data from NASA'!Q:Q, 'Individual data from NASA'!$C:$C, $F2, 'Individual data from NASA'!$B:$B, $B2, 'Individual data from NASA'!$K:$K, $L2)</f>
        <v>0.87180000000000002</v>
      </c>
      <c r="S2" s="3">
        <f>AVERAGEIFS('Individual data from NASA'!R:R, 'Individual data from NASA'!$C:$C, $F2, 'Individual data from NASA'!$B:$B, $B2, 'Individual data from NASA'!$K:$K, $L2)</f>
        <v>0.12820000000000001</v>
      </c>
      <c r="T2" s="3">
        <f>AVERAGEIFS('Individual data from NASA'!S:S, 'Individual data from NASA'!$C:$C, $F2, 'Individual data from NASA'!$B:$B, $B2, 'Individual data from NASA'!$K:$K, $L2)</f>
        <v>102.57349515</v>
      </c>
      <c r="U2" s="3">
        <f>AVERAGEIFS('Individual data from NASA'!T:T, 'Individual data from NASA'!$C:$C, $F2, 'Individual data from NASA'!$B:$B, $B2, 'Individual data from NASA'!$K:$K, $L2)</f>
        <v>17.325871148000001</v>
      </c>
      <c r="V2" s="3">
        <f>AVERAGEIFS('Individual data from NASA'!W:W, 'Individual data from NASA'!$C:$C, $F2, 'Individual data from NASA'!$B:$B, $B2, 'Individual data from NASA'!$K:$K, $L2)</f>
        <v>12.412500000000001</v>
      </c>
      <c r="W2" s="3">
        <f>AVERAGEIFS('Individual data from NASA'!U:U, 'Individual data from NASA'!$C:$C, $F2, 'Individual data from NASA'!$B:$B, $B2, 'Individual data from NASA'!$K:$K, $L2)</f>
        <v>16.899999999999999</v>
      </c>
      <c r="X2" cm="1">
        <f t="array" ref="X2">_xlfn.STDEV.S(
    _xlfn._xlws.FILTER(
        'Individual data from NASA'!M:M,
        ('Individual data from NASA'!$C:$C=$F2) *
        ('Individual data from NASA'!$B:$B=$B2) *
        ('Individual data from NASA'!$K:$K=$L2)
    )
)</f>
        <v>554422157359740.06</v>
      </c>
      <c r="Y2" cm="1">
        <f t="array" ref="Y2">_xlfn.STDEV.S(
    _xlfn._xlws.FILTER(
        'Individual data from NASA'!N:N,
        ('Individual data from NASA'!$C:$C=$F2) *
        ('Individual data from NASA'!$B:$B=$B2) *
        ('Individual data from NASA'!$K:$K=$L2)
    )
)</f>
        <v>1.0146744727814358E+16</v>
      </c>
      <c r="Z2" cm="1">
        <f t="array" ref="Z2">_xlfn.STDEV.S(
    _xlfn._xlws.FILTER(
        'Individual data from NASA'!O:O,
        ('Individual data from NASA'!$C:$C=$F2) *
        ('Individual data from NASA'!$B:$B=$B2) *
        ('Individual data from NASA'!$K:$K=$L2)
    )
)</f>
        <v>1.0657852571159522E+16</v>
      </c>
    </row>
    <row r="3" spans="1:42" x14ac:dyDescent="0.2">
      <c r="A3" t="s">
        <v>32</v>
      </c>
      <c r="B3" t="s">
        <v>1</v>
      </c>
      <c r="C3" t="s">
        <v>110</v>
      </c>
      <c r="D3" t="s">
        <v>112</v>
      </c>
      <c r="E3">
        <v>30</v>
      </c>
      <c r="F3" t="s">
        <v>8</v>
      </c>
      <c r="G3">
        <v>17.600000000000001</v>
      </c>
      <c r="H3">
        <v>0.93</v>
      </c>
      <c r="I3">
        <v>383</v>
      </c>
      <c r="J3">
        <v>13.69</v>
      </c>
      <c r="K3" s="2">
        <f>AVERAGEIFS('Individual data from NASA'!J:J, 'Individual data from NASA'!$C:$C, $F3, 'Individual data from NASA'!$B:$B, $B3, 'Individual data from NASA'!$K:$K, $L3) + 273.15</f>
        <v>299.89999999999998</v>
      </c>
      <c r="L3">
        <v>7</v>
      </c>
      <c r="M3">
        <f>0.15586*60*60</f>
        <v>561.096</v>
      </c>
      <c r="N3" s="3">
        <f>AVERAGEIFS('Individual data from NASA'!M:M, 'Individual data from NASA'!$C:$C, $F3, 'Individual data from NASA'!$B:$B, $B3, 'Individual data from NASA'!$K:$K, $L3)</f>
        <v>1394000000000000</v>
      </c>
      <c r="O3" s="3">
        <f>AVERAGEIFS('Individual data from NASA'!N:N, 'Individual data from NASA'!$C:$C, $F3, 'Individual data from NASA'!$B:$B, $B3, 'Individual data from NASA'!$K:$K, $L3)</f>
        <v>2.8216666666666668E+16</v>
      </c>
      <c r="P3" s="3">
        <f>AVERAGEIFS('Individual data from NASA'!O:O, 'Individual data from NASA'!$C:$C, $F3, 'Individual data from NASA'!$B:$B, $B3, 'Individual data from NASA'!$K:$K, $L3)</f>
        <v>2.7433846153846152E+16</v>
      </c>
      <c r="Q3" s="3">
        <f>AVERAGEIFS('Individual data from NASA'!P:P, 'Individual data from NASA'!$C:$C, $F3, 'Individual data from NASA'!$B:$B, $B3, 'Individual data from NASA'!$K:$K, $L3)</f>
        <v>6.7958333333333334</v>
      </c>
      <c r="R3" s="3">
        <f>AVERAGEIFS('Individual data from NASA'!Q:Q, 'Individual data from NASA'!$C:$C, $F3, 'Individual data from NASA'!$B:$B, $B3, 'Individual data from NASA'!$K:$K, $L3)</f>
        <v>0.71375</v>
      </c>
      <c r="S3" s="3">
        <f>AVERAGEIFS('Individual data from NASA'!R:R, 'Individual data from NASA'!$C:$C, $F3, 'Individual data from NASA'!$B:$B, $B3, 'Individual data from NASA'!$K:$K, $L3)</f>
        <v>0.28625</v>
      </c>
      <c r="T3" s="3">
        <f>AVERAGEIFS('Individual data from NASA'!S:S, 'Individual data from NASA'!$C:$C, $F3, 'Individual data from NASA'!$B:$B, $B3, 'Individual data from NASA'!$K:$K, $L3)</f>
        <v>74.880347470000004</v>
      </c>
      <c r="U3" s="3">
        <f>AVERAGEIFS('Individual data from NASA'!T:T, 'Individual data from NASA'!$C:$C, $F3, 'Individual data from NASA'!$B:$B, $B3, 'Individual data from NASA'!$K:$K, $L3)</f>
        <v>24.281195814999997</v>
      </c>
      <c r="V3" s="3">
        <f>AVERAGEIFS('Individual data from NASA'!W:W, 'Individual data from NASA'!$C:$C, $F3, 'Individual data from NASA'!$B:$B, $B3, 'Individual data from NASA'!$K:$K, $L3)</f>
        <v>12.653461006923076</v>
      </c>
      <c r="W3" s="3">
        <f>AVERAGEIFS('Individual data from NASA'!U:U, 'Individual data from NASA'!$C:$C, $F3, 'Individual data from NASA'!$B:$B, $B3, 'Individual data from NASA'!$K:$K, $L3)</f>
        <v>16.260167409230768</v>
      </c>
      <c r="X3" cm="1">
        <f t="array" ref="X3">_xlfn.STDEV.S(
    _xlfn._xlws.FILTER(
        'Individual data from NASA'!M:M,
        ('Individual data from NASA'!$C:$C=$F3) *
        ('Individual data from NASA'!$B:$B=$B3) *
        ('Individual data from NASA'!$K:$K=$L3)
    )
)</f>
        <v>540798903979524</v>
      </c>
      <c r="Y3" cm="1">
        <f t="array" ref="Y3">_xlfn.STDEV.S(
    _xlfn._xlws.FILTER(
        'Individual data from NASA'!N:N,
        ('Individual data from NASA'!$C:$C=$F3) *
        ('Individual data from NASA'!$B:$B=$B3) *
        ('Individual data from NASA'!$K:$K=$L3)
    )
)</f>
        <v>1.2377606857351362E+16</v>
      </c>
      <c r="Z3" cm="1">
        <f t="array" ref="Z3">_xlfn.STDEV.S(
    _xlfn._xlws.FILTER(
        'Individual data from NASA'!O:O,
        ('Individual data from NASA'!$C:$C=$F3) *
        ('Individual data from NASA'!$B:$B=$B3) *
        ('Individual data from NASA'!$K:$K=$L3)
    )
)</f>
        <v>1.430436619734311E+16</v>
      </c>
      <c r="AA3">
        <f t="shared" ref="AA3:AA19" si="0">(G3-G$2)/G$2</f>
        <v>0</v>
      </c>
      <c r="AB3">
        <f t="shared" ref="AB3:AB19" si="1">(H3-H$2)/H$2</f>
        <v>0</v>
      </c>
      <c r="AC3">
        <f t="shared" ref="AC3:AC19" si="2">(I3-I$2)/I$2</f>
        <v>0</v>
      </c>
      <c r="AD3">
        <f t="shared" ref="AD3:AD19" si="3">(J3-J$2)/J$2</f>
        <v>0</v>
      </c>
      <c r="AE3">
        <f t="shared" ref="AE3:AH3" si="4">(L3-L$2)/L$2</f>
        <v>0.75</v>
      </c>
      <c r="AF3">
        <f t="shared" si="4"/>
        <v>0.22724409448818902</v>
      </c>
      <c r="AG3">
        <f t="shared" si="4"/>
        <v>-0.39881401617250672</v>
      </c>
      <c r="AH3">
        <f t="shared" si="4"/>
        <v>-0.12574231861605986</v>
      </c>
      <c r="AI3" s="4">
        <f t="shared" ref="AI3:AP3" si="5">(P3-P$2)/P$2</f>
        <v>-0.2074006167180599</v>
      </c>
      <c r="AJ3" s="4">
        <f t="shared" si="5"/>
        <v>-0.6727265430612408</v>
      </c>
      <c r="AK3" s="4">
        <f t="shared" si="5"/>
        <v>-0.18129158063776099</v>
      </c>
      <c r="AL3" s="4">
        <f t="shared" si="5"/>
        <v>1.2328393135725428</v>
      </c>
      <c r="AM3" s="4">
        <f t="shared" si="5"/>
        <v>-0.26998346541182472</v>
      </c>
      <c r="AN3" s="4">
        <f t="shared" si="5"/>
        <v>0.40144155567051404</v>
      </c>
      <c r="AO3" s="4">
        <f t="shared" si="5"/>
        <v>1.9412769943450075E-2</v>
      </c>
      <c r="AP3" s="4">
        <f t="shared" si="5"/>
        <v>-3.7859916613563971E-2</v>
      </c>
    </row>
    <row r="4" spans="1:42" x14ac:dyDescent="0.2">
      <c r="A4" t="s">
        <v>32</v>
      </c>
      <c r="B4" t="s">
        <v>1</v>
      </c>
      <c r="C4" t="s">
        <v>110</v>
      </c>
      <c r="D4" t="s">
        <v>112</v>
      </c>
      <c r="E4">
        <v>30</v>
      </c>
      <c r="F4" t="s">
        <v>8</v>
      </c>
      <c r="G4">
        <v>17.600000000000001</v>
      </c>
      <c r="H4">
        <v>0.93</v>
      </c>
      <c r="I4">
        <v>383</v>
      </c>
      <c r="J4">
        <v>13.69</v>
      </c>
      <c r="K4" s="2">
        <f>AVERAGEIFS('Individual data from NASA'!J:J, 'Individual data from NASA'!$C:$C, $F4, 'Individual data from NASA'!$B:$B, $B4, 'Individual data from NASA'!$K:$K, $L4) + 273.15</f>
        <v>299.72142857142853</v>
      </c>
      <c r="L4">
        <v>30</v>
      </c>
      <c r="M4">
        <f>0.342*60*60</f>
        <v>1231.2000000000003</v>
      </c>
      <c r="N4" s="3">
        <f>AVERAGEIFS('Individual data from NASA'!M:M, 'Individual data from NASA'!$C:$C, $F4, 'Individual data from NASA'!$B:$B, $B4, 'Individual data from NASA'!$K:$K, $L4)</f>
        <v>202857142857142.84</v>
      </c>
      <c r="O4" s="3">
        <f>AVERAGEIFS('Individual data from NASA'!N:N, 'Individual data from NASA'!$C:$C, $F4, 'Individual data from NASA'!$B:$B, $B4, 'Individual data from NASA'!$K:$K, $L4)</f>
        <v>1.3887142857142858E+16</v>
      </c>
      <c r="P4" s="3">
        <f>AVERAGEIFS('Individual data from NASA'!O:O, 'Individual data from NASA'!$C:$C, $F4, 'Individual data from NASA'!$B:$B, $B4, 'Individual data from NASA'!$K:$K, $L4)</f>
        <v>1.4074285714285714E+16</v>
      </c>
      <c r="Q4" s="3">
        <f>AVERAGEIFS('Individual data from NASA'!P:P, 'Individual data from NASA'!$C:$C, $F4, 'Individual data from NASA'!$B:$B, $B4, 'Individual data from NASA'!$K:$K, $L4)</f>
        <v>4.706142857142857</v>
      </c>
      <c r="R4" s="3">
        <f>AVERAGEIFS('Individual data from NASA'!Q:Q, 'Individual data from NASA'!$C:$C, $F4, 'Individual data from NASA'!$B:$B, $B4, 'Individual data from NASA'!$K:$K, $L4)</f>
        <v>0.624</v>
      </c>
      <c r="S4" s="3">
        <f>AVERAGEIFS('Individual data from NASA'!R:R, 'Individual data from NASA'!$C:$C, $F4, 'Individual data from NASA'!$B:$B, $B4, 'Individual data from NASA'!$K:$K, $L4)</f>
        <v>0.376</v>
      </c>
      <c r="T4" s="3">
        <f>AVERAGEIFS('Individual data from NASA'!S:S, 'Individual data from NASA'!$C:$C, $F4, 'Individual data from NASA'!$B:$B, $B4, 'Individual data from NASA'!$K:$K, $L4)</f>
        <v>16.75815759</v>
      </c>
      <c r="U4" s="3">
        <f>AVERAGEIFS('Individual data from NASA'!T:T, 'Individual data from NASA'!$C:$C, $F4, 'Individual data from NASA'!$B:$B, $B4, 'Individual data from NASA'!$K:$K, $L4)</f>
        <v>9.9186072164999999</v>
      </c>
      <c r="V4" s="3">
        <f>AVERAGEIFS('Individual data from NASA'!W:W, 'Individual data from NASA'!$C:$C, $F4, 'Individual data from NASA'!$B:$B, $B4, 'Individual data from NASA'!$K:$K, $L4)</f>
        <v>14.325473214285717</v>
      </c>
      <c r="W4" s="3">
        <f>AVERAGEIFS('Individual data from NASA'!U:U, 'Individual data from NASA'!$C:$C, $F4, 'Individual data from NASA'!$B:$B, $B4, 'Individual data from NASA'!$K:$K, $L4)</f>
        <v>14.460571047142858</v>
      </c>
      <c r="X4" cm="1">
        <f t="array" ref="X4">_xlfn.STDEV.S(
    _xlfn._xlws.FILTER(
        'Individual data from NASA'!M:M,
        ('Individual data from NASA'!$C:$C=$F4) *
        ('Individual data from NASA'!$B:$B=$B4) *
        ('Individual data from NASA'!$K:$K=$L4)
    )
)</f>
        <v>62645639836114.672</v>
      </c>
      <c r="Y4" cm="1">
        <f t="array" ref="Y4">_xlfn.STDEV.S(
    _xlfn._xlws.FILTER(
        'Individual data from NASA'!N:N,
        ('Individual data from NASA'!$C:$C=$F4) *
        ('Individual data from NASA'!$B:$B=$B4) *
        ('Individual data from NASA'!$K:$K=$L4)
    )
)</f>
        <v>5644657398182564</v>
      </c>
      <c r="Z4" cm="1">
        <f t="array" ref="Z4">_xlfn.STDEV.S(
    _xlfn._xlws.FILTER(
        'Individual data from NASA'!O:O,
        ('Individual data from NASA'!$C:$C=$F4) *
        ('Individual data from NASA'!$B:$B=$B4) *
        ('Individual data from NASA'!$K:$K=$L4)
    )
)</f>
        <v>5615807621179274</v>
      </c>
      <c r="AA4">
        <f t="shared" si="0"/>
        <v>0</v>
      </c>
      <c r="AB4">
        <f t="shared" si="1"/>
        <v>0</v>
      </c>
      <c r="AC4">
        <f t="shared" si="2"/>
        <v>0</v>
      </c>
      <c r="AD4">
        <f t="shared" si="3"/>
        <v>0</v>
      </c>
      <c r="AE4">
        <f t="shared" ref="AE4:AE15" si="6">(L4-L$2)/L$2</f>
        <v>6.5</v>
      </c>
      <c r="AF4">
        <f t="shared" ref="AF4:AF15" si="7">(M4-M$2)/M$2</f>
        <v>1.6929133858267722</v>
      </c>
      <c r="AG4">
        <f t="shared" ref="AG4:AG15" si="8">(N4-N$2)/N$2</f>
        <v>-0.91251443973815949</v>
      </c>
      <c r="AH4">
        <f t="shared" ref="AH4:AH15" si="9">(O4-O$2)/O$2</f>
        <v>-0.56972446608387739</v>
      </c>
      <c r="AI4">
        <f t="shared" ref="AI4:AP15" si="10">(P4-P$2)/P$2</f>
        <v>-0.593375638446061</v>
      </c>
      <c r="AJ4">
        <f t="shared" si="10"/>
        <v>-0.77336176946097479</v>
      </c>
      <c r="AK4">
        <f t="shared" si="10"/>
        <v>-0.2842395044735031</v>
      </c>
      <c r="AL4">
        <f t="shared" si="10"/>
        <v>1.9329173166926674</v>
      </c>
      <c r="AM4">
        <f t="shared" si="10"/>
        <v>-0.83662292519628545</v>
      </c>
      <c r="AN4">
        <f t="shared" si="10"/>
        <v>-0.4275262044965083</v>
      </c>
      <c r="AO4">
        <f t="shared" si="10"/>
        <v>0.15411667385987635</v>
      </c>
      <c r="AP4">
        <f t="shared" si="10"/>
        <v>-0.14434490845308523</v>
      </c>
    </row>
    <row r="5" spans="1:42" x14ac:dyDescent="0.2">
      <c r="A5" t="s">
        <v>32</v>
      </c>
      <c r="B5" t="s">
        <v>1</v>
      </c>
      <c r="C5" t="s">
        <v>110</v>
      </c>
      <c r="D5" t="s">
        <v>112</v>
      </c>
      <c r="E5">
        <v>30</v>
      </c>
      <c r="F5" t="s">
        <v>8</v>
      </c>
      <c r="G5">
        <v>17.600000000000001</v>
      </c>
      <c r="H5">
        <v>0.93</v>
      </c>
      <c r="I5">
        <v>383</v>
      </c>
      <c r="J5">
        <v>13.69</v>
      </c>
      <c r="K5" s="2">
        <f>AVERAGEIFS('Individual data from NASA'!J:J, 'Individual data from NASA'!$C:$C, $F5, 'Individual data from NASA'!$B:$B, $B5, 'Individual data from NASA'!$K:$K, $L5) + 273.15</f>
        <v>299.54999999999995</v>
      </c>
      <c r="L5">
        <v>65</v>
      </c>
      <c r="M5">
        <f>0.602*60*60</f>
        <v>2167.1999999999998</v>
      </c>
      <c r="N5" s="3">
        <f>AVERAGEIFS('Individual data from NASA'!M:M, 'Individual data from NASA'!$C:$C, $F5, 'Individual data from NASA'!$B:$B, $B5, 'Individual data from NASA'!$K:$K, $L5)</f>
        <v>159600000000000</v>
      </c>
      <c r="O5" s="3">
        <f>AVERAGEIFS('Individual data from NASA'!N:N, 'Individual data from NASA'!$C:$C, $F5, 'Individual data from NASA'!$B:$B, $B5, 'Individual data from NASA'!$K:$K, $L5)</f>
        <v>1.1916E+16</v>
      </c>
      <c r="P5" s="3">
        <f>AVERAGEIFS('Individual data from NASA'!O:O, 'Individual data from NASA'!$C:$C, $F5, 'Individual data from NASA'!$B:$B, $B5, 'Individual data from NASA'!$K:$K, $L5)</f>
        <v>1.2062E+16</v>
      </c>
      <c r="Q5" s="3">
        <f>AVERAGEIFS('Individual data from NASA'!P:P, 'Individual data from NASA'!$C:$C, $F5, 'Individual data from NASA'!$B:$B, $B5, 'Individual data from NASA'!$K:$K, $L5)</f>
        <v>18.501999999999999</v>
      </c>
      <c r="R5" s="3" t="e">
        <f>AVERAGEIFS('Individual data from NASA'!Q:Q, 'Individual data from NASA'!$C:$C, $F5, 'Individual data from NASA'!$B:$B, $B5, 'Individual data from NASA'!$K:$K, $L5)</f>
        <v>#DIV/0!</v>
      </c>
      <c r="S5" s="3" t="e">
        <f>AVERAGEIFS('Individual data from NASA'!R:R, 'Individual data from NASA'!$C:$C, $F5, 'Individual data from NASA'!$B:$B, $B5, 'Individual data from NASA'!$K:$K, $L5)</f>
        <v>#DIV/0!</v>
      </c>
      <c r="T5" s="3" t="e">
        <f>AVERAGEIFS('Individual data from NASA'!S:S, 'Individual data from NASA'!$C:$C, $F5, 'Individual data from NASA'!$B:$B, $B5, 'Individual data from NASA'!$K:$K, $L5)</f>
        <v>#DIV/0!</v>
      </c>
      <c r="U5" s="3" t="e">
        <f>AVERAGEIFS('Individual data from NASA'!T:T, 'Individual data from NASA'!$C:$C, $F5, 'Individual data from NASA'!$B:$B, $B5, 'Individual data from NASA'!$K:$K, $L5)</f>
        <v>#DIV/0!</v>
      </c>
      <c r="V5" s="3">
        <f>AVERAGEIFS('Individual data from NASA'!W:W, 'Individual data from NASA'!$C:$C, $F5, 'Individual data from NASA'!$B:$B, $B5, 'Individual data from NASA'!$K:$K, $L5)</f>
        <v>19.969429286</v>
      </c>
      <c r="W5" s="3">
        <f>AVERAGEIFS('Individual data from NASA'!U:U, 'Individual data from NASA'!$C:$C, $F5, 'Individual data from NASA'!$B:$B, $B5, 'Individual data from NASA'!$K:$K, $L5)</f>
        <v>11.960932818</v>
      </c>
      <c r="X5" cm="1">
        <f t="array" ref="X5">_xlfn.STDEV.S(
    _xlfn._xlws.FILTER(
        'Individual data from NASA'!M:M,
        ('Individual data from NASA'!$C:$C=$F5) *
        ('Individual data from NASA'!$B:$B=$B5) *
        ('Individual data from NASA'!$K:$K=$L5)
    )
)</f>
        <v>39227541345335.453</v>
      </c>
      <c r="Y5" cm="1">
        <f t="array" ref="Y5">_xlfn.STDEV.S(
    _xlfn._xlws.FILTER(
        'Individual data from NASA'!N:N,
        ('Individual data from NASA'!$C:$C=$F5) *
        ('Individual data from NASA'!$B:$B=$B5) *
        ('Individual data from NASA'!$K:$K=$L5)
    )
)</f>
        <v>5663857342836240</v>
      </c>
      <c r="Z5" cm="1">
        <f t="array" ref="Z5">_xlfn.STDEV.S(
    _xlfn._xlws.FILTER(
        'Individual data from NASA'!O:O,
        ('Individual data from NASA'!$C:$C=$F5) *
        ('Individual data from NASA'!$B:$B=$B5) *
        ('Individual data from NASA'!$K:$K=$L5)
    )
)</f>
        <v>5675536979000316</v>
      </c>
      <c r="AA5">
        <f t="shared" si="0"/>
        <v>0</v>
      </c>
      <c r="AB5">
        <f t="shared" si="1"/>
        <v>0</v>
      </c>
      <c r="AC5">
        <f t="shared" si="2"/>
        <v>0</v>
      </c>
      <c r="AD5">
        <f t="shared" si="3"/>
        <v>0</v>
      </c>
      <c r="AE5">
        <f t="shared" si="6"/>
        <v>15.25</v>
      </c>
      <c r="AF5">
        <f t="shared" si="7"/>
        <v>3.7401574803149602</v>
      </c>
      <c r="AG5">
        <f t="shared" si="8"/>
        <v>-0.93116981132075471</v>
      </c>
      <c r="AH5">
        <f t="shared" si="9"/>
        <v>-0.63079783113865218</v>
      </c>
      <c r="AI5">
        <f t="shared" si="10"/>
        <v>-0.65151318165402672</v>
      </c>
      <c r="AJ5">
        <f t="shared" si="10"/>
        <v>-0.10898145918613043</v>
      </c>
      <c r="AK5" t="e">
        <f t="shared" si="10"/>
        <v>#DIV/0!</v>
      </c>
      <c r="AL5" t="e">
        <f t="shared" si="10"/>
        <v>#DIV/0!</v>
      </c>
      <c r="AM5" t="e">
        <f t="shared" si="10"/>
        <v>#DIV/0!</v>
      </c>
      <c r="AN5" t="e">
        <f t="shared" si="10"/>
        <v>#DIV/0!</v>
      </c>
      <c r="AO5">
        <f t="shared" si="10"/>
        <v>0.60881605526686788</v>
      </c>
      <c r="AP5">
        <f t="shared" si="10"/>
        <v>-0.29225249597633129</v>
      </c>
    </row>
    <row r="6" spans="1:42" x14ac:dyDescent="0.2">
      <c r="A6" t="s">
        <v>32</v>
      </c>
      <c r="B6" t="s">
        <v>1</v>
      </c>
      <c r="C6" t="s">
        <v>110</v>
      </c>
      <c r="D6" t="s">
        <v>112</v>
      </c>
      <c r="E6">
        <v>30</v>
      </c>
      <c r="F6" t="s">
        <v>8</v>
      </c>
      <c r="G6">
        <v>17.600000000000001</v>
      </c>
      <c r="H6">
        <v>0.93</v>
      </c>
      <c r="I6">
        <v>383</v>
      </c>
      <c r="J6">
        <v>13.69</v>
      </c>
      <c r="K6" s="2">
        <f>AVERAGEIFS('Individual data from NASA'!J:J, 'Individual data from NASA'!$C:$C, $F6, 'Individual data from NASA'!$B:$B, $B6, 'Individual data from NASA'!$K:$K, $L6) + 273.15</f>
        <v>300.89999999999998</v>
      </c>
      <c r="L6">
        <v>85</v>
      </c>
      <c r="M6">
        <f>0.845*60*60</f>
        <v>3041.9999999999995</v>
      </c>
      <c r="N6" s="3">
        <f>AVERAGEIFS('Individual data from NASA'!M:M, 'Individual data from NASA'!$C:$C, $F6, 'Individual data from NASA'!$B:$B, $B6, 'Individual data from NASA'!$K:$K, $L6)</f>
        <v>325000000000000</v>
      </c>
      <c r="O6" s="3">
        <f>AVERAGEIFS('Individual data from NASA'!N:N, 'Individual data from NASA'!$C:$C, $F6, 'Individual data from NASA'!$B:$B, $B6, 'Individual data from NASA'!$K:$K, $L6)</f>
        <v>3962500000000000</v>
      </c>
      <c r="P6" s="3">
        <f>AVERAGEIFS('Individual data from NASA'!O:O, 'Individual data from NASA'!$C:$C, $F6, 'Individual data from NASA'!$B:$B, $B6, 'Individual data from NASA'!$K:$K, $L6)</f>
        <v>4290000000000000</v>
      </c>
      <c r="Q6" s="3">
        <f>AVERAGEIFS('Individual data from NASA'!P:P, 'Individual data from NASA'!$C:$C, $F6, 'Individual data from NASA'!$B:$B, $B6, 'Individual data from NASA'!$K:$K, $L6)</f>
        <v>88.604500000000002</v>
      </c>
      <c r="R6" s="3">
        <f>AVERAGEIFS('Individual data from NASA'!Q:Q, 'Individual data from NASA'!$C:$C, $F6, 'Individual data from NASA'!$B:$B, $B6, 'Individual data from NASA'!$K:$K, $L6)</f>
        <v>0.72917619199999995</v>
      </c>
      <c r="S6" s="3">
        <f>AVERAGEIFS('Individual data from NASA'!R:R, 'Individual data from NASA'!$C:$C, $F6, 'Individual data from NASA'!$B:$B, $B6, 'Individual data from NASA'!$K:$K, $L6)</f>
        <v>0.270823808</v>
      </c>
      <c r="T6" s="3">
        <f>AVERAGEIFS('Individual data from NASA'!S:S, 'Individual data from NASA'!$C:$C, $F6, 'Individual data from NASA'!$B:$B, $B6, 'Individual data from NASA'!$K:$K, $L6)</f>
        <v>50.532137134999999</v>
      </c>
      <c r="U6" s="3">
        <f>AVERAGEIFS('Individual data from NASA'!T:T, 'Individual data from NASA'!$C:$C, $F6, 'Individual data from NASA'!$B:$B, $B6, 'Individual data from NASA'!$K:$K, $L6)</f>
        <v>17.054792729999999</v>
      </c>
      <c r="V6" s="3">
        <f>AVERAGEIFS('Individual data from NASA'!W:W, 'Individual data from NASA'!$C:$C, $F6, 'Individual data from NASA'!$B:$B, $B6, 'Individual data from NASA'!$K:$K, $L6)</f>
        <v>26.6113860725</v>
      </c>
      <c r="W6" s="3">
        <f>AVERAGEIFS('Individual data from NASA'!U:U, 'Individual data from NASA'!$C:$C, $F6, 'Individual data from NASA'!$B:$B, $B6, 'Individual data from NASA'!$K:$K, $L6)</f>
        <v>17.22884634</v>
      </c>
      <c r="X6" cm="1">
        <f t="array" ref="X6">_xlfn.STDEV.S(
    _xlfn._xlws.FILTER(
        'Individual data from NASA'!M:M,
        ('Individual data from NASA'!$C:$C=$F6) *
        ('Individual data from NASA'!$B:$B=$B6) *
        ('Individual data from NASA'!$K:$K=$L6)
    )
)</f>
        <v>59008473967727.695</v>
      </c>
      <c r="Y6" cm="1">
        <f t="array" ref="Y6">_xlfn.STDEV.S(
    _xlfn._xlws.FILTER(
        'Individual data from NASA'!N:N,
        ('Individual data from NASA'!$C:$C=$F6) *
        ('Individual data from NASA'!$B:$B=$B6) *
        ('Individual data from NASA'!$K:$K=$L6)
    )
)</f>
        <v>3170398239969231</v>
      </c>
      <c r="Z6" cm="1">
        <f t="array" ref="Z6">_xlfn.STDEV.S(
    _xlfn._xlws.FILTER(
        'Individual data from NASA'!O:O,
        ('Individual data from NASA'!$C:$C=$F6) *
        ('Individual data from NASA'!$B:$B=$B6) *
        ('Individual data from NASA'!$K:$K=$L6)
    )
)</f>
        <v>3212174756557723.5</v>
      </c>
      <c r="AA6">
        <f t="shared" si="0"/>
        <v>0</v>
      </c>
      <c r="AB6">
        <f t="shared" si="1"/>
        <v>0</v>
      </c>
      <c r="AC6">
        <f t="shared" si="2"/>
        <v>0</v>
      </c>
      <c r="AD6">
        <f t="shared" si="3"/>
        <v>0</v>
      </c>
      <c r="AE6">
        <f t="shared" si="6"/>
        <v>20.25</v>
      </c>
      <c r="AF6">
        <f t="shared" si="7"/>
        <v>5.6535433070866139</v>
      </c>
      <c r="AG6">
        <f t="shared" si="8"/>
        <v>-0.85983827493261455</v>
      </c>
      <c r="AH6">
        <f t="shared" si="9"/>
        <v>-0.87722695584817967</v>
      </c>
      <c r="AI6">
        <f t="shared" si="10"/>
        <v>-0.87605633802816907</v>
      </c>
      <c r="AJ6">
        <f t="shared" si="10"/>
        <v>3.2670117986997358</v>
      </c>
      <c r="AK6">
        <f t="shared" si="10"/>
        <v>-0.16359693507685258</v>
      </c>
      <c r="AL6">
        <f t="shared" si="10"/>
        <v>1.1125102028081122</v>
      </c>
      <c r="AM6">
        <f t="shared" si="10"/>
        <v>-0.50735677807309265</v>
      </c>
      <c r="AN6">
        <f t="shared" si="10"/>
        <v>-1.5645875216571355E-2</v>
      </c>
      <c r="AO6">
        <f t="shared" si="10"/>
        <v>1.1439183139979856</v>
      </c>
      <c r="AP6">
        <f t="shared" si="10"/>
        <v>1.9458363313609582E-2</v>
      </c>
    </row>
    <row r="7" spans="1:42" x14ac:dyDescent="0.2">
      <c r="A7" t="s">
        <v>32</v>
      </c>
      <c r="B7" t="s">
        <v>1</v>
      </c>
      <c r="C7" t="s">
        <v>110</v>
      </c>
      <c r="D7" t="s">
        <v>112</v>
      </c>
      <c r="E7">
        <v>30</v>
      </c>
      <c r="F7" t="s">
        <v>8</v>
      </c>
      <c r="G7">
        <v>17.600000000000001</v>
      </c>
      <c r="H7">
        <v>0.93</v>
      </c>
      <c r="I7">
        <v>383</v>
      </c>
      <c r="J7">
        <v>13.69</v>
      </c>
      <c r="K7" s="2">
        <f>AVERAGEIFS('Individual data from NASA'!J:J, 'Individual data from NASA'!$C:$C, $F7, 'Individual data from NASA'!$B:$B, $B7, 'Individual data from NASA'!$K:$K, $L7) + 273.15</f>
        <v>301.39999999999998</v>
      </c>
      <c r="L7">
        <v>100</v>
      </c>
      <c r="M7">
        <f>0.894*60*60</f>
        <v>3218.4</v>
      </c>
      <c r="N7" s="3">
        <f>AVERAGEIFS('Individual data from NASA'!M:M, 'Individual data from NASA'!$C:$C, $F7, 'Individual data from NASA'!$B:$B, $B7, 'Individual data from NASA'!$K:$K, $L7)</f>
        <v>415000000000000</v>
      </c>
      <c r="O7" s="3">
        <f>AVERAGEIFS('Individual data from NASA'!N:N, 'Individual data from NASA'!$C:$C, $F7, 'Individual data from NASA'!$B:$B, $B7, 'Individual data from NASA'!$K:$K, $L7)</f>
        <v>5757500000000000</v>
      </c>
      <c r="P7" s="3">
        <f>AVERAGEIFS('Individual data from NASA'!O:O, 'Individual data from NASA'!$C:$C, $F7, 'Individual data from NASA'!$B:$B, $B7, 'Individual data from NASA'!$K:$K, $L7)</f>
        <v>6132500000000000</v>
      </c>
      <c r="Q7" s="3">
        <f>AVERAGEIFS('Individual data from NASA'!P:P, 'Individual data from NASA'!$C:$C, $F7, 'Individual data from NASA'!$B:$B, $B7, 'Individual data from NASA'!$K:$K, $L7)</f>
        <v>83.75</v>
      </c>
      <c r="R7" s="3">
        <f>AVERAGEIFS('Individual data from NASA'!Q:Q, 'Individual data from NASA'!$C:$C, $F7, 'Individual data from NASA'!$B:$B, $B7, 'Individual data from NASA'!$K:$K, $L7)</f>
        <v>0.73</v>
      </c>
      <c r="S7" s="3">
        <f>AVERAGEIFS('Individual data from NASA'!R:R, 'Individual data from NASA'!$C:$C, $F7, 'Individual data from NASA'!$B:$B, $B7, 'Individual data from NASA'!$K:$K, $L7)</f>
        <v>0.27</v>
      </c>
      <c r="T7" s="3">
        <f>AVERAGEIFS('Individual data from NASA'!S:S, 'Individual data from NASA'!$C:$C, $F7, 'Individual data from NASA'!$B:$B, $B7, 'Individual data from NASA'!$K:$K, $L7)</f>
        <v>54.296312669999999</v>
      </c>
      <c r="U7" s="3">
        <f>AVERAGEIFS('Individual data from NASA'!T:T, 'Individual data from NASA'!$C:$C, $F7, 'Individual data from NASA'!$B:$B, $B7, 'Individual data from NASA'!$K:$K, $L7)</f>
        <v>20.130861360000001</v>
      </c>
      <c r="V7" s="3">
        <f>AVERAGEIFS('Individual data from NASA'!W:W, 'Individual data from NASA'!$C:$C, $F7, 'Individual data from NASA'!$B:$B, $B7, 'Individual data from NASA'!$K:$K, $L7)</f>
        <v>23.867047500000002</v>
      </c>
      <c r="W7" s="3">
        <f>AVERAGEIFS('Individual data from NASA'!U:U, 'Individual data from NASA'!$C:$C, $F7, 'Individual data from NASA'!$B:$B, $B7, 'Individual data from NASA'!$K:$K, $L7)</f>
        <v>16.150404999999999</v>
      </c>
      <c r="X7" cm="1">
        <f t="array" ref="X7">_xlfn.STDEV.S(
    _xlfn._xlws.FILTER(
        'Individual data from NASA'!M:M,
        ('Individual data from NASA'!$C:$C=$F7) *
        ('Individual data from NASA'!$B:$B=$B7) *
        ('Individual data from NASA'!$K:$K=$L7)
    )
)</f>
        <v>97470508360221.578</v>
      </c>
      <c r="Y7" cm="1">
        <f t="array" ref="Y7">_xlfn.STDEV.S(
    _xlfn._xlws.FILTER(
        'Individual data from NASA'!N:N,
        ('Individual data from NASA'!$C:$C=$F7) *
        ('Individual data from NASA'!$B:$B=$B7) *
        ('Individual data from NASA'!$K:$K=$L7)
    )
)</f>
        <v>3236298039427146.5</v>
      </c>
      <c r="Z7" cm="1">
        <f t="array" ref="Z7">_xlfn.STDEV.S(
    _xlfn._xlws.FILTER(
        'Individual data from NASA'!O:O,
        ('Individual data from NASA'!$C:$C=$F7) *
        ('Individual data from NASA'!$B:$B=$B7) *
        ('Individual data from NASA'!$K:$K=$L7)
    )
)</f>
        <v>3271242118828870.5</v>
      </c>
      <c r="AA7">
        <f t="shared" si="0"/>
        <v>0</v>
      </c>
      <c r="AB7">
        <f t="shared" si="1"/>
        <v>0</v>
      </c>
      <c r="AC7">
        <f t="shared" si="2"/>
        <v>0</v>
      </c>
      <c r="AD7">
        <f t="shared" si="3"/>
        <v>0</v>
      </c>
      <c r="AE7">
        <f t="shared" si="6"/>
        <v>24</v>
      </c>
      <c r="AF7">
        <f t="shared" si="7"/>
        <v>6.0393700787401583</v>
      </c>
      <c r="AG7">
        <f t="shared" si="8"/>
        <v>-0.82102425876010776</v>
      </c>
      <c r="AH7">
        <f t="shared" si="9"/>
        <v>-0.82161115414407437</v>
      </c>
      <c r="AI7">
        <f t="shared" si="10"/>
        <v>-0.82282412423257489</v>
      </c>
      <c r="AJ7">
        <f t="shared" si="10"/>
        <v>3.0332289910907781</v>
      </c>
      <c r="AK7">
        <f t="shared" si="10"/>
        <v>-0.16265198440009179</v>
      </c>
      <c r="AL7">
        <f t="shared" si="10"/>
        <v>1.1060842433697349</v>
      </c>
      <c r="AM7">
        <f t="shared" si="10"/>
        <v>-0.4706594272662844</v>
      </c>
      <c r="AN7">
        <f t="shared" si="10"/>
        <v>0.1618960563679242</v>
      </c>
      <c r="AO7">
        <f t="shared" si="10"/>
        <v>0.92282356495468265</v>
      </c>
      <c r="AP7">
        <f t="shared" si="10"/>
        <v>-4.4354733727810618E-2</v>
      </c>
    </row>
    <row r="8" spans="1:42" x14ac:dyDescent="0.2">
      <c r="A8" t="s">
        <v>32</v>
      </c>
      <c r="B8" t="s">
        <v>1</v>
      </c>
      <c r="C8" t="s">
        <v>110</v>
      </c>
      <c r="D8" t="s">
        <v>112</v>
      </c>
      <c r="E8">
        <v>30</v>
      </c>
      <c r="F8" t="s">
        <v>9</v>
      </c>
      <c r="G8">
        <v>17.3</v>
      </c>
      <c r="H8">
        <v>1.31</v>
      </c>
      <c r="I8">
        <v>1595</v>
      </c>
      <c r="J8">
        <v>13.67</v>
      </c>
      <c r="K8" s="2">
        <f>AVERAGEIFS('Individual data from NASA'!J:J, 'Individual data from NASA'!$C:$C, $F8, 'Individual data from NASA'!$B:$B, $B8, 'Individual data from NASA'!$K:$K, $L8) + 273.15</f>
        <v>303.64999999999998</v>
      </c>
      <c r="L8">
        <v>4</v>
      </c>
      <c r="M8">
        <f>0.127*60*60</f>
        <v>457.2</v>
      </c>
      <c r="N8" s="3">
        <f>AVERAGEIFS('Individual data from NASA'!M:M, 'Individual data from NASA'!$C:$C, $F8, 'Individual data from NASA'!$B:$B, $B8, 'Individual data from NASA'!$K:$K, $L8)</f>
        <v>3930000000000000</v>
      </c>
      <c r="O8" s="3">
        <f>AVERAGEIFS('Individual data from NASA'!N:N, 'Individual data from NASA'!$C:$C, $F8, 'Individual data from NASA'!$B:$B, $B8, 'Individual data from NASA'!$K:$K, $L8)</f>
        <v>4.925E+16</v>
      </c>
      <c r="P8" s="3">
        <f>AVERAGEIFS('Individual data from NASA'!O:O, 'Individual data from NASA'!$C:$C, $F8, 'Individual data from NASA'!$B:$B, $B8, 'Individual data from NASA'!$K:$K, $L8)</f>
        <v>5.315E+16</v>
      </c>
      <c r="Q8" s="3">
        <f>AVERAGEIFS('Individual data from NASA'!P:P, 'Individual data from NASA'!$C:$C, $F8, 'Individual data from NASA'!$B:$B, $B8, 'Individual data from NASA'!$K:$K, $L8)</f>
        <v>7.5175000000000001</v>
      </c>
      <c r="R8" s="3">
        <f>AVERAGEIFS('Individual data from NASA'!Q:Q, 'Individual data from NASA'!$C:$C, $F8, 'Individual data from NASA'!$B:$B, $B8, 'Individual data from NASA'!$K:$K, $L8)</f>
        <v>0.72799999999999998</v>
      </c>
      <c r="S8" s="3">
        <f>AVERAGEIFS('Individual data from NASA'!R:R, 'Individual data from NASA'!$C:$C, $F8, 'Individual data from NASA'!$B:$B, $B8, 'Individual data from NASA'!$K:$K, $L8)</f>
        <v>0.27200000000000002</v>
      </c>
      <c r="T8" s="3">
        <f>AVERAGEIFS('Individual data from NASA'!S:S, 'Individual data from NASA'!$C:$C, $F8, 'Individual data from NASA'!$B:$B, $B8, 'Individual data from NASA'!$K:$K, $L8)</f>
        <v>108.78420345000001</v>
      </c>
      <c r="U8" s="3">
        <f>AVERAGEIFS('Individual data from NASA'!T:T, 'Individual data from NASA'!$C:$C, $F8, 'Individual data from NASA'!$B:$B, $B8, 'Individual data from NASA'!$K:$K, $L8)</f>
        <v>41.13891813</v>
      </c>
      <c r="V8" s="3">
        <f>AVERAGEIFS('Individual data from NASA'!W:W, 'Individual data from NASA'!$C:$C, $F8, 'Individual data from NASA'!$B:$B, $B8, 'Individual data from NASA'!$K:$K, $L8)</f>
        <v>12.049999999999999</v>
      </c>
      <c r="W8" s="3">
        <f>AVERAGEIFS('Individual data from NASA'!U:U, 'Individual data from NASA'!$C:$C, $F8, 'Individual data from NASA'!$B:$B, $B8, 'Individual data from NASA'!$K:$K, $L8)</f>
        <v>16.383333333333333</v>
      </c>
      <c r="X8" cm="1">
        <f t="array" ref="X8">_xlfn.STDEV.S(
    _xlfn._xlws.FILTER(
        'Individual data from NASA'!M:M,
        ('Individual data from NASA'!$C:$C=$F8) *
        ('Individual data from NASA'!$B:$B=$B8) *
        ('Individual data from NASA'!$K:$K=$L8)
    )
)</f>
        <v>854049178911848.5</v>
      </c>
      <c r="Y8" cm="1">
        <f t="array" ref="Y8">_xlfn.STDEV.S(
    _xlfn._xlws.FILTER(
        'Individual data from NASA'!N:N,
        ('Individual data from NASA'!$C:$C=$F8) *
        ('Individual data from NASA'!$B:$B=$B8) *
        ('Individual data from NASA'!$K:$K=$L8)
    )
)</f>
        <v>8686253507698252</v>
      </c>
      <c r="Z8" cm="1">
        <f t="array" ref="Z8">_xlfn.STDEV.S(
    _xlfn._xlws.FILTER(
        'Individual data from NASA'!O:O,
        ('Individual data from NASA'!$C:$C=$F8) *
        ('Individual data from NASA'!$B:$B=$B8) *
        ('Individual data from NASA'!$K:$K=$L8)
    )
)</f>
        <v>9390154418325618</v>
      </c>
      <c r="AA8">
        <f t="shared" si="0"/>
        <v>-1.7045454545454586E-2</v>
      </c>
      <c r="AB8">
        <f t="shared" si="1"/>
        <v>0.40860215053763438</v>
      </c>
      <c r="AC8">
        <f t="shared" si="2"/>
        <v>3.1644908616187988</v>
      </c>
      <c r="AD8">
        <f t="shared" si="3"/>
        <v>-1.4609203798392676E-3</v>
      </c>
      <c r="AE8">
        <f t="shared" si="6"/>
        <v>0</v>
      </c>
      <c r="AF8">
        <f t="shared" si="7"/>
        <v>0</v>
      </c>
      <c r="AG8">
        <f t="shared" si="8"/>
        <v>0.6948787061994609</v>
      </c>
      <c r="AH8">
        <f t="shared" si="9"/>
        <v>0.52594887683965919</v>
      </c>
      <c r="AI8">
        <f t="shared" si="10"/>
        <v>0.53557240881184542</v>
      </c>
      <c r="AJ8">
        <f t="shared" si="10"/>
        <v>-0.63797254996388153</v>
      </c>
      <c r="AK8">
        <f t="shared" si="10"/>
        <v>-0.16494608855242032</v>
      </c>
      <c r="AL8">
        <f t="shared" si="10"/>
        <v>1.1216848673946958</v>
      </c>
      <c r="AM8">
        <f t="shared" si="10"/>
        <v>6.0548860998815318E-2</v>
      </c>
      <c r="AN8">
        <f t="shared" si="10"/>
        <v>1.3744213366580902</v>
      </c>
      <c r="AO8">
        <f t="shared" si="10"/>
        <v>-2.9204431017120037E-2</v>
      </c>
      <c r="AP8">
        <f t="shared" si="10"/>
        <v>-3.0571992110453597E-2</v>
      </c>
    </row>
    <row r="9" spans="1:42" x14ac:dyDescent="0.2">
      <c r="A9" t="s">
        <v>32</v>
      </c>
      <c r="B9" t="s">
        <v>1</v>
      </c>
      <c r="C9" t="s">
        <v>110</v>
      </c>
      <c r="D9" t="s">
        <v>112</v>
      </c>
      <c r="E9">
        <v>30</v>
      </c>
      <c r="F9" t="s">
        <v>9</v>
      </c>
      <c r="G9">
        <v>17.3</v>
      </c>
      <c r="H9">
        <v>1.31</v>
      </c>
      <c r="I9">
        <v>1595</v>
      </c>
      <c r="J9">
        <v>13.67</v>
      </c>
      <c r="K9" s="2">
        <f>AVERAGEIFS('Individual data from NASA'!J:J, 'Individual data from NASA'!$C:$C, $F9, 'Individual data from NASA'!$B:$B, $B9, 'Individual data from NASA'!$K:$K, $L9) + 273.15</f>
        <v>298.57857142857142</v>
      </c>
      <c r="L9">
        <v>7</v>
      </c>
      <c r="M9">
        <f>0.15586*60*60</f>
        <v>561.096</v>
      </c>
      <c r="N9" s="3">
        <f>AVERAGEIFS('Individual data from NASA'!M:M, 'Individual data from NASA'!$C:$C, $F9, 'Individual data from NASA'!$B:$B, $B9, 'Individual data from NASA'!$K:$K, $L9)</f>
        <v>2588571428571428.5</v>
      </c>
      <c r="O9" s="3">
        <f>AVERAGEIFS('Individual data from NASA'!N:N, 'Individual data from NASA'!$C:$C, $F9, 'Individual data from NASA'!$B:$B, $B9, 'Individual data from NASA'!$K:$K, $L9)</f>
        <v>5.9014285714285712E+16</v>
      </c>
      <c r="P9" s="3">
        <f>AVERAGEIFS('Individual data from NASA'!O:O, 'Individual data from NASA'!$C:$C, $F9, 'Individual data from NASA'!$B:$B, $B9, 'Individual data from NASA'!$K:$K, $L9)</f>
        <v>6.16E+16</v>
      </c>
      <c r="Q9" s="3">
        <f>AVERAGEIFS('Individual data from NASA'!P:P, 'Individual data from NASA'!$C:$C, $F9, 'Individual data from NASA'!$B:$B, $B9, 'Individual data from NASA'!$K:$K, $L9)</f>
        <v>23.14833333333333</v>
      </c>
      <c r="R9" s="3">
        <f>AVERAGEIFS('Individual data from NASA'!Q:Q, 'Individual data from NASA'!$C:$C, $F9, 'Individual data from NASA'!$B:$B, $B9, 'Individual data from NASA'!$K:$K, $L9)</f>
        <v>0.77900000000000003</v>
      </c>
      <c r="S9" s="3">
        <f>AVERAGEIFS('Individual data from NASA'!R:R, 'Individual data from NASA'!$C:$C, $F9, 'Individual data from NASA'!$B:$B, $B9, 'Individual data from NASA'!$K:$K, $L9)</f>
        <v>0.221</v>
      </c>
      <c r="T9" s="3">
        <f>AVERAGEIFS('Individual data from NASA'!S:S, 'Individual data from NASA'!$C:$C, $F9, 'Individual data from NASA'!$B:$B, $B9, 'Individual data from NASA'!$K:$K, $L9)</f>
        <v>66.87884385000001</v>
      </c>
      <c r="U9" s="3">
        <f>AVERAGEIFS('Individual data from NASA'!T:T, 'Individual data from NASA'!$C:$C, $F9, 'Individual data from NASA'!$B:$B, $B9, 'Individual data from NASA'!$K:$K, $L9)</f>
        <v>18.793538892499999</v>
      </c>
      <c r="V9" s="3">
        <f>AVERAGEIFS('Individual data from NASA'!W:W, 'Individual data from NASA'!$C:$C, $F9, 'Individual data from NASA'!$B:$B, $B9, 'Individual data from NASA'!$K:$K, $L9)</f>
        <v>11.138260278571428</v>
      </c>
      <c r="W9" s="3">
        <f>AVERAGEIFS('Individual data from NASA'!U:U, 'Individual data from NASA'!$C:$C, $F9, 'Individual data from NASA'!$B:$B, $B9, 'Individual data from NASA'!$K:$K, $L9)</f>
        <v>14.801714035714285</v>
      </c>
      <c r="X9" cm="1">
        <f t="array" ref="X9">_xlfn.STDEV.S(
    _xlfn._xlws.FILTER(
        'Individual data from NASA'!M:M,
        ('Individual data from NASA'!$C:$C=$F9) *
        ('Individual data from NASA'!$B:$B=$B9) *
        ('Individual data from NASA'!$K:$K=$L9)
    )
)</f>
        <v>1532366672519216.8</v>
      </c>
      <c r="Y9" cm="1">
        <f t="array" ref="Y9">_xlfn.STDEV.S(
    _xlfn._xlws.FILTER(
        'Individual data from NASA'!N:N,
        ('Individual data from NASA'!$C:$C=$F9) *
        ('Individual data from NASA'!$B:$B=$B9) *
        ('Individual data from NASA'!$K:$K=$L9)
    )
)</f>
        <v>1.240153600317695E+16</v>
      </c>
      <c r="Z9" cm="1">
        <f t="array" ref="Z9">_xlfn.STDEV.S(
    _xlfn._xlws.FILTER(
        'Individual data from NASA'!O:O,
        ('Individual data from NASA'!$C:$C=$F9) *
        ('Individual data from NASA'!$B:$B=$B9) *
        ('Individual data from NASA'!$K:$K=$L9)
    )
)</f>
        <v>1.313138733467769E+16</v>
      </c>
      <c r="AA9">
        <f t="shared" si="0"/>
        <v>-1.7045454545454586E-2</v>
      </c>
      <c r="AB9">
        <f t="shared" si="1"/>
        <v>0.40860215053763438</v>
      </c>
      <c r="AC9">
        <f t="shared" si="2"/>
        <v>3.1644908616187988</v>
      </c>
      <c r="AD9">
        <f t="shared" si="3"/>
        <v>-1.4609203798392676E-3</v>
      </c>
      <c r="AE9">
        <f t="shared" si="6"/>
        <v>0.75</v>
      </c>
      <c r="AF9">
        <f t="shared" si="7"/>
        <v>0.22724409448818902</v>
      </c>
      <c r="AG9">
        <f t="shared" si="8"/>
        <v>0.11636503658066998</v>
      </c>
      <c r="AH9">
        <f t="shared" si="9"/>
        <v>0.82848290361845733</v>
      </c>
      <c r="AI9">
        <f t="shared" si="10"/>
        <v>0.77970386421090643</v>
      </c>
      <c r="AJ9">
        <f t="shared" si="10"/>
        <v>0.11477646681114054</v>
      </c>
      <c r="AK9">
        <f t="shared" si="10"/>
        <v>-0.10644643266804311</v>
      </c>
      <c r="AL9">
        <f t="shared" si="10"/>
        <v>0.72386895475819024</v>
      </c>
      <c r="AM9">
        <f t="shared" si="10"/>
        <v>-0.34799098195690165</v>
      </c>
      <c r="AN9">
        <f t="shared" si="10"/>
        <v>8.4709607497538003E-2</v>
      </c>
      <c r="AO9">
        <f t="shared" si="10"/>
        <v>-0.10265778218961316</v>
      </c>
      <c r="AP9">
        <f t="shared" si="10"/>
        <v>-0.1241589327979712</v>
      </c>
    </row>
    <row r="10" spans="1:42" x14ac:dyDescent="0.2">
      <c r="A10" t="s">
        <v>32</v>
      </c>
      <c r="B10" t="s">
        <v>1</v>
      </c>
      <c r="C10" t="s">
        <v>110</v>
      </c>
      <c r="D10" t="s">
        <v>112</v>
      </c>
      <c r="E10">
        <v>30</v>
      </c>
      <c r="F10" t="s">
        <v>9</v>
      </c>
      <c r="G10">
        <v>17.3</v>
      </c>
      <c r="H10">
        <v>1.31</v>
      </c>
      <c r="I10">
        <v>1595</v>
      </c>
      <c r="J10">
        <v>13.67</v>
      </c>
      <c r="K10" s="2">
        <f>AVERAGEIFS('Individual data from NASA'!J:J, 'Individual data from NASA'!$C:$C, $F10, 'Individual data from NASA'!$B:$B, $B10, 'Individual data from NASA'!$K:$K, $L10) + 273.15</f>
        <v>299.89999999999998</v>
      </c>
      <c r="L10">
        <v>30</v>
      </c>
      <c r="M10">
        <f>0.342*60*60</f>
        <v>1231.2000000000003</v>
      </c>
      <c r="N10" s="3">
        <f>AVERAGEIFS('Individual data from NASA'!M:M, 'Individual data from NASA'!$C:$C, $F10, 'Individual data from NASA'!$B:$B, $B10, 'Individual data from NASA'!$K:$K, $L10)</f>
        <v>151850000000000</v>
      </c>
      <c r="O10" s="3">
        <f>AVERAGEIFS('Individual data from NASA'!N:N, 'Individual data from NASA'!$C:$C, $F10, 'Individual data from NASA'!$B:$B, $B10, 'Individual data from NASA'!$K:$K, $L10)</f>
        <v>5.42E+16</v>
      </c>
      <c r="P10" s="3">
        <f>AVERAGEIFS('Individual data from NASA'!O:O, 'Individual data from NASA'!$C:$C, $F10, 'Individual data from NASA'!$B:$B, $B10, 'Individual data from NASA'!$K:$K, $L10)</f>
        <v>5.4375E+16</v>
      </c>
      <c r="Q10" s="3">
        <f>AVERAGEIFS('Individual data from NASA'!P:P, 'Individual data from NASA'!$C:$C, $F10, 'Individual data from NASA'!$B:$B, $B10, 'Individual data from NASA'!$K:$K, $L10)</f>
        <v>11.85525</v>
      </c>
      <c r="R10" s="3">
        <f>AVERAGEIFS('Individual data from NASA'!Q:Q, 'Individual data from NASA'!$C:$C, $F10, 'Individual data from NASA'!$B:$B, $B10, 'Individual data from NASA'!$K:$K, $L10)</f>
        <v>0.61199999999999999</v>
      </c>
      <c r="S10" s="3">
        <f>AVERAGEIFS('Individual data from NASA'!R:R, 'Individual data from NASA'!$C:$C, $F10, 'Individual data from NASA'!$B:$B, $B10, 'Individual data from NASA'!$K:$K, $L10)</f>
        <v>0.38799999999999996</v>
      </c>
      <c r="T10" s="3">
        <f>AVERAGEIFS('Individual data from NASA'!S:S, 'Individual data from NASA'!$C:$C, $F10, 'Individual data from NASA'!$B:$B, $B10, 'Individual data from NASA'!$K:$K, $L10)</f>
        <v>97.680976723333345</v>
      </c>
      <c r="U10" s="3">
        <f>AVERAGEIFS('Individual data from NASA'!T:T, 'Individual data from NASA'!$C:$C, $F10, 'Individual data from NASA'!$B:$B, $B10, 'Individual data from NASA'!$K:$K, $L10)</f>
        <v>62.660457763333334</v>
      </c>
      <c r="V10" s="3">
        <f>AVERAGEIFS('Individual data from NASA'!W:W, 'Individual data from NASA'!$C:$C, $F10, 'Individual data from NASA'!$B:$B, $B10, 'Individual data from NASA'!$K:$K, $L10)</f>
        <v>14.7950298675</v>
      </c>
      <c r="W10" s="3">
        <f>AVERAGEIFS('Individual data from NASA'!U:U, 'Individual data from NASA'!$C:$C, $F10, 'Individual data from NASA'!$B:$B, $B10, 'Individual data from NASA'!$K:$K, $L10)</f>
        <v>15.005112277499999</v>
      </c>
      <c r="X10" cm="1">
        <f t="array" ref="X10">_xlfn.STDEV.S(
    _xlfn._xlws.FILTER(
        'Individual data from NASA'!M:M,
        ('Individual data from NASA'!$C:$C=$F10) *
        ('Individual data from NASA'!$B:$B=$B10) *
        ('Individual data from NASA'!$K:$K=$L10)
    )
)</f>
        <v>64627831981791.422</v>
      </c>
      <c r="Y10" cm="1">
        <f t="array" ref="Y10">_xlfn.STDEV.S(
    _xlfn._xlws.FILTER(
        'Individual data from NASA'!N:N,
        ('Individual data from NASA'!$C:$C=$F10) *
        ('Individual data from NASA'!$B:$B=$B10) *
        ('Individual data from NASA'!$K:$K=$L10)
    )
)</f>
        <v>1.1413150310059E+16</v>
      </c>
      <c r="Z10" cm="1">
        <f t="array" ref="Z10">_xlfn.STDEV.S(
    _xlfn._xlws.FILTER(
        'Individual data from NASA'!O:O,
        ('Individual data from NASA'!$C:$C=$F10) *
        ('Individual data from NASA'!$B:$B=$B10) *
        ('Individual data from NASA'!$K:$K=$L10)
    )
)</f>
        <v>1.1322948673674502E+16</v>
      </c>
      <c r="AA10">
        <f t="shared" si="0"/>
        <v>-1.7045454545454586E-2</v>
      </c>
      <c r="AB10">
        <f t="shared" si="1"/>
        <v>0.40860215053763438</v>
      </c>
      <c r="AC10">
        <f t="shared" si="2"/>
        <v>3.1644908616187988</v>
      </c>
      <c r="AD10">
        <f t="shared" si="3"/>
        <v>-1.4609203798392676E-3</v>
      </c>
      <c r="AE10">
        <f t="shared" si="6"/>
        <v>6.5</v>
      </c>
      <c r="AF10">
        <f t="shared" si="7"/>
        <v>1.6929133858267722</v>
      </c>
      <c r="AG10">
        <f t="shared" si="8"/>
        <v>-0.9345121293800539</v>
      </c>
      <c r="AH10">
        <f t="shared" si="9"/>
        <v>0.67931835786212236</v>
      </c>
      <c r="AI10">
        <f t="shared" si="10"/>
        <v>0.57096424702058501</v>
      </c>
      <c r="AJ10">
        <f t="shared" si="10"/>
        <v>-0.42907536720443046</v>
      </c>
      <c r="AK10">
        <f t="shared" si="10"/>
        <v>-0.29800412938747423</v>
      </c>
      <c r="AL10">
        <f t="shared" si="10"/>
        <v>2.0265210608424331</v>
      </c>
      <c r="AM10">
        <f t="shared" si="10"/>
        <v>-4.7697686614968142E-2</v>
      </c>
      <c r="AN10">
        <f t="shared" si="10"/>
        <v>2.6165833872409063</v>
      </c>
      <c r="AO10">
        <f t="shared" si="10"/>
        <v>0.19194601148036242</v>
      </c>
      <c r="AP10">
        <f t="shared" si="10"/>
        <v>-0.11212353387573966</v>
      </c>
    </row>
    <row r="11" spans="1:42" x14ac:dyDescent="0.2">
      <c r="A11" t="s">
        <v>32</v>
      </c>
      <c r="B11" t="s">
        <v>1</v>
      </c>
      <c r="C11" t="s">
        <v>110</v>
      </c>
      <c r="D11" t="s">
        <v>112</v>
      </c>
      <c r="E11">
        <v>30</v>
      </c>
      <c r="F11" t="s">
        <v>9</v>
      </c>
      <c r="G11">
        <v>17.3</v>
      </c>
      <c r="H11">
        <v>1.31</v>
      </c>
      <c r="I11">
        <v>1595</v>
      </c>
      <c r="J11">
        <v>13.67</v>
      </c>
      <c r="K11" s="2">
        <f>AVERAGEIFS('Individual data from NASA'!J:J, 'Individual data from NASA'!$C:$C, $F11, 'Individual data from NASA'!$B:$B, $B11, 'Individual data from NASA'!$K:$K, $L11) + 273.15</f>
        <v>300.64999999999998</v>
      </c>
      <c r="L11">
        <v>65</v>
      </c>
      <c r="M11">
        <f>0.602*60*60</f>
        <v>2167.1999999999998</v>
      </c>
      <c r="N11" s="3">
        <f>AVERAGEIFS('Individual data from NASA'!M:M, 'Individual data from NASA'!$C:$C, $F11, 'Individual data from NASA'!$B:$B, $B11, 'Individual data from NASA'!$K:$K, $L11)</f>
        <v>166250000000000</v>
      </c>
      <c r="O11" s="3">
        <f>AVERAGEIFS('Individual data from NASA'!N:N, 'Individual data from NASA'!$C:$C, $F11, 'Individual data from NASA'!$B:$B, $B11, 'Individual data from NASA'!$K:$K, $L11)</f>
        <v>2.8175E+16</v>
      </c>
      <c r="P11" s="3">
        <f>AVERAGEIFS('Individual data from NASA'!O:O, 'Individual data from NASA'!$C:$C, $F11, 'Individual data from NASA'!$B:$B, $B11, 'Individual data from NASA'!$K:$K, $L11)</f>
        <v>2.8325E+16</v>
      </c>
      <c r="Q11" s="3">
        <f>AVERAGEIFS('Individual data from NASA'!P:P, 'Individual data from NASA'!$C:$C, $F11, 'Individual data from NASA'!$B:$B, $B11, 'Individual data from NASA'!$K:$K, $L11)</f>
        <v>16.307500000000001</v>
      </c>
      <c r="R11" s="3">
        <f>AVERAGEIFS('Individual data from NASA'!Q:Q, 'Individual data from NASA'!$C:$C, $F11, 'Individual data from NASA'!$B:$B, $B11, 'Individual data from NASA'!$K:$K, $L11)</f>
        <v>0.59499999999999997</v>
      </c>
      <c r="S11" s="3">
        <f>AVERAGEIFS('Individual data from NASA'!R:R, 'Individual data from NASA'!$C:$C, $F11, 'Individual data from NASA'!$B:$B, $B11, 'Individual data from NASA'!$K:$K, $L11)</f>
        <v>0.40500000000000003</v>
      </c>
      <c r="T11" s="3">
        <f>AVERAGEIFS('Individual data from NASA'!S:S, 'Individual data from NASA'!$C:$C, $F11, 'Individual data from NASA'!$B:$B, $B11, 'Individual data from NASA'!$K:$K, $L11)</f>
        <v>68.699623105000001</v>
      </c>
      <c r="U11" s="3">
        <f>AVERAGEIFS('Individual data from NASA'!T:T, 'Individual data from NASA'!$C:$C, $F11, 'Individual data from NASA'!$B:$B, $B11, 'Individual data from NASA'!$K:$K, $L11)</f>
        <v>46.667572454999998</v>
      </c>
      <c r="V11" s="3">
        <f>AVERAGEIFS('Individual data from NASA'!W:W, 'Individual data from NASA'!$C:$C, $F11, 'Individual data from NASA'!$B:$B, $B11, 'Individual data from NASA'!$K:$K, $L11)</f>
        <v>17.175106477500002</v>
      </c>
      <c r="W11" s="3">
        <f>AVERAGEIFS('Individual data from NASA'!U:U, 'Individual data from NASA'!$C:$C, $F11, 'Individual data from NASA'!$B:$B, $B11, 'Individual data from NASA'!$K:$K, $L11)</f>
        <v>14.77841134</v>
      </c>
      <c r="X11" cm="1">
        <f t="array" ref="X11">_xlfn.STDEV.S(
    _xlfn._xlws.FILTER(
        'Individual data from NASA'!M:M,
        ('Individual data from NASA'!$C:$C=$F11) *
        ('Individual data from NASA'!$B:$B=$B11) *
        ('Individual data from NASA'!$K:$K=$L11)
    )
)</f>
        <v>40368097965266.312</v>
      </c>
      <c r="Y11" cm="1">
        <f t="array" ref="Y11">_xlfn.STDEV.S(
    _xlfn._xlws.FILTER(
        'Individual data from NASA'!N:N,
        ('Individual data from NASA'!$C:$C=$F11) *
        ('Individual data from NASA'!$B:$B=$B11) *
        ('Individual data from NASA'!$K:$K=$L11)
    )
)</f>
        <v>1.084631273751592E+16</v>
      </c>
      <c r="Z11" cm="1">
        <f t="array" ref="Z11">_xlfn.STDEV.S(
    _xlfn._xlws.FILTER(
        'Individual data from NASA'!O:O,
        ('Individual data from NASA'!$C:$C=$F11) *
        ('Individual data from NASA'!$B:$B=$B11) *
        ('Individual data from NASA'!$K:$K=$L11)
    )
)</f>
        <v>1.0804127297781466E+16</v>
      </c>
      <c r="AA11">
        <f t="shared" si="0"/>
        <v>-1.7045454545454586E-2</v>
      </c>
      <c r="AB11">
        <f t="shared" si="1"/>
        <v>0.40860215053763438</v>
      </c>
      <c r="AC11">
        <f t="shared" si="2"/>
        <v>3.1644908616187988</v>
      </c>
      <c r="AD11">
        <f t="shared" si="3"/>
        <v>-1.4609203798392676E-3</v>
      </c>
      <c r="AE11">
        <f t="shared" si="6"/>
        <v>15.25</v>
      </c>
      <c r="AF11">
        <f t="shared" si="7"/>
        <v>3.7401574803149602</v>
      </c>
      <c r="AG11">
        <f t="shared" si="8"/>
        <v>-0.92830188679245285</v>
      </c>
      <c r="AH11">
        <f t="shared" si="9"/>
        <v>-0.12703330751355538</v>
      </c>
      <c r="AI11">
        <f t="shared" si="10"/>
        <v>-0.18165402672444925</v>
      </c>
      <c r="AJ11">
        <f t="shared" si="10"/>
        <v>-0.21466409824223437</v>
      </c>
      <c r="AK11">
        <f t="shared" si="10"/>
        <v>-0.31750401468226663</v>
      </c>
      <c r="AL11">
        <f t="shared" si="10"/>
        <v>2.1591263650546022</v>
      </c>
      <c r="AM11">
        <f t="shared" si="10"/>
        <v>-0.33024000981407525</v>
      </c>
      <c r="AN11">
        <f t="shared" si="10"/>
        <v>1.6935195382880956</v>
      </c>
      <c r="AO11">
        <f t="shared" si="10"/>
        <v>0.38369437885196372</v>
      </c>
      <c r="AP11">
        <f t="shared" si="10"/>
        <v>-0.12553779053254432</v>
      </c>
    </row>
    <row r="12" spans="1:42" x14ac:dyDescent="0.2">
      <c r="A12" t="s">
        <v>32</v>
      </c>
      <c r="B12" t="s">
        <v>1</v>
      </c>
      <c r="C12" t="s">
        <v>110</v>
      </c>
      <c r="D12" t="s">
        <v>112</v>
      </c>
      <c r="E12">
        <v>30</v>
      </c>
      <c r="F12" t="s">
        <v>9</v>
      </c>
      <c r="G12">
        <v>17.3</v>
      </c>
      <c r="H12">
        <v>1.31</v>
      </c>
      <c r="I12">
        <v>1595</v>
      </c>
      <c r="J12">
        <v>13.67</v>
      </c>
      <c r="K12" s="2">
        <f>AVERAGEIFS('Individual data from NASA'!J:J, 'Individual data from NASA'!$C:$C, $F12, 'Individual data from NASA'!$B:$B, $B12, 'Individual data from NASA'!$K:$K, $L12) + 273.15</f>
        <v>300.14999999999998</v>
      </c>
      <c r="L12">
        <v>85</v>
      </c>
      <c r="M12">
        <f>0.845*60*60</f>
        <v>3041.9999999999995</v>
      </c>
      <c r="N12" s="3">
        <f>AVERAGEIFS('Individual data from NASA'!M:M, 'Individual data from NASA'!$C:$C, $F12, 'Individual data from NASA'!$B:$B, $B12, 'Individual data from NASA'!$K:$K, $L12)</f>
        <v>321666666666666.69</v>
      </c>
      <c r="O12" s="3">
        <f>AVERAGEIFS('Individual data from NASA'!N:N, 'Individual data from NASA'!$C:$C, $F12, 'Individual data from NASA'!$B:$B, $B12, 'Individual data from NASA'!$K:$K, $L12)</f>
        <v>1.266E+16</v>
      </c>
      <c r="P12" s="3">
        <f>AVERAGEIFS('Individual data from NASA'!O:O, 'Individual data from NASA'!$C:$C, $F12, 'Individual data from NASA'!$B:$B, $B12, 'Individual data from NASA'!$K:$K, $L12)</f>
        <v>1.296E+16</v>
      </c>
      <c r="Q12" s="3">
        <f>AVERAGEIFS('Individual data from NASA'!P:P, 'Individual data from NASA'!$C:$C, $F12, 'Individual data from NASA'!$B:$B, $B12, 'Individual data from NASA'!$K:$K, $L12)</f>
        <v>88.445666666666668</v>
      </c>
      <c r="R12" s="3">
        <f>AVERAGEIFS('Individual data from NASA'!Q:Q, 'Individual data from NASA'!$C:$C, $F12, 'Individual data from NASA'!$B:$B, $B12, 'Individual data from NASA'!$K:$K, $L12)</f>
        <v>0.489799074</v>
      </c>
      <c r="S12" s="3">
        <f>AVERAGEIFS('Individual data from NASA'!R:R, 'Individual data from NASA'!$C:$C, $F12, 'Individual data from NASA'!$B:$B, $B12, 'Individual data from NASA'!$K:$K, $L12)</f>
        <v>0.510200926</v>
      </c>
      <c r="T12" s="3">
        <f>AVERAGEIFS('Individual data from NASA'!S:S, 'Individual data from NASA'!$C:$C, $F12, 'Individual data from NASA'!$B:$B, $B12, 'Individual data from NASA'!$K:$K, $L12)</f>
        <v>59.046895755000001</v>
      </c>
      <c r="U12" s="3">
        <f>AVERAGEIFS('Individual data from NASA'!T:T, 'Individual data from NASA'!$C:$C, $F12, 'Individual data from NASA'!$B:$B, $B12, 'Individual data from NASA'!$K:$K, $L12)</f>
        <v>62.308357345000005</v>
      </c>
      <c r="V12" s="3">
        <f>AVERAGEIFS('Individual data from NASA'!W:W, 'Individual data from NASA'!$C:$C, $F12, 'Individual data from NASA'!$B:$B, $B12, 'Individual data from NASA'!$K:$K, $L12)</f>
        <v>25.179764943333335</v>
      </c>
      <c r="W12" s="3">
        <f>AVERAGEIFS('Individual data from NASA'!U:U, 'Individual data from NASA'!$C:$C, $F12, 'Individual data from NASA'!$B:$B, $B12, 'Individual data from NASA'!$K:$K, $L12)</f>
        <v>14.686788776666667</v>
      </c>
      <c r="X12" cm="1">
        <f t="array" ref="X12">_xlfn.STDEV.S(
    _xlfn._xlws.FILTER(
        'Individual data from NASA'!M:M,
        ('Individual data from NASA'!$C:$C=$F12) *
        ('Individual data from NASA'!$B:$B=$B12) *
        ('Individual data from NASA'!$K:$K=$L12)
    )
)</f>
        <v>23501772982763.094</v>
      </c>
      <c r="Y12" cm="1">
        <f t="array" ref="Y12">_xlfn.STDEV.S(
    _xlfn._xlws.FILTER(
        'Individual data from NASA'!N:N,
        ('Individual data from NASA'!$C:$C=$F12) *
        ('Individual data from NASA'!$B:$B=$B12) *
        ('Individual data from NASA'!$K:$K=$L12)
    )
)</f>
        <v>8390160904297366</v>
      </c>
      <c r="Z12" cm="1">
        <f t="array" ref="Z12">_xlfn.STDEV.S(
    _xlfn._xlws.FILTER(
        'Individual data from NASA'!O:O,
        ('Individual data from NASA'!$C:$C=$F12) *
        ('Individual data from NASA'!$B:$B=$B12) *
        ('Individual data from NASA'!$K:$K=$L12)
    )
)</f>
        <v>8390160904297368</v>
      </c>
      <c r="AA12">
        <f t="shared" si="0"/>
        <v>-1.7045454545454586E-2</v>
      </c>
      <c r="AB12">
        <f t="shared" si="1"/>
        <v>0.40860215053763438</v>
      </c>
      <c r="AC12">
        <f t="shared" si="2"/>
        <v>3.1644908616187988</v>
      </c>
      <c r="AD12">
        <f t="shared" si="3"/>
        <v>-1.4609203798392676E-3</v>
      </c>
      <c r="AE12">
        <f t="shared" si="6"/>
        <v>20.25</v>
      </c>
      <c r="AF12">
        <f t="shared" si="7"/>
        <v>5.6535433070866139</v>
      </c>
      <c r="AG12">
        <f t="shared" si="8"/>
        <v>-0.86127583108715178</v>
      </c>
      <c r="AH12">
        <f t="shared" si="9"/>
        <v>-0.60774593338497285</v>
      </c>
      <c r="AI12">
        <f t="shared" si="10"/>
        <v>-0.62556879739978333</v>
      </c>
      <c r="AJ12">
        <f t="shared" si="10"/>
        <v>3.2593627096877764</v>
      </c>
      <c r="AK12" s="4">
        <f t="shared" ref="AK12:AP12" si="11">(R12-R$2)/R$2</f>
        <v>-0.43817495526496902</v>
      </c>
      <c r="AL12" s="4">
        <f t="shared" si="11"/>
        <v>2.9797264118564741</v>
      </c>
      <c r="AM12" s="4">
        <f t="shared" si="11"/>
        <v>-0.42434548351256018</v>
      </c>
      <c r="AN12" s="4">
        <f t="shared" si="11"/>
        <v>2.5962611526285371</v>
      </c>
      <c r="AO12" s="4">
        <f t="shared" si="11"/>
        <v>1.0285812643168848</v>
      </c>
      <c r="AP12" s="4">
        <f t="shared" si="11"/>
        <v>-0.13095924398422082</v>
      </c>
    </row>
    <row r="13" spans="1:42" x14ac:dyDescent="0.2">
      <c r="A13" t="s">
        <v>32</v>
      </c>
      <c r="B13" t="s">
        <v>1</v>
      </c>
      <c r="C13" t="s">
        <v>110</v>
      </c>
      <c r="D13" t="s">
        <v>112</v>
      </c>
      <c r="E13">
        <v>30</v>
      </c>
      <c r="F13" t="s">
        <v>9</v>
      </c>
      <c r="G13">
        <v>17.3</v>
      </c>
      <c r="H13">
        <v>1.31</v>
      </c>
      <c r="I13">
        <v>1595</v>
      </c>
      <c r="J13">
        <v>13.67</v>
      </c>
      <c r="K13" s="2">
        <f>AVERAGEIFS('Individual data from NASA'!J:J, 'Individual data from NASA'!$C:$C, $F13, 'Individual data from NASA'!$B:$B, $B13, 'Individual data from NASA'!$K:$K, $L13) + 273.15</f>
        <v>300.81666666666666</v>
      </c>
      <c r="L13">
        <v>100</v>
      </c>
      <c r="M13">
        <f>0.894*60*60</f>
        <v>3218.4</v>
      </c>
      <c r="N13" s="3">
        <f>AVERAGEIFS('Individual data from NASA'!M:M, 'Individual data from NASA'!$C:$C, $F13, 'Individual data from NASA'!$B:$B, $B13, 'Individual data from NASA'!$K:$K, $L13)</f>
        <v>516000000000000</v>
      </c>
      <c r="O13" s="3">
        <f>AVERAGEIFS('Individual data from NASA'!N:N, 'Individual data from NASA'!$C:$C, $F13, 'Individual data from NASA'!$B:$B, $B13, 'Individual data from NASA'!$K:$K, $L13)</f>
        <v>1.5246666666666666E+16</v>
      </c>
      <c r="P13" s="3">
        <f>AVERAGEIFS('Individual data from NASA'!O:O, 'Individual data from NASA'!$C:$C, $F13, 'Individual data from NASA'!$B:$B, $B13, 'Individual data from NASA'!$K:$K, $L13)</f>
        <v>1.574E+16</v>
      </c>
      <c r="Q13" s="3">
        <f>AVERAGEIFS('Individual data from NASA'!P:P, 'Individual data from NASA'!$C:$C, $F13, 'Individual data from NASA'!$B:$B, $B13, 'Individual data from NASA'!$K:$K, $L13)</f>
        <v>106.73333333333333</v>
      </c>
      <c r="R13" s="3">
        <f>AVERAGEIFS('Individual data from NASA'!Q:Q, 'Individual data from NASA'!$C:$C, $F13, 'Individual data from NASA'!$B:$B, $B13, 'Individual data from NASA'!$K:$K, $L13)</f>
        <v>0.57250000000000001</v>
      </c>
      <c r="S13" s="3">
        <f>AVERAGEIFS('Individual data from NASA'!R:R, 'Individual data from NASA'!$C:$C, $F13, 'Individual data from NASA'!$B:$B, $B13, 'Individual data from NASA'!$K:$K, $L13)</f>
        <v>0.42749999999999999</v>
      </c>
      <c r="T13" s="3">
        <f>AVERAGEIFS('Individual data from NASA'!S:S, 'Individual data from NASA'!$C:$C, $F13, 'Individual data from NASA'!$B:$B, $B13, 'Individual data from NASA'!$K:$K, $L13)</f>
        <v>64.400673259999991</v>
      </c>
      <c r="U13" s="3">
        <f>AVERAGEIFS('Individual data from NASA'!T:T, 'Individual data from NASA'!$C:$C, $F13, 'Individual data from NASA'!$B:$B, $B13, 'Individual data from NASA'!$K:$K, $L13)</f>
        <v>47.644417564999998</v>
      </c>
      <c r="V13" s="3">
        <f>AVERAGEIFS('Individual data from NASA'!W:W, 'Individual data from NASA'!$C:$C, $F13, 'Individual data from NASA'!$B:$B, $B13, 'Individual data from NASA'!$K:$K, $L13)</f>
        <v>22.536480000000001</v>
      </c>
      <c r="W13" s="3">
        <f>AVERAGEIFS('Individual data from NASA'!U:U, 'Individual data from NASA'!$C:$C, $F13, 'Individual data from NASA'!$B:$B, $B13, 'Individual data from NASA'!$K:$K, $L13)</f>
        <v>14.394950446666664</v>
      </c>
      <c r="X13" cm="1">
        <f t="array" ref="X13">_xlfn.STDEV.S(
    _xlfn._xlws.FILTER(
        'Individual data from NASA'!M:M,
        ('Individual data from NASA'!$C:$C=$F13) *
        ('Individual data from NASA'!$B:$B=$B13) *
        ('Individual data from NASA'!$K:$K=$L13)
    )
)</f>
        <v>147959453905453.38</v>
      </c>
      <c r="Y13" cm="1">
        <f t="array" ref="Y13">_xlfn.STDEV.S(
    _xlfn._xlws.FILTER(
        'Individual data from NASA'!N:N,
        ('Individual data from NASA'!$C:$C=$F13) *
        ('Individual data from NASA'!$B:$B=$B13) *
        ('Individual data from NASA'!$K:$K=$L13)
    )
)</f>
        <v>8754914810169964</v>
      </c>
      <c r="Z13" cm="1">
        <f t="array" ref="Z13">_xlfn.STDEV.S(
    _xlfn._xlws.FILTER(
        'Individual data from NASA'!O:O,
        ('Individual data from NASA'!$C:$C=$F13) *
        ('Individual data from NASA'!$B:$B=$B13) *
        ('Individual data from NASA'!$K:$K=$L13)
    )
)</f>
        <v>8764747571949806</v>
      </c>
      <c r="AA13">
        <f t="shared" si="0"/>
        <v>-1.7045454545454586E-2</v>
      </c>
      <c r="AB13">
        <f t="shared" si="1"/>
        <v>0.40860215053763438</v>
      </c>
      <c r="AC13">
        <f t="shared" si="2"/>
        <v>3.1644908616187988</v>
      </c>
      <c r="AD13">
        <f t="shared" si="3"/>
        <v>-1.4609203798392676E-3</v>
      </c>
      <c r="AE13">
        <f t="shared" si="6"/>
        <v>24</v>
      </c>
      <c r="AF13">
        <f t="shared" si="7"/>
        <v>6.0393700787401583</v>
      </c>
      <c r="AG13">
        <f t="shared" si="8"/>
        <v>-0.777466307277628</v>
      </c>
      <c r="AH13">
        <f t="shared" si="9"/>
        <v>-0.52760134262845337</v>
      </c>
      <c r="AI13">
        <f t="shared" si="10"/>
        <v>-0.54525099313831704</v>
      </c>
      <c r="AJ13">
        <f t="shared" si="10"/>
        <v>4.140059394814994</v>
      </c>
      <c r="AK13">
        <f t="shared" si="10"/>
        <v>-0.34331268639596241</v>
      </c>
      <c r="AL13">
        <f t="shared" si="10"/>
        <v>2.3346333853354135</v>
      </c>
      <c r="AM13">
        <f t="shared" si="10"/>
        <v>-0.372150932696379</v>
      </c>
      <c r="AN13">
        <f t="shared" si="10"/>
        <v>1.7499002594452397</v>
      </c>
      <c r="AO13">
        <f t="shared" si="10"/>
        <v>0.81562779456193335</v>
      </c>
      <c r="AP13">
        <f t="shared" si="10"/>
        <v>-0.14822778422090738</v>
      </c>
    </row>
    <row r="14" spans="1:42" x14ac:dyDescent="0.2">
      <c r="A14" t="s">
        <v>32</v>
      </c>
      <c r="B14" t="s">
        <v>1</v>
      </c>
      <c r="C14" t="s">
        <v>110</v>
      </c>
      <c r="D14" t="s">
        <v>112</v>
      </c>
      <c r="E14">
        <v>30</v>
      </c>
      <c r="F14" t="s">
        <v>10</v>
      </c>
      <c r="G14">
        <v>21.8</v>
      </c>
      <c r="H14">
        <v>1.34</v>
      </c>
      <c r="I14">
        <v>530</v>
      </c>
      <c r="J14">
        <v>13.7</v>
      </c>
      <c r="K14" s="2">
        <f>AVERAGEIFS('Individual data from NASA'!J:J, 'Individual data from NASA'!$C:$C, $F14, 'Individual data from NASA'!$B:$B, $B14, 'Individual data from NASA'!$K:$K, $L14) + 273.15</f>
        <v>297.89999999999998</v>
      </c>
      <c r="L14">
        <v>4</v>
      </c>
      <c r="M14">
        <f>0.127*60*60</f>
        <v>457.2</v>
      </c>
      <c r="N14" s="3">
        <f>AVERAGEIFS('Individual data from NASA'!M:M, 'Individual data from NASA'!$C:$C, $F14, 'Individual data from NASA'!$B:$B, $B14, 'Individual data from NASA'!$K:$K, $L14)</f>
        <v>3372500000000000</v>
      </c>
      <c r="O14" s="3">
        <f>AVERAGEIFS('Individual data from NASA'!N:N, 'Individual data from NASA'!$C:$C, $F14, 'Individual data from NASA'!$B:$B, $B14, 'Individual data from NASA'!$K:$K, $L14)</f>
        <v>4.355E+16</v>
      </c>
      <c r="P14" s="3">
        <f>AVERAGEIFS('Individual data from NASA'!O:O, 'Individual data from NASA'!$C:$C, $F14, 'Individual data from NASA'!$B:$B, $B14, 'Individual data from NASA'!$K:$K, $L14)</f>
        <v>4.6925E+16</v>
      </c>
      <c r="Q14" s="3">
        <f>AVERAGEIFS('Individual data from NASA'!P:P, 'Individual data from NASA'!$C:$C, $F14, 'Individual data from NASA'!$B:$B, $B14, 'Individual data from NASA'!$K:$K, $L14)</f>
        <v>13.477499999999999</v>
      </c>
      <c r="R14" s="3">
        <f>AVERAGEIFS('Individual data from NASA'!Q:Q, 'Individual data from NASA'!$C:$C, $F14, 'Individual data from NASA'!$B:$B, $B14, 'Individual data from NASA'!$K:$K, $L14)</f>
        <v>0.87749999999999995</v>
      </c>
      <c r="S14" s="3">
        <f>AVERAGEIFS('Individual data from NASA'!R:R, 'Individual data from NASA'!$C:$C, $F14, 'Individual data from NASA'!$B:$B, $B14, 'Individual data from NASA'!$K:$K, $L14)</f>
        <v>0.1225</v>
      </c>
      <c r="T14" s="3">
        <f>AVERAGEIFS('Individual data from NASA'!S:S, 'Individual data from NASA'!$C:$C, $F14, 'Individual data from NASA'!$B:$B, $B14, 'Individual data from NASA'!$K:$K, $L14)</f>
        <v>131.50739884749999</v>
      </c>
      <c r="U14" s="3">
        <f>AVERAGEIFS('Individual data from NASA'!T:T, 'Individual data from NASA'!$C:$C, $F14, 'Individual data from NASA'!$B:$B, $B14, 'Individual data from NASA'!$K:$K, $L14)</f>
        <v>11.627112149750001</v>
      </c>
      <c r="V14" s="3">
        <f>AVERAGEIFS('Individual data from NASA'!W:W, 'Individual data from NASA'!$C:$C, $F14, 'Individual data from NASA'!$B:$B, $B14, 'Individual data from NASA'!$K:$K, $L14)</f>
        <v>11.3</v>
      </c>
      <c r="W14" s="3">
        <f>AVERAGEIFS('Individual data from NASA'!U:U, 'Individual data from NASA'!$C:$C, $F14, 'Individual data from NASA'!$B:$B, $B14, 'Individual data from NASA'!$K:$K, $L14)</f>
        <v>15.574999999999999</v>
      </c>
      <c r="X14" cm="1">
        <f t="array" ref="X14">_xlfn.STDEV.S(
    _xlfn._xlws.FILTER(
        'Individual data from NASA'!M:M,
        ('Individual data from NASA'!$C:$C=$F14) *
        ('Individual data from NASA'!$B:$B=$B14) *
        ('Individual data from NASA'!$K:$K=$L14)
    )
)</f>
        <v>1563700205708668.8</v>
      </c>
      <c r="Y14" cm="1">
        <f t="array" ref="Y14">_xlfn.STDEV.S(
    _xlfn._xlws.FILTER(
        'Individual data from NASA'!N:N,
        ('Individual data from NASA'!$C:$C=$F14) *
        ('Individual data from NASA'!$B:$B=$B14) *
        ('Individual data from NASA'!$K:$K=$L14)
    )
)</f>
        <v>1.1629130090710422E+16</v>
      </c>
      <c r="Z14" cm="1">
        <f t="array" ref="Z14">_xlfn.STDEV.S(
    _xlfn._xlws.FILTER(
        'Individual data from NASA'!O:O,
        ('Individual data from NASA'!$C:$C=$F14) *
        ('Individual data from NASA'!$B:$B=$B14) *
        ('Individual data from NASA'!$K:$K=$L14)
    )
)</f>
        <v>1.3121324882292434E+16</v>
      </c>
      <c r="AA14">
        <f t="shared" si="0"/>
        <v>0.23863636363636356</v>
      </c>
      <c r="AB14">
        <f t="shared" si="1"/>
        <v>0.44086021505376344</v>
      </c>
      <c r="AC14">
        <f t="shared" si="2"/>
        <v>0.3838120104438642</v>
      </c>
      <c r="AD14">
        <f t="shared" si="3"/>
        <v>7.3046018991963378E-4</v>
      </c>
      <c r="AE14">
        <f t="shared" si="6"/>
        <v>0</v>
      </c>
      <c r="AF14">
        <f t="shared" si="7"/>
        <v>0</v>
      </c>
      <c r="AG14">
        <f t="shared" si="8"/>
        <v>0.45444743935309972</v>
      </c>
      <c r="AH14">
        <f t="shared" si="9"/>
        <v>0.34934159566227729</v>
      </c>
      <c r="AI14">
        <f t="shared" si="10"/>
        <v>0.3557240881184543</v>
      </c>
      <c r="AJ14">
        <f t="shared" si="10"/>
        <v>-0.35095111967252585</v>
      </c>
      <c r="AK14">
        <f t="shared" si="10"/>
        <v>6.5381968341361859E-3</v>
      </c>
      <c r="AL14">
        <f t="shared" si="10"/>
        <v>-4.4461778471138927E-2</v>
      </c>
      <c r="AM14">
        <f t="shared" si="10"/>
        <v>0.28207972883431559</v>
      </c>
      <c r="AN14">
        <f t="shared" si="10"/>
        <v>-0.32891615951489006</v>
      </c>
      <c r="AO14">
        <f t="shared" si="10"/>
        <v>-8.9627391742195417E-2</v>
      </c>
      <c r="AP14">
        <f t="shared" si="10"/>
        <v>-7.8402366863905296E-2</v>
      </c>
    </row>
    <row r="15" spans="1:42" x14ac:dyDescent="0.2">
      <c r="A15" t="s">
        <v>32</v>
      </c>
      <c r="B15" t="s">
        <v>1</v>
      </c>
      <c r="C15" t="s">
        <v>110</v>
      </c>
      <c r="D15" t="s">
        <v>112</v>
      </c>
      <c r="E15">
        <v>30</v>
      </c>
      <c r="F15" t="s">
        <v>10</v>
      </c>
      <c r="G15">
        <v>21.8</v>
      </c>
      <c r="H15">
        <v>1.34</v>
      </c>
      <c r="I15">
        <v>530</v>
      </c>
      <c r="J15">
        <v>13.7</v>
      </c>
      <c r="K15" s="2">
        <f>AVERAGEIFS('Individual data from NASA'!J:J, 'Individual data from NASA'!$C:$C, $F15, 'Individual data from NASA'!$B:$B, $B15, 'Individual data from NASA'!$K:$K, $L15) + 273.15</f>
        <v>297.14999999999998</v>
      </c>
      <c r="L15">
        <v>7</v>
      </c>
      <c r="M15">
        <f>0.15586*60*60</f>
        <v>561.096</v>
      </c>
      <c r="N15" s="3">
        <f>AVERAGEIFS('Individual data from NASA'!M:M, 'Individual data from NASA'!$C:$C, $F15, 'Individual data from NASA'!$B:$B, $B15, 'Individual data from NASA'!$K:$K, $L15)</f>
        <v>2030000000000000</v>
      </c>
      <c r="O15" s="3">
        <f>AVERAGEIFS('Individual data from NASA'!N:N, 'Individual data from NASA'!$C:$C, $F15, 'Individual data from NASA'!$B:$B, $B15, 'Individual data from NASA'!$K:$K, $L15)</f>
        <v>4.655E+16</v>
      </c>
      <c r="P15" s="3">
        <f>AVERAGEIFS('Individual data from NASA'!O:O, 'Individual data from NASA'!$C:$C, $F15, 'Individual data from NASA'!$B:$B, $B15, 'Individual data from NASA'!$K:$K, $L15)</f>
        <v>4.86E+16</v>
      </c>
      <c r="Q15" s="3">
        <f>AVERAGEIFS('Individual data from NASA'!P:P, 'Individual data from NASA'!$C:$C, $F15, 'Individual data from NASA'!$B:$B, $B15, 'Individual data from NASA'!$K:$K, $L15)</f>
        <v>4.9050000000000002</v>
      </c>
      <c r="R15" s="3">
        <f>AVERAGEIFS('Individual data from NASA'!Q:Q, 'Individual data from NASA'!$C:$C, $F15, 'Individual data from NASA'!$B:$B, $B15, 'Individual data from NASA'!$K:$K, $L15)</f>
        <v>0.72100000000000009</v>
      </c>
      <c r="S15" s="3">
        <f>AVERAGEIFS('Individual data from NASA'!R:R, 'Individual data from NASA'!$C:$C, $F15, 'Individual data from NASA'!$B:$B, $B15, 'Individual data from NASA'!$K:$K, $L15)</f>
        <v>0.27900000000000003</v>
      </c>
      <c r="T15" s="3">
        <f>AVERAGEIFS('Individual data from NASA'!S:S, 'Individual data from NASA'!$C:$C, $F15, 'Individual data from NASA'!$B:$B, $B15, 'Individual data from NASA'!$K:$K, $L15)</f>
        <v>88.431111229999999</v>
      </c>
      <c r="U15" s="3">
        <f>AVERAGEIFS('Individual data from NASA'!T:T, 'Individual data from NASA'!$C:$C, $F15, 'Individual data from NASA'!$B:$B, $B15, 'Individual data from NASA'!$K:$K, $L15)</f>
        <v>33.21522289</v>
      </c>
      <c r="V15" s="3">
        <f>AVERAGEIFS('Individual data from NASA'!W:W, 'Individual data from NASA'!$C:$C, $F15, 'Individual data from NASA'!$B:$B, $B15, 'Individual data from NASA'!$K:$K, $L15)</f>
        <v>10.4793295</v>
      </c>
      <c r="W15" s="3">
        <f>AVERAGEIFS('Individual data from NASA'!U:U, 'Individual data from NASA'!$C:$C, $F15, 'Individual data from NASA'!$B:$B, $B15, 'Individual data from NASA'!$K:$K, $L15)</f>
        <v>13.757639645000001</v>
      </c>
      <c r="X15" cm="1">
        <f t="array" ref="X15">_xlfn.STDEV.S(
    _xlfn._xlws.FILTER(
        'Individual data from NASA'!M:M,
        ('Individual data from NASA'!$C:$C=$F15) *
        ('Individual data from NASA'!$B:$B=$B15) *
        ('Individual data from NASA'!$K:$K=$L15)
    )
)</f>
        <v>1258650070512054.8</v>
      </c>
      <c r="Y15" cm="1">
        <f t="array" ref="Y15">_xlfn.STDEV.S(
    _xlfn._xlws.FILTER(
        'Individual data from NASA'!N:N,
        ('Individual data from NASA'!$C:$C=$F15) *
        ('Individual data from NASA'!$B:$B=$B15) *
        ('Individual data from NASA'!$K:$K=$L15)
    )
)</f>
        <v>1.0253048327204972E+16</v>
      </c>
      <c r="Z15" cm="1">
        <f t="array" ref="Z15">_xlfn.STDEV.S(
    _xlfn._xlws.FILTER(
        'Individual data from NASA'!O:O,
        ('Individual data from NASA'!$C:$C=$F15) *
        ('Individual data from NASA'!$B:$B=$B15) *
        ('Individual data from NASA'!$K:$K=$L15)
    )
)</f>
        <v>1.1455129855222054E+16</v>
      </c>
      <c r="AA15">
        <f t="shared" si="0"/>
        <v>0.23863636363636356</v>
      </c>
      <c r="AB15">
        <f t="shared" si="1"/>
        <v>0.44086021505376344</v>
      </c>
      <c r="AC15">
        <f t="shared" si="2"/>
        <v>0.3838120104438642</v>
      </c>
      <c r="AD15">
        <f t="shared" si="3"/>
        <v>7.3046018991963378E-4</v>
      </c>
      <c r="AE15">
        <f t="shared" si="6"/>
        <v>0.75</v>
      </c>
      <c r="AF15">
        <f t="shared" si="7"/>
        <v>0.22724409448818902</v>
      </c>
      <c r="AG15">
        <f t="shared" si="8"/>
        <v>-0.12452830188679245</v>
      </c>
      <c r="AH15">
        <f t="shared" si="9"/>
        <v>0.44229279628195195</v>
      </c>
      <c r="AI15">
        <f t="shared" si="10"/>
        <v>0.40411700975081255</v>
      </c>
      <c r="AJ15">
        <f t="shared" si="10"/>
        <v>-0.7637852155068624</v>
      </c>
      <c r="AK15">
        <f t="shared" si="10"/>
        <v>-0.17297545308557</v>
      </c>
      <c r="AL15">
        <f t="shared" si="10"/>
        <v>1.1762870514820594</v>
      </c>
      <c r="AM15">
        <f t="shared" si="10"/>
        <v>-0.13787561688639602</v>
      </c>
      <c r="AN15">
        <f t="shared" si="10"/>
        <v>0.91708818600063147</v>
      </c>
      <c r="AO15">
        <f t="shared" si="10"/>
        <v>-0.15574384692849957</v>
      </c>
      <c r="AP15">
        <f t="shared" si="10"/>
        <v>-0.18593848254437856</v>
      </c>
    </row>
    <row r="16" spans="1:42" x14ac:dyDescent="0.2">
      <c r="A16" t="s">
        <v>32</v>
      </c>
      <c r="B16" t="s">
        <v>1</v>
      </c>
      <c r="C16" t="s">
        <v>110</v>
      </c>
      <c r="D16" t="s">
        <v>112</v>
      </c>
      <c r="E16">
        <v>30</v>
      </c>
      <c r="F16" t="s">
        <v>10</v>
      </c>
      <c r="G16">
        <v>21.8</v>
      </c>
      <c r="H16">
        <v>1.34</v>
      </c>
      <c r="I16">
        <v>530</v>
      </c>
      <c r="J16">
        <v>13.7</v>
      </c>
      <c r="K16" s="2">
        <f>AVERAGEIFS('Individual data from NASA'!J:J, 'Individual data from NASA'!$C:$C, $F16, 'Individual data from NASA'!$B:$B, $B16, 'Individual data from NASA'!$K:$K, $L16) + 273.15</f>
        <v>298.64999999999998</v>
      </c>
      <c r="L16">
        <v>30</v>
      </c>
      <c r="M16">
        <f>0.342*60*60</f>
        <v>1231.2000000000003</v>
      </c>
      <c r="N16" s="3">
        <f>AVERAGEIFS('Individual data from NASA'!M:M, 'Individual data from NASA'!$C:$C, $F16, 'Individual data from NASA'!$B:$B, $B16, 'Individual data from NASA'!$K:$K, $L16)</f>
        <v>104400000000000</v>
      </c>
      <c r="O16" s="3">
        <f>AVERAGEIFS('Individual data from NASA'!N:N, 'Individual data from NASA'!$C:$C, $F16, 'Individual data from NASA'!$B:$B, $B16, 'Individual data from NASA'!$K:$K, $L16)</f>
        <v>3.45E+16</v>
      </c>
      <c r="P16" s="3">
        <f>AVERAGEIFS('Individual data from NASA'!O:O, 'Individual data from NASA'!$C:$C, $F16, 'Individual data from NASA'!$B:$B, $B16, 'Individual data from NASA'!$K:$K, $L16)</f>
        <v>3.46E+16</v>
      </c>
      <c r="Q16" s="3">
        <f>AVERAGEIFS('Individual data from NASA'!P:P, 'Individual data from NASA'!$C:$C, $F16, 'Individual data from NASA'!$B:$B, $B16, 'Individual data from NASA'!$K:$K, $L16)</f>
        <v>4.7240000000000002</v>
      </c>
      <c r="R16" s="3">
        <f>AVERAGEIFS('Individual data from NASA'!Q:Q, 'Individual data from NASA'!$C:$C, $F16, 'Individual data from NASA'!$B:$B, $B16, 'Individual data from NASA'!$K:$K, $L16)</f>
        <v>0.59650000000000003</v>
      </c>
      <c r="S16" s="3">
        <f>AVERAGEIFS('Individual data from NASA'!R:R, 'Individual data from NASA'!$C:$C, $F16, 'Individual data from NASA'!$B:$B, $B16, 'Individual data from NASA'!$K:$K, $L16)</f>
        <v>0.40349999999999997</v>
      </c>
      <c r="T16" s="3">
        <f>AVERAGEIFS('Individual data from NASA'!S:S, 'Individual data from NASA'!$C:$C, $F16, 'Individual data from NASA'!$B:$B, $B16, 'Individual data from NASA'!$K:$K, $L16)</f>
        <v>28.720573610000002</v>
      </c>
      <c r="U16" s="3">
        <f>AVERAGEIFS('Individual data from NASA'!T:T, 'Individual data from NASA'!$C:$C, $F16, 'Individual data from NASA'!$B:$B, $B16, 'Individual data from NASA'!$K:$K, $L16)</f>
        <v>18.592004764999999</v>
      </c>
      <c r="V16" s="3">
        <f>AVERAGEIFS('Individual data from NASA'!W:W, 'Individual data from NASA'!$C:$C, $F16, 'Individual data from NASA'!$B:$B, $B16, 'Individual data from NASA'!$K:$K, $L16)</f>
        <v>18.304795500000001</v>
      </c>
      <c r="W16" s="3">
        <f>AVERAGEIFS('Individual data from NASA'!U:U, 'Individual data from NASA'!$C:$C, $F16, 'Individual data from NASA'!$B:$B, $B16, 'Individual data from NASA'!$K:$K, $L16)</f>
        <v>12.341129285000001</v>
      </c>
      <c r="X16" cm="1">
        <f t="array" ref="X16">_xlfn.STDEV.S(
    _xlfn._xlws.FILTER(
        'Individual data from NASA'!M:M,
        ('Individual data from NASA'!$C:$C=$F16) *
        ('Individual data from NASA'!$B:$B=$B16) *
        ('Individual data from NASA'!$K:$K=$L16)
    )
)</f>
        <v>29132799384885.766</v>
      </c>
      <c r="Y16" cm="1">
        <f t="array" ref="Y16">_xlfn.STDEV.S(
    _xlfn._xlws.FILTER(
        'Individual data from NASA'!N:N,
        ('Individual data from NASA'!$C:$C=$F16) *
        ('Individual data from NASA'!$B:$B=$B16) *
        ('Individual data from NASA'!$K:$K=$L16)
    )
)</f>
        <v>6788225099390866</v>
      </c>
      <c r="Z16" cm="1">
        <f t="array" ref="Z16">_xlfn.STDEV.S(
    _xlfn._xlws.FILTER(
        'Individual data from NASA'!O:O,
        ('Individual data from NASA'!$C:$C=$F16) *
        ('Individual data from NASA'!$B:$B=$B16) *
        ('Individual data from NASA'!$K:$K=$L16)
    )
)</f>
        <v>6788225099390845</v>
      </c>
      <c r="AA16">
        <f t="shared" si="0"/>
        <v>0.23863636363636356</v>
      </c>
      <c r="AB16">
        <f t="shared" si="1"/>
        <v>0.44086021505376344</v>
      </c>
      <c r="AC16">
        <f t="shared" si="2"/>
        <v>0.3838120104438642</v>
      </c>
      <c r="AD16">
        <f t="shared" si="3"/>
        <v>7.3046018991963378E-4</v>
      </c>
      <c r="AE16">
        <f t="shared" ref="AE16:AE19" si="12">(L16-L$2)/L$2</f>
        <v>6.5</v>
      </c>
      <c r="AF16">
        <f t="shared" ref="AF16:AF19" si="13">(M16-M$2)/M$2</f>
        <v>1.6929133858267722</v>
      </c>
      <c r="AG16">
        <f t="shared" ref="AG16:AG19" si="14">(N16-N$2)/N$2</f>
        <v>-0.95497574123989215</v>
      </c>
      <c r="AH16">
        <f t="shared" ref="AH16:AH19" si="15">(O16-O$2)/O$2</f>
        <v>6.8938807126258717E-2</v>
      </c>
      <c r="AI16">
        <f t="shared" ref="AI16:AP19" si="16">(P16-P$2)/P$2</f>
        <v>-3.6114120621162876E-4</v>
      </c>
      <c r="AJ16">
        <f t="shared" si="16"/>
        <v>-0.77250180592342876</v>
      </c>
      <c r="AK16">
        <f t="shared" si="16"/>
        <v>-0.31578343656802016</v>
      </c>
      <c r="AL16">
        <f t="shared" si="16"/>
        <v>2.1474258970358813</v>
      </c>
      <c r="AM16">
        <f t="shared" si="16"/>
        <v>-0.72000004905750736</v>
      </c>
      <c r="AN16">
        <f t="shared" si="16"/>
        <v>7.307763091301489E-2</v>
      </c>
      <c r="AO16">
        <f t="shared" si="16"/>
        <v>0.47470658610271893</v>
      </c>
      <c r="AP16">
        <f t="shared" si="16"/>
        <v>-0.26975566360946734</v>
      </c>
    </row>
    <row r="17" spans="1:42" x14ac:dyDescent="0.2">
      <c r="A17" t="s">
        <v>32</v>
      </c>
      <c r="B17" t="s">
        <v>1</v>
      </c>
      <c r="C17" t="s">
        <v>110</v>
      </c>
      <c r="D17" t="s">
        <v>112</v>
      </c>
      <c r="E17">
        <v>30</v>
      </c>
      <c r="F17" t="s">
        <v>10</v>
      </c>
      <c r="G17">
        <v>21.8</v>
      </c>
      <c r="H17">
        <v>1.34</v>
      </c>
      <c r="I17">
        <v>530</v>
      </c>
      <c r="J17">
        <v>13.7</v>
      </c>
      <c r="K17" s="2">
        <f>AVERAGEIFS('Individual data from NASA'!J:J, 'Individual data from NASA'!$C:$C, $F17, 'Individual data from NASA'!$B:$B, $B17, 'Individual data from NASA'!$K:$K, $L17) + 273.15</f>
        <v>296.64999999999998</v>
      </c>
      <c r="L17">
        <v>65</v>
      </c>
      <c r="M17">
        <f>0.602*60*60</f>
        <v>2167.1999999999998</v>
      </c>
      <c r="N17" s="3">
        <f>AVERAGEIFS('Individual data from NASA'!M:M, 'Individual data from NASA'!$C:$C, $F17, 'Individual data from NASA'!$B:$B, $B17, 'Individual data from NASA'!$K:$K, $L17)</f>
        <v>187250000000000</v>
      </c>
      <c r="O17" s="3">
        <f>AVERAGEIFS('Individual data from NASA'!N:N, 'Individual data from NASA'!$C:$C, $F17, 'Individual data from NASA'!$B:$B, $B17, 'Individual data from NASA'!$K:$K, $L17)</f>
        <v>1.7425E+16</v>
      </c>
      <c r="P17" s="3">
        <f>AVERAGEIFS('Individual data from NASA'!O:O, 'Individual data from NASA'!$C:$C, $F17, 'Individual data from NASA'!$B:$B, $B17, 'Individual data from NASA'!$K:$K, $L17)</f>
        <v>1.76E+16</v>
      </c>
      <c r="Q17" s="3">
        <f>AVERAGEIFS('Individual data from NASA'!P:P, 'Individual data from NASA'!$C:$C, $F17, 'Individual data from NASA'!$B:$B, $B17, 'Individual data from NASA'!$K:$K, $L17)</f>
        <v>21.215</v>
      </c>
      <c r="R17" s="3">
        <f>AVERAGEIFS('Individual data from NASA'!Q:Q, 'Individual data from NASA'!$C:$C, $F17, 'Individual data from NASA'!$B:$B, $B17, 'Individual data from NASA'!$K:$K, $L17)</f>
        <v>0.69350000000000001</v>
      </c>
      <c r="S17" s="3">
        <f>AVERAGEIFS('Individual data from NASA'!R:R, 'Individual data from NASA'!$C:$C, $F17, 'Individual data from NASA'!$B:$B, $B17, 'Individual data from NASA'!$K:$K, $L17)</f>
        <v>0.30649999999999999</v>
      </c>
      <c r="T17" s="3">
        <f>AVERAGEIFS('Individual data from NASA'!S:S, 'Individual data from NASA'!$C:$C, $F17, 'Individual data from NASA'!$B:$B, $B17, 'Individual data from NASA'!$K:$K, $L17)</f>
        <v>30.420767789999999</v>
      </c>
      <c r="U17" s="3">
        <f>AVERAGEIFS('Individual data from NASA'!T:T, 'Individual data from NASA'!$C:$C, $F17, 'Individual data from NASA'!$B:$B, $B17, 'Individual data from NASA'!$K:$K, $L17)</f>
        <v>13.324752589999999</v>
      </c>
      <c r="V17" s="3">
        <f>AVERAGEIFS('Individual data from NASA'!W:W, 'Individual data from NASA'!$C:$C, $F17, 'Individual data from NASA'!$B:$B, $B17, 'Individual data from NASA'!$K:$K, $L17)</f>
        <v>21.445175774999996</v>
      </c>
      <c r="W17" s="3">
        <f>AVERAGEIFS('Individual data from NASA'!U:U, 'Individual data from NASA'!$C:$C, $F17, 'Individual data from NASA'!$B:$B, $B17, 'Individual data from NASA'!$K:$K, $L17)</f>
        <v>12.330488405000001</v>
      </c>
      <c r="X17" cm="1">
        <f t="array" ref="X17">_xlfn.STDEV.S(
    _xlfn._xlws.FILTER(
        'Individual data from NASA'!M:M,
        ('Individual data from NASA'!$C:$C=$F17) *
        ('Individual data from NASA'!$B:$B=$B17) *
        ('Individual data from NASA'!$K:$K=$L17)
    )
)</f>
        <v>49902404751675.016</v>
      </c>
      <c r="Y17" cm="1">
        <f t="array" ref="Y17">_xlfn.STDEV.S(
    _xlfn._xlws.FILTER(
        'Individual data from NASA'!N:N,
        ('Individual data from NASA'!$C:$C=$F17) *
        ('Individual data from NASA'!$B:$B=$B17) *
        ('Individual data from NASA'!$K:$K=$L17)
    )
)</f>
        <v>4616907334280526</v>
      </c>
      <c r="Z17" cm="1">
        <f t="array" ref="Z17">_xlfn.STDEV.S(
    _xlfn._xlws.FILTER(
        'Individual data from NASA'!O:O,
        ('Individual data from NASA'!$C:$C=$F17) *
        ('Individual data from NASA'!$B:$B=$B17) *
        ('Individual data from NASA'!$K:$K=$L17)
    )
)</f>
        <v>4662617290749910</v>
      </c>
      <c r="AA17">
        <f t="shared" si="0"/>
        <v>0.23863636363636356</v>
      </c>
      <c r="AB17">
        <f t="shared" si="1"/>
        <v>0.44086021505376344</v>
      </c>
      <c r="AC17">
        <f t="shared" si="2"/>
        <v>0.3838120104438642</v>
      </c>
      <c r="AD17">
        <f t="shared" si="3"/>
        <v>7.3046018991963378E-4</v>
      </c>
      <c r="AE17">
        <f t="shared" si="12"/>
        <v>15.25</v>
      </c>
      <c r="AF17">
        <f t="shared" si="13"/>
        <v>3.7401574803149602</v>
      </c>
      <c r="AG17">
        <f t="shared" si="14"/>
        <v>-0.91924528301886788</v>
      </c>
      <c r="AH17">
        <f t="shared" si="15"/>
        <v>-0.46010844306738963</v>
      </c>
      <c r="AI17">
        <f t="shared" si="16"/>
        <v>-0.49151318165402674</v>
      </c>
      <c r="AJ17">
        <f t="shared" si="16"/>
        <v>2.1671081146159545E-2</v>
      </c>
      <c r="AK17">
        <f t="shared" si="16"/>
        <v>-0.20451938518008719</v>
      </c>
      <c r="AL17">
        <f t="shared" si="16"/>
        <v>1.3907956318252728</v>
      </c>
      <c r="AM17">
        <f t="shared" si="16"/>
        <v>-0.70342467373746309</v>
      </c>
      <c r="AN17">
        <f t="shared" si="16"/>
        <v>-0.23093318216566952</v>
      </c>
      <c r="AO17">
        <f t="shared" si="16"/>
        <v>0.72770801812688768</v>
      </c>
      <c r="AP17">
        <f t="shared" si="16"/>
        <v>-0.27038530147928985</v>
      </c>
    </row>
    <row r="18" spans="1:42" x14ac:dyDescent="0.2">
      <c r="A18" t="s">
        <v>32</v>
      </c>
      <c r="B18" t="s">
        <v>1</v>
      </c>
      <c r="C18" t="s">
        <v>110</v>
      </c>
      <c r="D18" t="s">
        <v>112</v>
      </c>
      <c r="E18">
        <v>30</v>
      </c>
      <c r="F18" t="s">
        <v>10</v>
      </c>
      <c r="G18">
        <v>21.8</v>
      </c>
      <c r="H18">
        <v>1.34</v>
      </c>
      <c r="I18">
        <v>530</v>
      </c>
      <c r="J18">
        <v>13.7</v>
      </c>
      <c r="K18" s="2">
        <f>AVERAGEIFS('Individual data from NASA'!J:J, 'Individual data from NASA'!$C:$C, $F18, 'Individual data from NASA'!$B:$B, $B18, 'Individual data from NASA'!$K:$K, $L18) + 273.15</f>
        <v>298.14999999999998</v>
      </c>
      <c r="L18">
        <v>85</v>
      </c>
      <c r="M18">
        <f>0.845*60*60</f>
        <v>3041.9999999999995</v>
      </c>
      <c r="N18" s="3">
        <f>AVERAGEIFS('Individual data from NASA'!M:M, 'Individual data from NASA'!$C:$C, $F18, 'Individual data from NASA'!$B:$B, $B18, 'Individual data from NASA'!$K:$K, $L18)</f>
        <v>353000000000000</v>
      </c>
      <c r="O18" s="3">
        <f>AVERAGEIFS('Individual data from NASA'!N:N, 'Individual data from NASA'!$C:$C, $F18, 'Individual data from NASA'!$B:$B, $B18, 'Individual data from NASA'!$K:$K, $L18)</f>
        <v>7670000000000000</v>
      </c>
      <c r="P18" s="3">
        <f>AVERAGEIFS('Individual data from NASA'!O:O, 'Individual data from NASA'!$C:$C, $F18, 'Individual data from NASA'!$B:$B, $B18, 'Individual data from NASA'!$K:$K, $L18)</f>
        <v>8030000000000000</v>
      </c>
      <c r="Q18" s="3">
        <f>AVERAGEIFS('Individual data from NASA'!P:P, 'Individual data from NASA'!$C:$C, $F18, 'Individual data from NASA'!$B:$B, $B18, 'Individual data from NASA'!$K:$K, $L18)</f>
        <v>89.986999999999995</v>
      </c>
      <c r="R18" s="3">
        <f>AVERAGEIFS('Individual data from NASA'!Q:Q, 'Individual data from NASA'!$C:$C, $F18, 'Individual data from NASA'!$B:$B, $B18, 'Individual data from NASA'!$K:$K, $L18)</f>
        <v>0.69784806700000002</v>
      </c>
      <c r="S18" s="3">
        <f>AVERAGEIFS('Individual data from NASA'!R:R, 'Individual data from NASA'!$C:$C, $F18, 'Individual data from NASA'!$B:$B, $B18, 'Individual data from NASA'!$K:$K, $L18)</f>
        <v>0.30215193299999998</v>
      </c>
      <c r="T18" s="3">
        <f>AVERAGEIFS('Individual data from NASA'!S:S, 'Individual data from NASA'!$C:$C, $F18, 'Individual data from NASA'!$B:$B, $B18, 'Individual data from NASA'!$K:$K, $L18)</f>
        <v>48.516231310000002</v>
      </c>
      <c r="U18" s="3">
        <f>AVERAGEIFS('Individual data from NASA'!T:T, 'Individual data from NASA'!$C:$C, $F18, 'Individual data from NASA'!$B:$B, $B18, 'Individual data from NASA'!$K:$K, $L18)</f>
        <v>20.843158845000001</v>
      </c>
      <c r="V18" s="3">
        <f>AVERAGEIFS('Individual data from NASA'!W:W, 'Individual data from NASA'!$C:$C, $F18, 'Individual data from NASA'!$B:$B, $B18, 'Individual data from NASA'!$K:$K, $L18)</f>
        <v>26.295521069999999</v>
      </c>
      <c r="W18" s="3">
        <f>AVERAGEIFS('Individual data from NASA'!U:U, 'Individual data from NASA'!$C:$C, $F18, 'Individual data from NASA'!$B:$B, $B18, 'Individual data from NASA'!$K:$K, $L18)</f>
        <v>12.614153569999999</v>
      </c>
      <c r="X18" cm="1">
        <f t="array" ref="X18">_xlfn.STDEV.S(
    _xlfn._xlws.FILTER(
        'Individual data from NASA'!M:M,
        ('Individual data from NASA'!$C:$C=$F18) *
        ('Individual data from NASA'!$B:$B=$B18) *
        ('Individual data from NASA'!$K:$K=$L18)
    )
)</f>
        <v>86267027304758.672</v>
      </c>
      <c r="Y18" cm="1">
        <f t="array" ref="Y18">_xlfn.STDEV.S(
    _xlfn._xlws.FILTER(
        'Individual data from NASA'!N:N,
        ('Individual data from NASA'!$C:$C=$F18) *
        ('Individual data from NASA'!$B:$B=$B18) *
        ('Individual data from NASA'!$K:$K=$L18)
    )
)</f>
        <v>3252691193458119</v>
      </c>
      <c r="Z18" cm="1">
        <f t="array" ref="Z18">_xlfn.STDEV.S(
    _xlfn._xlws.FILTER(
        'Individual data from NASA'!O:O,
        ('Individual data from NASA'!$C:$C=$F18) *
        ('Individual data from NASA'!$B:$B=$B18) *
        ('Individual data from NASA'!$K:$K=$L18)
    )
)</f>
        <v>3351686142824235</v>
      </c>
      <c r="AA18">
        <f t="shared" si="0"/>
        <v>0.23863636363636356</v>
      </c>
      <c r="AB18">
        <f t="shared" si="1"/>
        <v>0.44086021505376344</v>
      </c>
      <c r="AC18">
        <f t="shared" si="2"/>
        <v>0.3838120104438642</v>
      </c>
      <c r="AD18">
        <f t="shared" si="3"/>
        <v>7.3046018991963378E-4</v>
      </c>
      <c r="AE18">
        <f t="shared" si="12"/>
        <v>20.25</v>
      </c>
      <c r="AF18">
        <f t="shared" si="13"/>
        <v>5.6535433070866139</v>
      </c>
      <c r="AG18">
        <f t="shared" si="14"/>
        <v>-0.84776280323450137</v>
      </c>
      <c r="AH18">
        <f t="shared" si="15"/>
        <v>-0.76235476374903177</v>
      </c>
      <c r="AI18">
        <f t="shared" si="16"/>
        <v>-0.76800288912964965</v>
      </c>
      <c r="AJ18">
        <f t="shared" si="16"/>
        <v>3.3335901757765471</v>
      </c>
      <c r="AK18">
        <f t="shared" si="16"/>
        <v>-0.19953192590043589</v>
      </c>
      <c r="AL18">
        <f t="shared" si="16"/>
        <v>1.3568793525741027</v>
      </c>
      <c r="AM18">
        <f t="shared" si="16"/>
        <v>-0.52701006006423479</v>
      </c>
      <c r="AN18">
        <f t="shared" si="16"/>
        <v>0.20300784110390985</v>
      </c>
      <c r="AO18">
        <f t="shared" si="16"/>
        <v>1.1184709824773411</v>
      </c>
      <c r="AP18">
        <f t="shared" si="16"/>
        <v>-0.25360038047337274</v>
      </c>
    </row>
    <row r="19" spans="1:42" x14ac:dyDescent="0.2">
      <c r="A19" t="s">
        <v>32</v>
      </c>
      <c r="B19" t="s">
        <v>1</v>
      </c>
      <c r="C19" t="s">
        <v>110</v>
      </c>
      <c r="D19" t="s">
        <v>112</v>
      </c>
      <c r="E19">
        <v>30</v>
      </c>
      <c r="F19" t="s">
        <v>10</v>
      </c>
      <c r="G19">
        <v>21.8</v>
      </c>
      <c r="H19">
        <v>1.34</v>
      </c>
      <c r="I19">
        <v>530</v>
      </c>
      <c r="J19">
        <v>13.7</v>
      </c>
      <c r="K19" s="2">
        <f>AVERAGEIFS('Individual data from NASA'!J:J, 'Individual data from NASA'!$C:$C, $F19, 'Individual data from NASA'!$B:$B, $B19, 'Individual data from NASA'!$K:$K, $L19) + 273.15</f>
        <v>298.64999999999998</v>
      </c>
      <c r="L19">
        <v>100</v>
      </c>
      <c r="M19">
        <f>0.894*60*60</f>
        <v>3218.4</v>
      </c>
      <c r="N19" s="3">
        <f>AVERAGEIFS('Individual data from NASA'!M:M, 'Individual data from NASA'!$C:$C, $F19, 'Individual data from NASA'!$B:$B, $B19, 'Individual data from NASA'!$K:$K, $L19)</f>
        <v>680500000000000</v>
      </c>
      <c r="O19" s="3">
        <f>AVERAGEIFS('Individual data from NASA'!N:N, 'Individual data from NASA'!$C:$C, $F19, 'Individual data from NASA'!$B:$B, $B19, 'Individual data from NASA'!$K:$K, $L19)</f>
        <v>1.008E+16</v>
      </c>
      <c r="P19" s="3">
        <f>AVERAGEIFS('Individual data from NASA'!O:O, 'Individual data from NASA'!$C:$C, $F19, 'Individual data from NASA'!$B:$B, $B19, 'Individual data from NASA'!$K:$K, $L19)</f>
        <v>1.0775E+16</v>
      </c>
      <c r="Q19" s="3">
        <f>AVERAGEIFS('Individual data from NASA'!P:P, 'Individual data from NASA'!$C:$C, $F19, 'Individual data from NASA'!$B:$B, $B19, 'Individual data from NASA'!$K:$K, $L19)</f>
        <v>134.1</v>
      </c>
      <c r="R19" s="3">
        <f>AVERAGEIFS('Individual data from NASA'!Q:Q, 'Individual data from NASA'!$C:$C, $F19, 'Individual data from NASA'!$B:$B, $B19, 'Individual data from NASA'!$K:$K, $L19)</f>
        <v>0.73499999999999999</v>
      </c>
      <c r="S19" s="3">
        <f>AVERAGEIFS('Individual data from NASA'!R:R, 'Individual data from NASA'!$C:$C, $F19, 'Individual data from NASA'!$B:$B, $B19, 'Individual data from NASA'!$K:$K, $L19)</f>
        <v>0.26500000000000001</v>
      </c>
      <c r="T19" s="3">
        <f>AVERAGEIFS('Individual data from NASA'!S:S, 'Individual data from NASA'!$C:$C, $F19, 'Individual data from NASA'!$B:$B, $B19, 'Individual data from NASA'!$K:$K, $L19)</f>
        <v>68.195357180000002</v>
      </c>
      <c r="U19" s="3">
        <f>AVERAGEIFS('Individual data from NASA'!T:T, 'Individual data from NASA'!$C:$C, $F19, 'Individual data from NASA'!$B:$B, $B19, 'Individual data from NASA'!$K:$K, $L19)</f>
        <v>23.427461905000001</v>
      </c>
      <c r="V19" s="3">
        <f>AVERAGEIFS('Individual data from NASA'!W:W, 'Individual data from NASA'!$C:$C, $F19, 'Individual data from NASA'!$B:$B, $B19, 'Individual data from NASA'!$K:$K, $L19)</f>
        <v>21.5165425</v>
      </c>
      <c r="W19" s="3">
        <f>AVERAGEIFS('Individual data from NASA'!U:U, 'Individual data from NASA'!$C:$C, $F19, 'Individual data from NASA'!$B:$B, $B19, 'Individual data from NASA'!$K:$K, $L19)</f>
        <v>13.378522500000001</v>
      </c>
      <c r="X19" cm="1">
        <f t="array" ref="X19">_xlfn.STDEV.S(
    _xlfn._xlws.FILTER(
        'Individual data from NASA'!M:M,
        ('Individual data from NASA'!$C:$C=$F19) *
        ('Individual data from NASA'!$B:$B=$B19) *
        ('Individual data from NASA'!$K:$K=$L19)
    )
)</f>
        <v>409414826307011.06</v>
      </c>
      <c r="Y19" cm="1">
        <f t="array" ref="Y19">_xlfn.STDEV.S(
    _xlfn._xlws.FILTER(
        'Individual data from NASA'!N:N,
        ('Individual data from NASA'!$C:$C=$F19) *
        ('Individual data from NASA'!$B:$B=$B19) *
        ('Individual data from NASA'!$K:$K=$L19)
    )
)</f>
        <v>3988082245892129</v>
      </c>
      <c r="Z19" cm="1">
        <f t="array" ref="Z19">_xlfn.STDEV.S(
    _xlfn._xlws.FILTER(
        'Individual data from NASA'!O:O,
        ('Individual data from NASA'!$C:$C=$F19) *
        ('Individual data from NASA'!$B:$B=$B19) *
        ('Individual data from NASA'!$K:$K=$L19)
    )
)</f>
        <v>4419417382415921</v>
      </c>
      <c r="AA19">
        <f t="shared" si="0"/>
        <v>0.23863636363636356</v>
      </c>
      <c r="AB19">
        <f t="shared" si="1"/>
        <v>0.44086021505376344</v>
      </c>
      <c r="AC19">
        <f t="shared" si="2"/>
        <v>0.3838120104438642</v>
      </c>
      <c r="AD19">
        <f t="shared" si="3"/>
        <v>7.3046018991963378E-4</v>
      </c>
      <c r="AE19">
        <f t="shared" si="12"/>
        <v>24</v>
      </c>
      <c r="AF19">
        <f t="shared" si="13"/>
        <v>6.0393700787401583</v>
      </c>
      <c r="AG19">
        <f t="shared" si="14"/>
        <v>-0.7065229110512129</v>
      </c>
      <c r="AH19">
        <f t="shared" si="15"/>
        <v>-0.68768396591789316</v>
      </c>
      <c r="AI19">
        <f t="shared" si="16"/>
        <v>-0.68869628024557605</v>
      </c>
      <c r="AJ19">
        <f t="shared" si="16"/>
        <v>5.4579821815555025</v>
      </c>
      <c r="AK19">
        <f t="shared" si="16"/>
        <v>-0.15691672401927051</v>
      </c>
      <c r="AL19">
        <f t="shared" si="16"/>
        <v>1.0670826833073324</v>
      </c>
      <c r="AM19">
        <f t="shared" si="16"/>
        <v>-0.33515615237373531</v>
      </c>
      <c r="AN19">
        <f t="shared" si="16"/>
        <v>0.35216646279308922</v>
      </c>
      <c r="AO19">
        <f t="shared" si="16"/>
        <v>0.73345760322255771</v>
      </c>
      <c r="AP19">
        <f t="shared" si="16"/>
        <v>-0.2083714497041419</v>
      </c>
    </row>
    <row r="20" spans="1:42" x14ac:dyDescent="0.2">
      <c r="A20" t="s">
        <v>32</v>
      </c>
      <c r="B20" t="s">
        <v>2</v>
      </c>
      <c r="C20" t="s">
        <v>110</v>
      </c>
      <c r="D20" t="s">
        <v>112</v>
      </c>
      <c r="E20">
        <v>30</v>
      </c>
      <c r="F20" t="s">
        <v>8</v>
      </c>
      <c r="G20">
        <v>18.600000000000001</v>
      </c>
      <c r="H20">
        <v>1.6</v>
      </c>
      <c r="I20">
        <v>1148</v>
      </c>
      <c r="J20">
        <v>13.6</v>
      </c>
      <c r="K20" s="2">
        <f>AVERAGEIFS('Individual data from NASA'!J:J, 'Individual data from NASA'!$C:$C, $F20, 'Individual data from NASA'!$B:$B, $B20, 'Individual data from NASA'!$K:$K, $L20) + 273.15</f>
        <v>281.22272727272724</v>
      </c>
      <c r="L20">
        <v>4</v>
      </c>
      <c r="M20">
        <f>0.127*60*60</f>
        <v>457.2</v>
      </c>
      <c r="N20" s="3">
        <f>AVERAGEIFS('Individual data from NASA'!M:M, 'Individual data from NASA'!$C:$C, $F20, 'Individual data from NASA'!$B:$B, $B20, 'Individual data from NASA'!$K:$K, $L20)</f>
        <v>3372838709677419.5</v>
      </c>
      <c r="O20" s="3">
        <f>AVERAGEIFS('Individual data from NASA'!N:N, 'Individual data from NASA'!$C:$C, $F20, 'Individual data from NASA'!$B:$B, $B20, 'Individual data from NASA'!$K:$K, $L20)</f>
        <v>3.619935483870968E+16</v>
      </c>
      <c r="P20" s="3">
        <f>AVERAGEIFS('Individual data from NASA'!O:O, 'Individual data from NASA'!$C:$C, $F20, 'Individual data from NASA'!$B:$B, $B20, 'Individual data from NASA'!$K:$K, $L20)</f>
        <v>3.99965625E+16</v>
      </c>
      <c r="Q20" s="3">
        <f>AVERAGEIFS('Individual data from NASA'!P:P, 'Individual data from NASA'!$C:$C, $F20, 'Individual data from NASA'!$B:$B, $B20, 'Individual data from NASA'!$K:$K, $L20)</f>
        <v>31.446250000000003</v>
      </c>
      <c r="R20" s="3">
        <f>AVERAGEIFS('Individual data from NASA'!Q:Q, 'Individual data from NASA'!$C:$C, $F20, 'Individual data from NASA'!$B:$B, $B20, 'Individual data from NASA'!$K:$K, $L20)</f>
        <v>0.99099999999999999</v>
      </c>
      <c r="S20" s="3">
        <f>AVERAGEIFS('Individual data from NASA'!R:R, 'Individual data from NASA'!$C:$C, $F20, 'Individual data from NASA'!$B:$B, $B20, 'Individual data from NASA'!$K:$K, $L20)</f>
        <v>9.0000000000000011E-3</v>
      </c>
      <c r="T20" s="3">
        <f>AVERAGEIFS('Individual data from NASA'!S:S, 'Individual data from NASA'!$C:$C, $F20, 'Individual data from NASA'!$B:$B, $B20, 'Individual data from NASA'!$K:$K, $L20)</f>
        <v>195.74357501399999</v>
      </c>
      <c r="U20" s="3">
        <f>AVERAGEIFS('Individual data from NASA'!T:T, 'Individual data from NASA'!$C:$C, $F20, 'Individual data from NASA'!$B:$B, $B20, 'Individual data from NASA'!$K:$K, $L20)</f>
        <v>1.3564393957999998</v>
      </c>
      <c r="V20" s="3">
        <f>AVERAGEIFS('Individual data from NASA'!W:W, 'Individual data from NASA'!$C:$C, $F20, 'Individual data from NASA'!$B:$B, $B20, 'Individual data from NASA'!$K:$K, $L20)</f>
        <v>13.012499999999998</v>
      </c>
      <c r="W20" s="3">
        <f>AVERAGEIFS('Individual data from NASA'!U:U, 'Individual data from NASA'!$C:$C, $F20, 'Individual data from NASA'!$B:$B, $B20, 'Individual data from NASA'!$K:$K, $L20)</f>
        <v>17.721875000000001</v>
      </c>
      <c r="X20" cm="1">
        <f t="array" ref="X20">_xlfn.STDEV.S(
    _xlfn._xlws.FILTER(
        'Individual data from NASA'!M:M,
        ('Individual data from NASA'!$C:$C=$F20) *
        ('Individual data from NASA'!$B:$B=$B20) *
        ('Individual data from NASA'!$K:$K=$L20)
    )
)</f>
        <v>2555193235964411.5</v>
      </c>
      <c r="Y20" cm="1">
        <f t="array" ref="Y20">_xlfn.STDEV.S(
    _xlfn._xlws.FILTER(
        'Individual data from NASA'!N:N,
        ('Individual data from NASA'!$C:$C=$F20) *
        ('Individual data from NASA'!$B:$B=$B20) *
        ('Individual data from NASA'!$K:$K=$L20)
    )
)</f>
        <v>2.0987733073628804E+16</v>
      </c>
      <c r="Z20" cm="1">
        <f t="array" ref="Z20">_xlfn.STDEV.S(
    _xlfn._xlws.FILTER(
        'Individual data from NASA'!O:O,
        ('Individual data from NASA'!$C:$C=$F20) *
        ('Individual data from NASA'!$B:$B=$B20) *
        ('Individual data from NASA'!$K:$K=$L20)
    )
)</f>
        <v>2.1797726221961336E+16</v>
      </c>
    </row>
    <row r="21" spans="1:42" x14ac:dyDescent="0.2">
      <c r="A21" t="s">
        <v>32</v>
      </c>
      <c r="B21" t="s">
        <v>2</v>
      </c>
      <c r="C21" t="s">
        <v>110</v>
      </c>
      <c r="D21" t="s">
        <v>112</v>
      </c>
      <c r="E21">
        <v>30</v>
      </c>
      <c r="F21" t="s">
        <v>8</v>
      </c>
      <c r="G21">
        <v>18.600000000000001</v>
      </c>
      <c r="H21">
        <v>1.6</v>
      </c>
      <c r="I21">
        <v>1148</v>
      </c>
      <c r="J21">
        <v>13.6</v>
      </c>
      <c r="K21" s="2">
        <f>AVERAGEIFS('Individual data from NASA'!J:J, 'Individual data from NASA'!$C:$C, $F21, 'Individual data from NASA'!$B:$B, $B21, 'Individual data from NASA'!$K:$K, $L21) + 273.15</f>
        <v>281.62741935483871</v>
      </c>
      <c r="L21">
        <v>7</v>
      </c>
      <c r="M21">
        <f>0.15586*60*60</f>
        <v>561.096</v>
      </c>
      <c r="N21" s="3">
        <f>AVERAGEIFS('Individual data from NASA'!M:M, 'Individual data from NASA'!$C:$C, $F21, 'Individual data from NASA'!$B:$B, $B21, 'Individual data from NASA'!$K:$K, $L21)</f>
        <v>2378689655172414</v>
      </c>
      <c r="O21" s="3">
        <f>AVERAGEIFS('Individual data from NASA'!N:N, 'Individual data from NASA'!$C:$C, $F21, 'Individual data from NASA'!$B:$B, $B21, 'Individual data from NASA'!$K:$K, $L21)</f>
        <v>3.4011724137931036E+16</v>
      </c>
      <c r="P21" s="3">
        <f>AVERAGEIFS('Individual data from NASA'!O:O, 'Individual data from NASA'!$C:$C, $F21, 'Individual data from NASA'!$B:$B, $B21, 'Individual data from NASA'!$K:$K, $L21)</f>
        <v>3.6985333333333336E+16</v>
      </c>
      <c r="Q21" s="3">
        <f>AVERAGEIFS('Individual data from NASA'!P:P, 'Individual data from NASA'!$C:$C, $F21, 'Individual data from NASA'!$B:$B, $B21, 'Individual data from NASA'!$K:$K, $L21)</f>
        <v>17.095000000000002</v>
      </c>
      <c r="R21" s="3">
        <f>AVERAGEIFS('Individual data from NASA'!Q:Q, 'Individual data from NASA'!$C:$C, $F21, 'Individual data from NASA'!$B:$B, $B21, 'Individual data from NASA'!$K:$K, $L21)</f>
        <v>0.9913333333333334</v>
      </c>
      <c r="S21" s="3">
        <f>AVERAGEIFS('Individual data from NASA'!R:R, 'Individual data from NASA'!$C:$C, $F21, 'Individual data from NASA'!$B:$B, $B21, 'Individual data from NASA'!$K:$K, $L21)</f>
        <v>8.666666666666668E-3</v>
      </c>
      <c r="T21" s="3">
        <f>AVERAGEIFS('Individual data from NASA'!S:S, 'Individual data from NASA'!$C:$C, $F21, 'Individual data from NASA'!$B:$B, $B21, 'Individual data from NASA'!$K:$K, $L21)</f>
        <v>208.32845359999999</v>
      </c>
      <c r="U21" s="3">
        <f>AVERAGEIFS('Individual data from NASA'!T:T, 'Individual data from NASA'!$C:$C, $F21, 'Individual data from NASA'!$B:$B, $B21, 'Individual data from NASA'!$K:$K, $L21)</f>
        <v>2.0136263986666667</v>
      </c>
      <c r="V21" s="3">
        <f>AVERAGEIFS('Individual data from NASA'!W:W, 'Individual data from NASA'!$C:$C, $F21, 'Individual data from NASA'!$B:$B, $B21, 'Individual data from NASA'!$K:$K, $L21)</f>
        <v>12.070858064516131</v>
      </c>
      <c r="W21" s="3">
        <f>AVERAGEIFS('Individual data from NASA'!U:U, 'Individual data from NASA'!$C:$C, $F21, 'Individual data from NASA'!$B:$B, $B21, 'Individual data from NASA'!$K:$K, $L21)</f>
        <v>16.37112258064516</v>
      </c>
      <c r="X21" cm="1">
        <f t="array" ref="X21">_xlfn.STDEV.S(
    _xlfn._xlws.FILTER(
        'Individual data from NASA'!M:M,
        ('Individual data from NASA'!$C:$C=$F21) *
        ('Individual data from NASA'!$B:$B=$B21) *
        ('Individual data from NASA'!$K:$K=$L21)
    )
)</f>
        <v>2414293405998182.5</v>
      </c>
      <c r="Y21" cm="1">
        <f t="array" ref="Y21">_xlfn.STDEV.S(
    _xlfn._xlws.FILTER(
        'Individual data from NASA'!N:N,
        ('Individual data from NASA'!$C:$C=$F21) *
        ('Individual data from NASA'!$B:$B=$B21) *
        ('Individual data from NASA'!$K:$K=$L21)
    )
)</f>
        <v>1.2553888148118408E+16</v>
      </c>
      <c r="Z21" cm="1">
        <f t="array" ref="Z21">_xlfn.STDEV.S(
    _xlfn._xlws.FILTER(
        'Individual data from NASA'!O:O,
        ('Individual data from NASA'!$C:$C=$F21) *
        ('Individual data from NASA'!$B:$B=$B21) *
        ('Individual data from NASA'!$K:$K=$L21)
    )
)</f>
        <v>1.27476017307201E+16</v>
      </c>
      <c r="AA21">
        <f t="shared" ref="AA21:AA49" si="17">(G21-G$20)/G$20</f>
        <v>0</v>
      </c>
      <c r="AB21">
        <f t="shared" ref="AB21:AB49" si="18">(H21-H$20)/H$20</f>
        <v>0</v>
      </c>
      <c r="AC21">
        <f t="shared" ref="AC21:AC49" si="19">(I21-I$20)/I$20</f>
        <v>0</v>
      </c>
      <c r="AD21">
        <f t="shared" ref="AD21:AD49" si="20">(J21-J$20)/J$20</f>
        <v>0</v>
      </c>
      <c r="AE21">
        <f t="shared" ref="AE21:AP21" si="21">(L21-L$20)/L$20</f>
        <v>0.75</v>
      </c>
      <c r="AF21">
        <f t="shared" si="21"/>
        <v>0.22724409448818902</v>
      </c>
      <c r="AG21">
        <f t="shared" si="21"/>
        <v>-0.29475143642433072</v>
      </c>
      <c r="AH21">
        <f t="shared" si="21"/>
        <v>-6.0432864356999731E-2</v>
      </c>
      <c r="AI21">
        <f t="shared" si="21"/>
        <v>-7.5287199160344445E-2</v>
      </c>
      <c r="AJ21">
        <f t="shared" si="21"/>
        <v>-0.45637397145923597</v>
      </c>
      <c r="AK21">
        <f t="shared" si="21"/>
        <v>3.3636057854027006E-4</v>
      </c>
      <c r="AL21">
        <f t="shared" si="21"/>
        <v>-3.7037037037037E-2</v>
      </c>
      <c r="AM21">
        <f t="shared" si="21"/>
        <v>6.4292677729523975E-2</v>
      </c>
      <c r="AN21">
        <f t="shared" si="21"/>
        <v>0.48449418743037287</v>
      </c>
      <c r="AO21">
        <f t="shared" si="21"/>
        <v>-7.2364413870037822E-2</v>
      </c>
      <c r="AP21">
        <f t="shared" si="21"/>
        <v>-7.6219498182604303E-2</v>
      </c>
    </row>
    <row r="22" spans="1:42" x14ac:dyDescent="0.2">
      <c r="A22" t="s">
        <v>32</v>
      </c>
      <c r="B22" t="s">
        <v>2</v>
      </c>
      <c r="C22" t="s">
        <v>110</v>
      </c>
      <c r="D22" t="s">
        <v>112</v>
      </c>
      <c r="E22">
        <v>30</v>
      </c>
      <c r="F22" t="s">
        <v>8</v>
      </c>
      <c r="G22">
        <v>18.600000000000001</v>
      </c>
      <c r="H22">
        <v>1.6</v>
      </c>
      <c r="I22">
        <v>1148</v>
      </c>
      <c r="J22">
        <v>13.6</v>
      </c>
      <c r="K22" s="2">
        <f>AVERAGEIFS('Individual data from NASA'!J:J, 'Individual data from NASA'!$C:$C, $F22, 'Individual data from NASA'!$B:$B, $B22, 'Individual data from NASA'!$K:$K, $L22) + 273.15</f>
        <v>279.32058823529411</v>
      </c>
      <c r="L22">
        <v>30</v>
      </c>
      <c r="M22">
        <f>0.342*60*60</f>
        <v>1231.2000000000003</v>
      </c>
      <c r="N22" s="3">
        <f>AVERAGEIFS('Individual data from NASA'!M:M, 'Individual data from NASA'!$C:$C, $F22, 'Individual data from NASA'!$B:$B, $B22, 'Individual data from NASA'!$K:$K, $L22)</f>
        <v>1085294117647058.9</v>
      </c>
      <c r="O22" s="3">
        <f>AVERAGEIFS('Individual data from NASA'!N:N, 'Individual data from NASA'!$C:$C, $F22, 'Individual data from NASA'!$B:$B, $B22, 'Individual data from NASA'!$K:$K, $L22)</f>
        <v>2.8358823529411764E+16</v>
      </c>
      <c r="P22" s="3">
        <f>AVERAGEIFS('Individual data from NASA'!O:O, 'Individual data from NASA'!$C:$C, $F22, 'Individual data from NASA'!$B:$B, $B22, 'Individual data from NASA'!$K:$K, $L22)</f>
        <v>2.9417647058823528E+16</v>
      </c>
      <c r="Q22" s="3">
        <f>AVERAGEIFS('Individual data from NASA'!P:P, 'Individual data from NASA'!$C:$C, $F22, 'Individual data from NASA'!$B:$B, $B22, 'Individual data from NASA'!$K:$K, $L22)</f>
        <v>18.291823529411761</v>
      </c>
      <c r="R22" s="3">
        <f>AVERAGEIFS('Individual data from NASA'!Q:Q, 'Individual data from NASA'!$C:$C, $F22, 'Individual data from NASA'!$B:$B, $B22, 'Individual data from NASA'!$K:$K, $L22)</f>
        <v>0.76900000000000002</v>
      </c>
      <c r="S22" s="3">
        <f>AVERAGEIFS('Individual data from NASA'!R:R, 'Individual data from NASA'!$C:$C, $F22, 'Individual data from NASA'!$B:$B, $B22, 'Individual data from NASA'!$K:$K, $L22)</f>
        <v>0.23100000000000001</v>
      </c>
      <c r="T22" s="3">
        <f>AVERAGEIFS('Individual data from NASA'!S:S, 'Individual data from NASA'!$C:$C, $F22, 'Individual data from NASA'!$B:$B, $B22, 'Individual data from NASA'!$K:$K, $L22)</f>
        <v>68.483298974999997</v>
      </c>
      <c r="U22" s="3">
        <f>AVERAGEIFS('Individual data from NASA'!T:T, 'Individual data from NASA'!$C:$C, $F22, 'Individual data from NASA'!$B:$B, $B22, 'Individual data from NASA'!$K:$K, $L22)</f>
        <v>20.896841025000001</v>
      </c>
      <c r="V22" s="3">
        <f>AVERAGEIFS('Individual data from NASA'!W:W, 'Individual data from NASA'!$C:$C, $F22, 'Individual data from NASA'!$B:$B, $B22, 'Individual data from NASA'!$K:$K, $L22)</f>
        <v>16.068999999999996</v>
      </c>
      <c r="W22" s="3">
        <f>AVERAGEIFS('Individual data from NASA'!U:U, 'Individual data from NASA'!$C:$C, $F22, 'Individual data from NASA'!$B:$B, $B22, 'Individual data from NASA'!$K:$K, $L22)</f>
        <v>13.829829411764706</v>
      </c>
      <c r="X22" cm="1">
        <f t="array" ref="X22">_xlfn.STDEV.S(
    _xlfn._xlws.FILTER(
        'Individual data from NASA'!M:M,
        ('Individual data from NASA'!$C:$C=$F22) *
        ('Individual data from NASA'!$B:$B=$B22) *
        ('Individual data from NASA'!$K:$K=$L22)
    )
)</f>
        <v>2145717006174913.8</v>
      </c>
      <c r="Y22" cm="1">
        <f t="array" ref="Y22">_xlfn.STDEV.S(
    _xlfn._xlws.FILTER(
        'Individual data from NASA'!N:N,
        ('Individual data from NASA'!$C:$C=$F22) *
        ('Individual data from NASA'!$B:$B=$B22) *
        ('Individual data from NASA'!$K:$K=$L22)
    )
)</f>
        <v>7533596321107987</v>
      </c>
      <c r="Z22" cm="1">
        <f t="array" ref="Z22">_xlfn.STDEV.S(
    _xlfn._xlws.FILTER(
        'Individual data from NASA'!O:O,
        ('Individual data from NASA'!$C:$C=$F22) *
        ('Individual data from NASA'!$B:$B=$B22) *
        ('Individual data from NASA'!$K:$K=$L22)
    )
)</f>
        <v>7606924090435422</v>
      </c>
      <c r="AA22">
        <f t="shared" si="17"/>
        <v>0</v>
      </c>
      <c r="AB22">
        <f t="shared" si="18"/>
        <v>0</v>
      </c>
      <c r="AC22">
        <f t="shared" si="19"/>
        <v>0</v>
      </c>
      <c r="AD22">
        <f t="shared" si="20"/>
        <v>0</v>
      </c>
      <c r="AE22">
        <f t="shared" ref="AE22:AE49" si="22">(L22-L$20)/L$20</f>
        <v>6.5</v>
      </c>
      <c r="AF22">
        <f t="shared" ref="AF22:AF49" si="23">(M22-M$20)/M$20</f>
        <v>1.6929133858267722</v>
      </c>
      <c r="AG22">
        <f t="shared" ref="AG22:AG49" si="24">(N22-N$20)/N$20</f>
        <v>-0.67822531372961581</v>
      </c>
      <c r="AH22">
        <f t="shared" ref="AH22:AH49" si="25">(O22-O$20)/O$20</f>
        <v>-0.21659312283968293</v>
      </c>
      <c r="AI22">
        <f t="shared" ref="AI22:AP49" si="26">(P22-P$20)/P$20</f>
        <v>-0.26449561612142225</v>
      </c>
      <c r="AJ22">
        <f t="shared" si="26"/>
        <v>-0.41831463117504442</v>
      </c>
      <c r="AK22">
        <f t="shared" si="26"/>
        <v>-0.22401614530776989</v>
      </c>
      <c r="AL22">
        <f t="shared" si="26"/>
        <v>24.666666666666664</v>
      </c>
      <c r="AM22">
        <f t="shared" si="26"/>
        <v>-0.65013769177301517</v>
      </c>
      <c r="AN22">
        <f t="shared" si="26"/>
        <v>14.405657701850718</v>
      </c>
      <c r="AO22">
        <f t="shared" si="26"/>
        <v>0.23488952929875109</v>
      </c>
      <c r="AP22">
        <f t="shared" si="26"/>
        <v>-0.21961816050701716</v>
      </c>
    </row>
    <row r="23" spans="1:42" x14ac:dyDescent="0.2">
      <c r="A23" t="s">
        <v>32</v>
      </c>
      <c r="B23" t="s">
        <v>2</v>
      </c>
      <c r="C23" t="s">
        <v>110</v>
      </c>
      <c r="D23" t="s">
        <v>112</v>
      </c>
      <c r="E23">
        <v>30</v>
      </c>
      <c r="F23" t="s">
        <v>8</v>
      </c>
      <c r="G23">
        <v>18.600000000000001</v>
      </c>
      <c r="H23">
        <v>1.6</v>
      </c>
      <c r="I23">
        <v>1148</v>
      </c>
      <c r="J23">
        <v>13.6</v>
      </c>
      <c r="K23" s="2">
        <f>AVERAGEIFS('Individual data from NASA'!J:J, 'Individual data from NASA'!$C:$C, $F23, 'Individual data from NASA'!$B:$B, $B23, 'Individual data from NASA'!$K:$K, $L23) + 273.15</f>
        <v>279.41666666666663</v>
      </c>
      <c r="L23">
        <v>65</v>
      </c>
      <c r="M23">
        <f>0.602*60*60</f>
        <v>2167.1999999999998</v>
      </c>
      <c r="N23" s="3">
        <f>AVERAGEIFS('Individual data from NASA'!M:M, 'Individual data from NASA'!$C:$C, $F23, 'Individual data from NASA'!$B:$B, $B23, 'Individual data from NASA'!$K:$K, $L23)</f>
        <v>1007777777777777.8</v>
      </c>
      <c r="O23" s="3">
        <f>AVERAGEIFS('Individual data from NASA'!N:N, 'Individual data from NASA'!$C:$C, $F23, 'Individual data from NASA'!$B:$B, $B23, 'Individual data from NASA'!$K:$K, $L23)</f>
        <v>1.9752777777777776E+16</v>
      </c>
      <c r="P23" s="3">
        <f>AVERAGEIFS('Individual data from NASA'!O:O, 'Individual data from NASA'!$C:$C, $F23, 'Individual data from NASA'!$B:$B, $B23, 'Individual data from NASA'!$K:$K, $L23)</f>
        <v>2.0722222222222224E+16</v>
      </c>
      <c r="Q23" s="3">
        <f>AVERAGEIFS('Individual data from NASA'!P:P, 'Individual data from NASA'!$C:$C, $F23, 'Individual data from NASA'!$B:$B, $B23, 'Individual data from NASA'!$K:$K, $L23)</f>
        <v>50.141176470588242</v>
      </c>
      <c r="R23" s="3">
        <f>AVERAGEIFS('Individual data from NASA'!Q:Q, 'Individual data from NASA'!$C:$C, $F23, 'Individual data from NASA'!$B:$B, $B23, 'Individual data from NASA'!$K:$K, $L23)</f>
        <v>0.88718181818181807</v>
      </c>
      <c r="S23" s="3">
        <f>AVERAGEIFS('Individual data from NASA'!R:R, 'Individual data from NASA'!$C:$C, $F23, 'Individual data from NASA'!$B:$B, $B23, 'Individual data from NASA'!$K:$K, $L23)</f>
        <v>0.11281818181818183</v>
      </c>
      <c r="T23" s="3">
        <f>AVERAGEIFS('Individual data from NASA'!S:S, 'Individual data from NASA'!$C:$C, $F23, 'Individual data from NASA'!$B:$B, $B23, 'Individual data from NASA'!$K:$K, $L23)</f>
        <v>82.930123023636355</v>
      </c>
      <c r="U23" s="3">
        <f>AVERAGEIFS('Individual data from NASA'!T:T, 'Individual data from NASA'!$C:$C, $F23, 'Individual data from NASA'!$B:$B, $B23, 'Individual data from NASA'!$K:$K, $L23)</f>
        <v>10.861396969363637</v>
      </c>
      <c r="V23" s="3">
        <f>AVERAGEIFS('Individual data from NASA'!W:W, 'Individual data from NASA'!$C:$C, $F23, 'Individual data from NASA'!$B:$B, $B23, 'Individual data from NASA'!$K:$K, $L23)</f>
        <v>20.117066666666666</v>
      </c>
      <c r="W23" s="3">
        <f>AVERAGEIFS('Individual data from NASA'!U:U, 'Individual data from NASA'!$C:$C, $F23, 'Individual data from NASA'!$B:$B, $B23, 'Individual data from NASA'!$K:$K, $L23)</f>
        <v>14.528072222222224</v>
      </c>
      <c r="X23" cm="1">
        <f t="array" ref="X23">_xlfn.STDEV.S(
    _xlfn._xlws.FILTER(
        'Individual data from NASA'!M:M,
        ('Individual data from NASA'!$C:$C=$F23) *
        ('Individual data from NASA'!$B:$B=$B23) *
        ('Individual data from NASA'!$K:$K=$L23)
    )
)</f>
        <v>1601989775819454.5</v>
      </c>
      <c r="Y23" cm="1">
        <f t="array" ref="Y23">_xlfn.STDEV.S(
    _xlfn._xlws.FILTER(
        'Individual data from NASA'!N:N,
        ('Individual data from NASA'!$C:$C=$F23) *
        ('Individual data from NASA'!$B:$B=$B23) *
        ('Individual data from NASA'!$K:$K=$L23)
    )
)</f>
        <v>7821604924487764</v>
      </c>
      <c r="Z23" cm="1">
        <f t="array" ref="Z23">_xlfn.STDEV.S(
    _xlfn._xlws.FILTER(
        'Individual data from NASA'!O:O,
        ('Individual data from NASA'!$C:$C=$F23) *
        ('Individual data from NASA'!$B:$B=$B23) *
        ('Individual data from NASA'!$K:$K=$L23)
    )
)</f>
        <v>7981858515375790</v>
      </c>
      <c r="AA23">
        <f t="shared" si="17"/>
        <v>0</v>
      </c>
      <c r="AB23">
        <f t="shared" si="18"/>
        <v>0</v>
      </c>
      <c r="AC23">
        <f t="shared" si="19"/>
        <v>0</v>
      </c>
      <c r="AD23">
        <f t="shared" si="20"/>
        <v>0</v>
      </c>
      <c r="AE23">
        <f t="shared" si="22"/>
        <v>15.25</v>
      </c>
      <c r="AF23">
        <f t="shared" si="23"/>
        <v>3.7401574803149602</v>
      </c>
      <c r="AG23">
        <f t="shared" si="24"/>
        <v>-0.70120783573604029</v>
      </c>
      <c r="AH23">
        <f t="shared" si="25"/>
        <v>-0.45433343036668716</v>
      </c>
      <c r="AI23">
        <f t="shared" si="26"/>
        <v>-0.48189992021883821</v>
      </c>
      <c r="AJ23">
        <f t="shared" si="26"/>
        <v>0.59450416092819458</v>
      </c>
      <c r="AK23">
        <f t="shared" si="26"/>
        <v>-0.10476103109806451</v>
      </c>
      <c r="AL23">
        <f t="shared" si="26"/>
        <v>11.535353535353536</v>
      </c>
      <c r="AM23">
        <f t="shared" si="26"/>
        <v>-0.57633284761604553</v>
      </c>
      <c r="AN23">
        <f t="shared" si="26"/>
        <v>7.0072851046602125</v>
      </c>
      <c r="AO23">
        <f t="shared" si="26"/>
        <v>0.54598014729426858</v>
      </c>
      <c r="AP23">
        <f t="shared" si="26"/>
        <v>-0.18021810772154617</v>
      </c>
    </row>
    <row r="24" spans="1:42" x14ac:dyDescent="0.2">
      <c r="A24" t="s">
        <v>32</v>
      </c>
      <c r="B24" t="s">
        <v>2</v>
      </c>
      <c r="C24" t="s">
        <v>110</v>
      </c>
      <c r="D24" t="s">
        <v>112</v>
      </c>
      <c r="E24">
        <v>30</v>
      </c>
      <c r="F24" t="s">
        <v>8</v>
      </c>
      <c r="G24">
        <v>18.600000000000001</v>
      </c>
      <c r="H24">
        <v>1.6</v>
      </c>
      <c r="I24">
        <v>1148</v>
      </c>
      <c r="J24">
        <v>13.6</v>
      </c>
      <c r="K24" s="2">
        <f>AVERAGEIFS('Individual data from NASA'!J:J, 'Individual data from NASA'!$C:$C, $F24, 'Individual data from NASA'!$B:$B, $B24, 'Individual data from NASA'!$K:$K, $L24) + 273.15</f>
        <v>279.85666666666663</v>
      </c>
      <c r="L24">
        <v>85</v>
      </c>
      <c r="M24">
        <f>0.845*60*60</f>
        <v>3041.9999999999995</v>
      </c>
      <c r="N24" s="3">
        <f>AVERAGEIFS('Individual data from NASA'!M:M, 'Individual data from NASA'!$C:$C, $F24, 'Individual data from NASA'!$B:$B, $B24, 'Individual data from NASA'!$K:$K, $L24)</f>
        <v>1156000000000000</v>
      </c>
      <c r="O24" s="3">
        <f>AVERAGEIFS('Individual data from NASA'!N:N, 'Individual data from NASA'!$C:$C, $F24, 'Individual data from NASA'!$B:$B, $B24, 'Individual data from NASA'!$K:$K, $L24)</f>
        <v>1.5572E+16</v>
      </c>
      <c r="P24" s="3">
        <f>AVERAGEIFS('Individual data from NASA'!O:O, 'Individual data from NASA'!$C:$C, $F24, 'Individual data from NASA'!$B:$B, $B24, 'Individual data from NASA'!$K:$K, $L24)</f>
        <v>1.6733333333333334E+16</v>
      </c>
      <c r="Q24" s="3">
        <f>AVERAGEIFS('Individual data from NASA'!P:P, 'Individual data from NASA'!$C:$C, $F24, 'Individual data from NASA'!$B:$B, $B24, 'Individual data from NASA'!$K:$K, $L24)</f>
        <v>118.67333333333333</v>
      </c>
      <c r="R24" s="3">
        <f>AVERAGEIFS('Individual data from NASA'!Q:Q, 'Individual data from NASA'!$C:$C, $F24, 'Individual data from NASA'!$B:$B, $B24, 'Individual data from NASA'!$K:$K, $L24)</f>
        <v>0.61846324409090903</v>
      </c>
      <c r="S24" s="3">
        <f>AVERAGEIFS('Individual data from NASA'!R:R, 'Individual data from NASA'!$C:$C, $F24, 'Individual data from NASA'!$B:$B, $B24, 'Individual data from NASA'!$K:$K, $L24)</f>
        <v>0.38153675590909092</v>
      </c>
      <c r="T24" s="3">
        <f>AVERAGEIFS('Individual data from NASA'!S:S, 'Individual data from NASA'!$C:$C, $F24, 'Individual data from NASA'!$B:$B, $B24, 'Individual data from NASA'!$K:$K, $L24)</f>
        <v>61.975692184545444</v>
      </c>
      <c r="U24" s="3">
        <f>AVERAGEIFS('Individual data from NASA'!T:T, 'Individual data from NASA'!$C:$C, $F24, 'Individual data from NASA'!$B:$B, $B24, 'Individual data from NASA'!$K:$K, $L24)</f>
        <v>38.964380542636363</v>
      </c>
      <c r="V24" s="3">
        <f>AVERAGEIFS('Individual data from NASA'!W:W, 'Individual data from NASA'!$C:$C, $F24, 'Individual data from NASA'!$B:$B, $B24, 'Individual data from NASA'!$K:$K, $L24)</f>
        <v>25.473173333333332</v>
      </c>
      <c r="W24" s="3">
        <f>AVERAGEIFS('Individual data from NASA'!U:U, 'Individual data from NASA'!$C:$C, $F24, 'Individual data from NASA'!$B:$B, $B24, 'Individual data from NASA'!$K:$K, $L24)</f>
        <v>14.287640000000001</v>
      </c>
      <c r="X24" cm="1">
        <f t="array" ref="X24">_xlfn.STDEV.S(
    _xlfn._xlws.FILTER(
        'Individual data from NASA'!M:M,
        ('Individual data from NASA'!$C:$C=$F24) *
        ('Individual data from NASA'!$B:$B=$B24) *
        ('Individual data from NASA'!$K:$K=$L24)
    )
)</f>
        <v>1213517908514626.5</v>
      </c>
      <c r="Y24" cm="1">
        <f t="array" ref="Y24">_xlfn.STDEV.S(
    _xlfn._xlws.FILTER(
        'Individual data from NASA'!N:N,
        ('Individual data from NASA'!$C:$C=$F24) *
        ('Individual data from NASA'!$B:$B=$B24) *
        ('Individual data from NASA'!$K:$K=$L24)
    )
)</f>
        <v>4354853122010634.5</v>
      </c>
      <c r="Z24" cm="1">
        <f t="array" ref="Z24">_xlfn.STDEV.S(
    _xlfn._xlws.FILTER(
        'Individual data from NASA'!O:O,
        ('Individual data from NASA'!$C:$C=$F24) *
        ('Individual data from NASA'!$B:$B=$B24) *
        ('Individual data from NASA'!$K:$K=$L24)
    )
)</f>
        <v>4629511956176484</v>
      </c>
      <c r="AA24">
        <f t="shared" si="17"/>
        <v>0</v>
      </c>
      <c r="AB24">
        <f t="shared" si="18"/>
        <v>0</v>
      </c>
      <c r="AC24">
        <f t="shared" si="19"/>
        <v>0</v>
      </c>
      <c r="AD24">
        <f t="shared" si="20"/>
        <v>0</v>
      </c>
      <c r="AE24">
        <f t="shared" si="22"/>
        <v>20.25</v>
      </c>
      <c r="AF24">
        <f t="shared" si="23"/>
        <v>5.6535433070866139</v>
      </c>
      <c r="AG24">
        <f t="shared" si="24"/>
        <v>-0.65726199812544239</v>
      </c>
      <c r="AH24">
        <f t="shared" si="25"/>
        <v>-0.56982658753497661</v>
      </c>
      <c r="AI24">
        <f t="shared" si="26"/>
        <v>-0.58163071305606984</v>
      </c>
      <c r="AJ24">
        <f t="shared" si="26"/>
        <v>2.7738469080838994</v>
      </c>
      <c r="AK24">
        <f t="shared" si="26"/>
        <v>-0.37592003623520787</v>
      </c>
      <c r="AL24">
        <f t="shared" si="26"/>
        <v>41.392972878787873</v>
      </c>
      <c r="AM24">
        <f t="shared" si="26"/>
        <v>-0.68338326210649414</v>
      </c>
      <c r="AN24">
        <f t="shared" si="26"/>
        <v>27.725485755783417</v>
      </c>
      <c r="AO24">
        <f t="shared" si="26"/>
        <v>0.95759257124559738</v>
      </c>
      <c r="AP24">
        <f t="shared" si="26"/>
        <v>-0.19378508199612057</v>
      </c>
    </row>
    <row r="25" spans="1:42" x14ac:dyDescent="0.2">
      <c r="A25" t="s">
        <v>32</v>
      </c>
      <c r="B25" t="s">
        <v>2</v>
      </c>
      <c r="C25" t="s">
        <v>110</v>
      </c>
      <c r="D25" t="s">
        <v>112</v>
      </c>
      <c r="E25">
        <v>30</v>
      </c>
      <c r="F25" t="s">
        <v>8</v>
      </c>
      <c r="G25">
        <v>18.600000000000001</v>
      </c>
      <c r="H25">
        <v>1.6</v>
      </c>
      <c r="I25">
        <v>1148</v>
      </c>
      <c r="J25">
        <v>13.6</v>
      </c>
      <c r="K25" s="2">
        <f>AVERAGEIFS('Individual data from NASA'!J:J, 'Individual data from NASA'!$C:$C, $F25, 'Individual data from NASA'!$B:$B, $B25, 'Individual data from NASA'!$K:$K, $L25) + 273.15</f>
        <v>282.22499999999997</v>
      </c>
      <c r="L25">
        <v>100</v>
      </c>
      <c r="M25">
        <f>0.894*60*60</f>
        <v>3218.4</v>
      </c>
      <c r="N25" s="3">
        <f>AVERAGEIFS('Individual data from NASA'!M:M, 'Individual data from NASA'!$C:$C, $F25, 'Individual data from NASA'!$B:$B, $B25, 'Individual data from NASA'!$K:$K, $L25)</f>
        <v>1929500000000000</v>
      </c>
      <c r="O25" s="3">
        <f>AVERAGEIFS('Individual data from NASA'!N:N, 'Individual data from NASA'!$C:$C, $F25, 'Individual data from NASA'!$B:$B, $B25, 'Individual data from NASA'!$K:$K, $L25)</f>
        <v>1.35475E+16</v>
      </c>
      <c r="P25" s="3">
        <f>AVERAGEIFS('Individual data from NASA'!O:O, 'Individual data from NASA'!$C:$C, $F25, 'Individual data from NASA'!$B:$B, $B25, 'Individual data from NASA'!$K:$K, $L25)</f>
        <v>1.54425E+16</v>
      </c>
      <c r="Q25" s="3">
        <f>AVERAGEIFS('Individual data from NASA'!P:P, 'Individual data from NASA'!$C:$C, $F25, 'Individual data from NASA'!$B:$B, $B25, 'Individual data from NASA'!$K:$K, $L25)</f>
        <v>171.7</v>
      </c>
      <c r="R25" s="3">
        <f>AVERAGEIFS('Individual data from NASA'!Q:Q, 'Individual data from NASA'!$C:$C, $F25, 'Individual data from NASA'!$B:$B, $B25, 'Individual data from NASA'!$K:$K, $L25)</f>
        <v>0.62749999999999995</v>
      </c>
      <c r="S25" s="3">
        <f>AVERAGEIFS('Individual data from NASA'!R:R, 'Individual data from NASA'!$C:$C, $F25, 'Individual data from NASA'!$B:$B, $B25, 'Individual data from NASA'!$K:$K, $L25)</f>
        <v>0.3725</v>
      </c>
      <c r="T25" s="3">
        <f>AVERAGEIFS('Individual data from NASA'!S:S, 'Individual data from NASA'!$C:$C, $F25, 'Individual data from NASA'!$B:$B, $B25, 'Individual data from NASA'!$K:$K, $L25)</f>
        <v>55.841536899999994</v>
      </c>
      <c r="U25" s="3">
        <f>AVERAGEIFS('Individual data from NASA'!T:T, 'Individual data from NASA'!$C:$C, $F25, 'Individual data from NASA'!$B:$B, $B25, 'Individual data from NASA'!$K:$K, $L25)</f>
        <v>40.326463099999998</v>
      </c>
      <c r="V25" s="3">
        <f>AVERAGEIFS('Individual data from NASA'!W:W, 'Individual data from NASA'!$C:$C, $F25, 'Individual data from NASA'!$B:$B, $B25, 'Individual data from NASA'!$K:$K, $L25)</f>
        <v>24.079250000000002</v>
      </c>
      <c r="W25" s="3">
        <f>AVERAGEIFS('Individual data from NASA'!U:U, 'Individual data from NASA'!$C:$C, $F25, 'Individual data from NASA'!$B:$B, $B25, 'Individual data from NASA'!$K:$K, $L25)</f>
        <v>13.839674999999998</v>
      </c>
      <c r="X25" cm="1">
        <f t="array" ref="X25">_xlfn.STDEV.S(
    _xlfn._xlws.FILTER(
        'Individual data from NASA'!M:M,
        ('Individual data from NASA'!$C:$C=$F25) *
        ('Individual data from NASA'!$B:$B=$B25) *
        ('Individual data from NASA'!$K:$K=$L25)
    )
)</f>
        <v>2065233078048738.8</v>
      </c>
      <c r="Y25" cm="1">
        <f t="array" ref="Y25">_xlfn.STDEV.S(
    _xlfn._xlws.FILTER(
        'Individual data from NASA'!N:N,
        ('Individual data from NASA'!$C:$C=$F25) *
        ('Individual data from NASA'!$B:$B=$B25) *
        ('Individual data from NASA'!$K:$K=$L25)
    )
)</f>
        <v>5538082550245468</v>
      </c>
      <c r="Z25" cm="1">
        <f t="array" ref="Z25">_xlfn.STDEV.S(
    _xlfn._xlws.FILTER(
        'Individual data from NASA'!O:O,
        ('Individual data from NASA'!$C:$C=$F25) *
        ('Individual data from NASA'!$B:$B=$B25) *
        ('Individual data from NASA'!$K:$K=$L25)
    )
)</f>
        <v>6876861566150654</v>
      </c>
      <c r="AA25">
        <f t="shared" si="17"/>
        <v>0</v>
      </c>
      <c r="AB25">
        <f t="shared" si="18"/>
        <v>0</v>
      </c>
      <c r="AC25">
        <f t="shared" si="19"/>
        <v>0</v>
      </c>
      <c r="AD25">
        <f t="shared" si="20"/>
        <v>0</v>
      </c>
      <c r="AE25">
        <f t="shared" si="22"/>
        <v>24</v>
      </c>
      <c r="AF25">
        <f t="shared" si="23"/>
        <v>6.0393700787401583</v>
      </c>
      <c r="AG25">
        <f t="shared" si="24"/>
        <v>-0.42792995275349571</v>
      </c>
      <c r="AH25">
        <f t="shared" si="25"/>
        <v>-0.6257529986276712</v>
      </c>
      <c r="AI25">
        <f t="shared" si="26"/>
        <v>-0.61390431990249161</v>
      </c>
      <c r="AJ25">
        <f t="shared" si="26"/>
        <v>4.46011050602218</v>
      </c>
      <c r="AK25">
        <f t="shared" si="26"/>
        <v>-0.36680121089808282</v>
      </c>
      <c r="AL25">
        <f t="shared" si="26"/>
        <v>40.388888888888886</v>
      </c>
      <c r="AM25">
        <f t="shared" si="26"/>
        <v>-0.71472097157719694</v>
      </c>
      <c r="AN25">
        <f t="shared" si="26"/>
        <v>28.729646031267237</v>
      </c>
      <c r="AO25">
        <f t="shared" si="26"/>
        <v>0.85047070124879975</v>
      </c>
      <c r="AP25">
        <f t="shared" si="26"/>
        <v>-0.21906259918885573</v>
      </c>
    </row>
    <row r="26" spans="1:42" x14ac:dyDescent="0.2">
      <c r="A26" t="s">
        <v>32</v>
      </c>
      <c r="B26" t="s">
        <v>2</v>
      </c>
      <c r="C26" t="s">
        <v>110</v>
      </c>
      <c r="D26" t="s">
        <v>112</v>
      </c>
      <c r="E26">
        <v>30</v>
      </c>
      <c r="F26" t="s">
        <v>12</v>
      </c>
      <c r="G26">
        <v>0</v>
      </c>
      <c r="H26">
        <v>0</v>
      </c>
      <c r="I26">
        <v>19</v>
      </c>
      <c r="J26">
        <v>15.5</v>
      </c>
      <c r="K26" s="2">
        <f>AVERAGEIFS('Individual data from NASA'!J:J, 'Individual data from NASA'!$C:$C, $F26, 'Individual data from NASA'!$B:$B, $B26, 'Individual data from NASA'!$K:$K, $L26) + 273.15</f>
        <v>281.39285714285711</v>
      </c>
      <c r="L26">
        <v>4</v>
      </c>
      <c r="M26">
        <f>0.127*60*60</f>
        <v>457.2</v>
      </c>
      <c r="N26" s="3">
        <f>AVERAGEIFS('Individual data from NASA'!M:M, 'Individual data from NASA'!$C:$C, $F26, 'Individual data from NASA'!$B:$B, $B26, 'Individual data from NASA'!$K:$K, $L26)</f>
        <v>102465000000000</v>
      </c>
      <c r="O26" s="3">
        <f>AVERAGEIFS('Individual data from NASA'!N:N, 'Individual data from NASA'!$C:$C, $F26, 'Individual data from NASA'!$B:$B, $B26, 'Individual data from NASA'!$K:$K, $L26)</f>
        <v>7448750000000000</v>
      </c>
      <c r="P26" s="3">
        <f>AVERAGEIFS('Individual data from NASA'!O:O, 'Individual data from NASA'!$C:$C, $F26, 'Individual data from NASA'!$B:$B, $B26, 'Individual data from NASA'!$K:$K, $L26)</f>
        <v>1.4277314285714286E+16</v>
      </c>
      <c r="Q26" s="3">
        <f>AVERAGEIFS('Individual data from NASA'!P:P, 'Individual data from NASA'!$C:$C, $F26, 'Individual data from NASA'!$B:$B, $B26, 'Individual data from NASA'!$K:$K, $L26)</f>
        <v>13.264285714285714</v>
      </c>
      <c r="R26" s="3">
        <f>AVERAGEIFS('Individual data from NASA'!Q:Q, 'Individual data from NASA'!$C:$C, $F26, 'Individual data from NASA'!$B:$B, $B26, 'Individual data from NASA'!$K:$K, $L26)</f>
        <v>0.95066666666666666</v>
      </c>
      <c r="S26" s="3">
        <f>AVERAGEIFS('Individual data from NASA'!R:R, 'Individual data from NASA'!$C:$C, $F26, 'Individual data from NASA'!$B:$B, $B26, 'Individual data from NASA'!$K:$K, $L26)</f>
        <v>4.9333333333333333E-2</v>
      </c>
      <c r="T26" s="3">
        <f>AVERAGEIFS('Individual data from NASA'!S:S, 'Individual data from NASA'!$C:$C, $F26, 'Individual data from NASA'!$B:$B, $B26, 'Individual data from NASA'!$K:$K, $L26)</f>
        <v>9.2946941206666676</v>
      </c>
      <c r="U26" s="3">
        <f>AVERAGEIFS('Individual data from NASA'!T:T, 'Individual data from NASA'!$C:$C, $F26, 'Individual data from NASA'!$B:$B, $B26, 'Individual data from NASA'!$K:$K, $L26)</f>
        <v>0.35463916033333337</v>
      </c>
      <c r="V26" s="3">
        <f>AVERAGEIFS('Individual data from NASA'!W:W, 'Individual data from NASA'!$C:$C, $F26, 'Individual data from NASA'!$B:$B, $B26, 'Individual data from NASA'!$K:$K, $L26)</f>
        <v>15.785714285714286</v>
      </c>
      <c r="W26" s="3">
        <f>AVERAGEIFS('Individual data from NASA'!U:U, 'Individual data from NASA'!$C:$C, $F26, 'Individual data from NASA'!$B:$B, $B26, 'Individual data from NASA'!$K:$K, $L26)</f>
        <v>12.414285714285715</v>
      </c>
      <c r="X26" cm="1">
        <f t="array" ref="X26">_xlfn.STDEV.S(
    _xlfn._xlws.FILTER(
        'Individual data from NASA'!M:M,
        ('Individual data from NASA'!$C:$C=$F26) *
        ('Individual data from NASA'!$B:$B=$B26) *
        ('Individual data from NASA'!$K:$K=$L26)
    )
)</f>
        <v>141586769685588.91</v>
      </c>
      <c r="Y26" cm="1">
        <f t="array" ref="Y26">_xlfn.STDEV.S(
    _xlfn._xlws.FILTER(
        'Individual data from NASA'!N:N,
        ('Individual data from NASA'!$C:$C=$F26) *
        ('Individual data from NASA'!$B:$B=$B26) *
        ('Individual data from NASA'!$K:$K=$L26)
    )
)</f>
        <v>7250830943760860</v>
      </c>
      <c r="Z26" cm="1">
        <f t="array" ref="Z26">_xlfn.STDEV.S(
    _xlfn._xlws.FILTER(
        'Individual data from NASA'!O:O,
        ('Individual data from NASA'!$C:$C=$F26) *
        ('Individual data from NASA'!$B:$B=$B26) *
        ('Individual data from NASA'!$K:$K=$L26)
    )
)</f>
        <v>1.9047324181927196E+16</v>
      </c>
      <c r="AA26">
        <f t="shared" si="17"/>
        <v>-1</v>
      </c>
      <c r="AB26">
        <f t="shared" si="18"/>
        <v>-1</v>
      </c>
      <c r="AC26">
        <f t="shared" si="19"/>
        <v>-0.98344947735191635</v>
      </c>
      <c r="AD26">
        <f t="shared" si="20"/>
        <v>0.13970588235294121</v>
      </c>
      <c r="AE26">
        <f t="shared" si="22"/>
        <v>0</v>
      </c>
      <c r="AF26">
        <f t="shared" si="23"/>
        <v>0</v>
      </c>
      <c r="AG26">
        <f t="shared" si="24"/>
        <v>-0.9696205455345358</v>
      </c>
      <c r="AH26">
        <f t="shared" si="25"/>
        <v>-0.79422975814931651</v>
      </c>
      <c r="AI26">
        <f t="shared" si="26"/>
        <v>-0.64303646630346578</v>
      </c>
      <c r="AJ26">
        <f t="shared" si="26"/>
        <v>-0.57819181255998042</v>
      </c>
      <c r="AK26">
        <f t="shared" si="26"/>
        <v>-4.0699630003363602E-2</v>
      </c>
      <c r="AL26">
        <f t="shared" si="26"/>
        <v>4.481481481481481</v>
      </c>
      <c r="AM26">
        <f t="shared" si="26"/>
        <v>-0.95251596830188734</v>
      </c>
      <c r="AN26">
        <f t="shared" si="26"/>
        <v>-0.73855141524832035</v>
      </c>
      <c r="AO26">
        <f t="shared" si="26"/>
        <v>0.21311925346507507</v>
      </c>
      <c r="AP26">
        <f t="shared" si="26"/>
        <v>-0.29949366450865306</v>
      </c>
    </row>
    <row r="27" spans="1:42" x14ac:dyDescent="0.2">
      <c r="A27" t="s">
        <v>32</v>
      </c>
      <c r="B27" t="s">
        <v>2</v>
      </c>
      <c r="C27" t="s">
        <v>110</v>
      </c>
      <c r="D27" t="s">
        <v>112</v>
      </c>
      <c r="E27">
        <v>30</v>
      </c>
      <c r="F27" t="s">
        <v>12</v>
      </c>
      <c r="G27">
        <v>0</v>
      </c>
      <c r="H27">
        <v>0</v>
      </c>
      <c r="I27">
        <v>19</v>
      </c>
      <c r="J27">
        <v>15.5</v>
      </c>
      <c r="K27" s="2">
        <f>AVERAGEIFS('Individual data from NASA'!J:J, 'Individual data from NASA'!$C:$C, $F27, 'Individual data from NASA'!$B:$B, $B27, 'Individual data from NASA'!$K:$K, $L27) + 273.15</f>
        <v>281.08333333333331</v>
      </c>
      <c r="L27">
        <v>7</v>
      </c>
      <c r="M27">
        <f>0.15586*60*60</f>
        <v>561.096</v>
      </c>
      <c r="N27" s="3">
        <f>AVERAGEIFS('Individual data from NASA'!M:M, 'Individual data from NASA'!$C:$C, $F27, 'Individual data from NASA'!$B:$B, $B27, 'Individual data from NASA'!$K:$K, $L27)</f>
        <v>53266666666666.664</v>
      </c>
      <c r="O27" s="3">
        <f>AVERAGEIFS('Individual data from NASA'!N:N, 'Individual data from NASA'!$C:$C, $F27, 'Individual data from NASA'!$B:$B, $B27, 'Individual data from NASA'!$K:$K, $L27)</f>
        <v>5455000000000000</v>
      </c>
      <c r="P27" s="3">
        <f>AVERAGEIFS('Individual data from NASA'!O:O, 'Individual data from NASA'!$C:$C, $F27, 'Individual data from NASA'!$B:$B, $B27, 'Individual data from NASA'!$K:$K, $L27)</f>
        <v>5508333333333333</v>
      </c>
      <c r="Q27" s="3">
        <f>AVERAGEIFS('Individual data from NASA'!P:P, 'Individual data from NASA'!$C:$C, $F27, 'Individual data from NASA'!$B:$B, $B27, 'Individual data from NASA'!$K:$K, $L27)</f>
        <v>4.12</v>
      </c>
      <c r="R27" s="3">
        <f>AVERAGEIFS('Individual data from NASA'!Q:Q, 'Individual data from NASA'!$C:$C, $F27, 'Individual data from NASA'!$B:$B, $B27, 'Individual data from NASA'!$K:$K, $L27)</f>
        <v>0.79300000000000004</v>
      </c>
      <c r="S27" s="3">
        <f>AVERAGEIFS('Individual data from NASA'!R:R, 'Individual data from NASA'!$C:$C, $F27, 'Individual data from NASA'!$B:$B, $B27, 'Individual data from NASA'!$K:$K, $L27)</f>
        <v>0.20700000000000002</v>
      </c>
      <c r="T27" s="3">
        <f>AVERAGEIFS('Individual data from NASA'!S:S, 'Individual data from NASA'!$C:$C, $F27, 'Individual data from NASA'!$B:$B, $B27, 'Individual data from NASA'!$K:$K, $L27)</f>
        <v>18.218274276000002</v>
      </c>
      <c r="U27" s="3">
        <f>AVERAGEIFS('Individual data from NASA'!T:T, 'Individual data from NASA'!$C:$C, $F27, 'Individual data from NASA'!$B:$B, $B27, 'Individual data from NASA'!$K:$K, $L27)</f>
        <v>3.8829924239999998</v>
      </c>
      <c r="V27" s="3">
        <f>AVERAGEIFS('Individual data from NASA'!W:W, 'Individual data from NASA'!$C:$C, $F27, 'Individual data from NASA'!$B:$B, $B27, 'Individual data from NASA'!$K:$K, $L27)</f>
        <v>14.18985</v>
      </c>
      <c r="W27" s="3">
        <f>AVERAGEIFS('Individual data from NASA'!U:U, 'Individual data from NASA'!$C:$C, $F27, 'Individual data from NASA'!$B:$B, $B27, 'Individual data from NASA'!$K:$K, $L27)</f>
        <v>11.825699999999999</v>
      </c>
      <c r="X27" cm="1">
        <f t="array" ref="X27">_xlfn.STDEV.S(
    _xlfn._xlws.FILTER(
        'Individual data from NASA'!M:M,
        ('Individual data from NASA'!$C:$C=$F27) *
        ('Individual data from NASA'!$B:$B=$B27) *
        ('Individual data from NASA'!$K:$K=$L27)
    )
)</f>
        <v>72640613066429.078</v>
      </c>
      <c r="Y27" cm="1">
        <f t="array" ref="Y27">_xlfn.STDEV.S(
    _xlfn._xlws.FILTER(
        'Individual data from NASA'!N:N,
        ('Individual data from NASA'!$C:$C=$F27) *
        ('Individual data from NASA'!$B:$B=$B27) *
        ('Individual data from NASA'!$K:$K=$L27)
    )
)</f>
        <v>1306579503895573.8</v>
      </c>
      <c r="Z27" cm="1">
        <f t="array" ref="Z27">_xlfn.STDEV.S(
    _xlfn._xlws.FILTER(
        'Individual data from NASA'!O:O,
        ('Individual data from NASA'!$C:$C=$F27) *
        ('Individual data from NASA'!$B:$B=$B27) *
        ('Individual data from NASA'!$K:$K=$L27)
    )
)</f>
        <v>1289952195496665</v>
      </c>
      <c r="AA27">
        <f t="shared" si="17"/>
        <v>-1</v>
      </c>
      <c r="AB27">
        <f t="shared" si="18"/>
        <v>-1</v>
      </c>
      <c r="AC27">
        <f t="shared" si="19"/>
        <v>-0.98344947735191635</v>
      </c>
      <c r="AD27">
        <f t="shared" si="20"/>
        <v>0.13970588235294121</v>
      </c>
      <c r="AE27">
        <f t="shared" si="22"/>
        <v>0.75</v>
      </c>
      <c r="AF27">
        <f t="shared" si="23"/>
        <v>0.22724409448818902</v>
      </c>
      <c r="AG27">
        <f t="shared" si="24"/>
        <v>-0.98420717050185869</v>
      </c>
      <c r="AH27">
        <f t="shared" si="25"/>
        <v>-0.84930670658896079</v>
      </c>
      <c r="AI27">
        <f t="shared" si="26"/>
        <v>-0.86227983133967245</v>
      </c>
      <c r="AJ27">
        <f t="shared" si="26"/>
        <v>-0.86898278809078977</v>
      </c>
      <c r="AK27">
        <f t="shared" si="26"/>
        <v>-0.19979818365287583</v>
      </c>
      <c r="AL27">
        <f t="shared" si="26"/>
        <v>22</v>
      </c>
      <c r="AM27">
        <f t="shared" si="26"/>
        <v>-0.90692785561571065</v>
      </c>
      <c r="AN27">
        <f t="shared" si="26"/>
        <v>1.8626361310524244</v>
      </c>
      <c r="AO27">
        <f t="shared" si="26"/>
        <v>9.0478386167147165E-2</v>
      </c>
      <c r="AP27">
        <f t="shared" si="26"/>
        <v>-0.33270604831599371</v>
      </c>
    </row>
    <row r="28" spans="1:42" x14ac:dyDescent="0.2">
      <c r="A28" t="s">
        <v>32</v>
      </c>
      <c r="B28" t="s">
        <v>2</v>
      </c>
      <c r="C28" t="s">
        <v>110</v>
      </c>
      <c r="D28" t="s">
        <v>112</v>
      </c>
      <c r="E28">
        <v>30</v>
      </c>
      <c r="F28" t="s">
        <v>12</v>
      </c>
      <c r="G28">
        <v>0</v>
      </c>
      <c r="H28">
        <v>0</v>
      </c>
      <c r="I28">
        <v>19</v>
      </c>
      <c r="J28">
        <v>15.5</v>
      </c>
      <c r="K28" s="2">
        <f>AVERAGEIFS('Individual data from NASA'!J:J, 'Individual data from NASA'!$C:$C, $F28, 'Individual data from NASA'!$B:$B, $B28, 'Individual data from NASA'!$K:$K, $L28) + 273.15</f>
        <v>281.375</v>
      </c>
      <c r="L28">
        <v>30</v>
      </c>
      <c r="M28">
        <f>0.342*60*60</f>
        <v>1231.2000000000003</v>
      </c>
      <c r="N28" s="3">
        <f>AVERAGEIFS('Individual data from NASA'!M:M, 'Individual data from NASA'!$C:$C, $F28, 'Individual data from NASA'!$B:$B, $B28, 'Individual data from NASA'!$K:$K, $L28)</f>
        <v>19850000000000</v>
      </c>
      <c r="O28" s="3">
        <f>AVERAGEIFS('Individual data from NASA'!N:N, 'Individual data from NASA'!$C:$C, $F28, 'Individual data from NASA'!$B:$B, $B28, 'Individual data from NASA'!$K:$K, $L28)</f>
        <v>1371250000000000</v>
      </c>
      <c r="P28" s="3">
        <f>AVERAGEIFS('Individual data from NASA'!O:O, 'Individual data from NASA'!$C:$C, $F28, 'Individual data from NASA'!$B:$B, $B28, 'Individual data from NASA'!$K:$K, $L28)</f>
        <v>1402500000000000</v>
      </c>
      <c r="Q28" s="3">
        <f>AVERAGEIFS('Individual data from NASA'!P:P, 'Individual data from NASA'!$C:$C, $F28, 'Individual data from NASA'!$B:$B, $B28, 'Individual data from NASA'!$K:$K, $L28)</f>
        <v>2.7767499999999998</v>
      </c>
      <c r="R28" s="3">
        <f>AVERAGEIFS('Individual data from NASA'!Q:Q, 'Individual data from NASA'!$C:$C, $F28, 'Individual data from NASA'!$B:$B, $B28, 'Individual data from NASA'!$K:$K, $L28)</f>
        <v>0.7466666666666667</v>
      </c>
      <c r="S28" s="3">
        <f>AVERAGEIFS('Individual data from NASA'!R:R, 'Individual data from NASA'!$C:$C, $F28, 'Individual data from NASA'!$B:$B, $B28, 'Individual data from NASA'!$K:$K, $L28)</f>
        <v>0.25333333333333335</v>
      </c>
      <c r="T28" s="3">
        <f>AVERAGEIFS('Individual data from NASA'!S:S, 'Individual data from NASA'!$C:$C, $F28, 'Individual data from NASA'!$B:$B, $B28, 'Individual data from NASA'!$K:$K, $L28)</f>
        <v>0.67864680066666672</v>
      </c>
      <c r="U28" s="3">
        <f>AVERAGEIFS('Individual data from NASA'!T:T, 'Individual data from NASA'!$C:$C, $F28, 'Individual data from NASA'!$B:$B, $B28, 'Individual data from NASA'!$K:$K, $L28)</f>
        <v>0.21479799933333332</v>
      </c>
      <c r="V28" s="3">
        <f>AVERAGEIFS('Individual data from NASA'!W:W, 'Individual data from NASA'!$C:$C, $F28, 'Individual data from NASA'!$B:$B, $B28, 'Individual data from NASA'!$K:$K, $L28)</f>
        <v>16.296099999999999</v>
      </c>
      <c r="W28" s="3">
        <f>AVERAGEIFS('Individual data from NASA'!U:U, 'Individual data from NASA'!$C:$C, $F28, 'Individual data from NASA'!$B:$B, $B28, 'Individual data from NASA'!$K:$K, $L28)</f>
        <v>14.297150000000002</v>
      </c>
      <c r="X28" cm="1">
        <f t="array" ref="X28">_xlfn.STDEV.S(
    _xlfn._xlws.FILTER(
        'Individual data from NASA'!M:M,
        ('Individual data from NASA'!$C:$C=$F28) *
        ('Individual data from NASA'!$B:$B=$B28) *
        ('Individual data from NASA'!$K:$K=$L28)
    )
)</f>
        <v>10428646444609.518</v>
      </c>
      <c r="Y28" cm="1">
        <f t="array" ref="Y28">_xlfn.STDEV.S(
    _xlfn._xlws.FILTER(
        'Individual data from NASA'!N:N,
        ('Individual data from NASA'!$C:$C=$F28) *
        ('Individual data from NASA'!$B:$B=$B28) *
        ('Individual data from NASA'!$K:$K=$L28)
    )
)</f>
        <v>377764807783891.31</v>
      </c>
      <c r="Z28" cm="1">
        <f t="array" ref="Z28">_xlfn.STDEV.S(
    _xlfn._xlws.FILTER(
        'Individual data from NASA'!O:O,
        ('Individual data from NASA'!$C:$C=$F28) *
        ('Individual data from NASA'!$B:$B=$B28) *
        ('Individual data from NASA'!$K:$K=$L28)
    )
)</f>
        <v>394999999999999.94</v>
      </c>
      <c r="AA28">
        <f t="shared" si="17"/>
        <v>-1</v>
      </c>
      <c r="AB28">
        <f t="shared" si="18"/>
        <v>-1</v>
      </c>
      <c r="AC28">
        <f t="shared" si="19"/>
        <v>-0.98344947735191635</v>
      </c>
      <c r="AD28">
        <f t="shared" si="20"/>
        <v>0.13970588235294121</v>
      </c>
      <c r="AE28">
        <f t="shared" si="22"/>
        <v>6.5</v>
      </c>
      <c r="AF28">
        <f t="shared" si="23"/>
        <v>1.6929133858267722</v>
      </c>
      <c r="AG28">
        <f t="shared" si="24"/>
        <v>-0.99411474970829583</v>
      </c>
      <c r="AH28">
        <f t="shared" si="25"/>
        <v>-0.96211949063430113</v>
      </c>
      <c r="AI28">
        <f t="shared" si="26"/>
        <v>-0.96493448655743852</v>
      </c>
      <c r="AJ28">
        <f t="shared" si="26"/>
        <v>-0.91169853321143224</v>
      </c>
      <c r="AK28">
        <f t="shared" si="26"/>
        <v>-0.24655230406996295</v>
      </c>
      <c r="AL28">
        <f t="shared" si="26"/>
        <v>27.148148148148145</v>
      </c>
      <c r="AM28">
        <f t="shared" si="26"/>
        <v>-0.99653298045354433</v>
      </c>
      <c r="AN28">
        <f t="shared" si="26"/>
        <v>-0.84164570861151533</v>
      </c>
      <c r="AO28">
        <f t="shared" si="26"/>
        <v>0.25234197886647469</v>
      </c>
      <c r="AP28">
        <f t="shared" si="26"/>
        <v>-0.19324845706224644</v>
      </c>
    </row>
    <row r="29" spans="1:42" x14ac:dyDescent="0.2">
      <c r="A29" t="s">
        <v>32</v>
      </c>
      <c r="B29" t="s">
        <v>2</v>
      </c>
      <c r="C29" t="s">
        <v>110</v>
      </c>
      <c r="D29" t="s">
        <v>112</v>
      </c>
      <c r="E29">
        <v>30</v>
      </c>
      <c r="F29" t="s">
        <v>12</v>
      </c>
      <c r="G29">
        <v>0</v>
      </c>
      <c r="H29">
        <v>0</v>
      </c>
      <c r="I29">
        <v>19</v>
      </c>
      <c r="J29">
        <v>15.5</v>
      </c>
      <c r="K29" s="2">
        <f>AVERAGEIFS('Individual data from NASA'!J:J, 'Individual data from NASA'!$C:$C, $F29, 'Individual data from NASA'!$B:$B, $B29, 'Individual data from NASA'!$K:$K, $L29) + 273.15</f>
        <v>281.375</v>
      </c>
      <c r="L29">
        <v>65</v>
      </c>
      <c r="M29">
        <f>0.602*60*60</f>
        <v>2167.1999999999998</v>
      </c>
      <c r="N29" s="3">
        <f>AVERAGEIFS('Individual data from NASA'!M:M, 'Individual data from NASA'!$C:$C, $F29, 'Individual data from NASA'!$B:$B, $B29, 'Individual data from NASA'!$K:$K, $L29)</f>
        <v>60250000000000</v>
      </c>
      <c r="O29" s="3">
        <f>AVERAGEIFS('Individual data from NASA'!N:N, 'Individual data from NASA'!$C:$C, $F29, 'Individual data from NASA'!$B:$B, $B29, 'Individual data from NASA'!$K:$K, $L29)</f>
        <v>355250000000000</v>
      </c>
      <c r="P29" s="3">
        <f>AVERAGEIFS('Individual data from NASA'!O:O, 'Individual data from NASA'!$C:$C, $F29, 'Individual data from NASA'!$B:$B, $B29, 'Individual data from NASA'!$K:$K, $L29)</f>
        <v>415000000000000</v>
      </c>
      <c r="Q29" s="3">
        <f>AVERAGEIFS('Individual data from NASA'!P:P, 'Individual data from NASA'!$C:$C, $F29, 'Individual data from NASA'!$B:$B, $B29, 'Individual data from NASA'!$K:$K, $L29)</f>
        <v>3.6674999999999995</v>
      </c>
      <c r="R29" s="3">
        <f>AVERAGEIFS('Individual data from NASA'!Q:Q, 'Individual data from NASA'!$C:$C, $F29, 'Individual data from NASA'!$B:$B, $B29, 'Individual data from NASA'!$K:$K, $L29)</f>
        <v>0.7097500000000001</v>
      </c>
      <c r="S29" s="3">
        <f>AVERAGEIFS('Individual data from NASA'!R:R, 'Individual data from NASA'!$C:$C, $F29, 'Individual data from NASA'!$B:$B, $B29, 'Individual data from NASA'!$K:$K, $L29)</f>
        <v>0.29025000000000001</v>
      </c>
      <c r="T29" s="3">
        <f>AVERAGEIFS('Individual data from NASA'!S:S, 'Individual data from NASA'!$C:$C, $F29, 'Individual data from NASA'!$B:$B, $B29, 'Individual data from NASA'!$K:$K, $L29)</f>
        <v>3.0969121346666668</v>
      </c>
      <c r="U29" s="3">
        <f>AVERAGEIFS('Individual data from NASA'!T:T, 'Individual data from NASA'!$C:$C, $F29, 'Individual data from NASA'!$B:$B, $B29, 'Individual data from NASA'!$K:$K, $L29)</f>
        <v>1.1433562653333336</v>
      </c>
      <c r="V29" s="3">
        <f>AVERAGEIFS('Individual data from NASA'!W:W, 'Individual data from NASA'!$C:$C, $F29, 'Individual data from NASA'!$B:$B, $B29, 'Individual data from NASA'!$K:$K, $L29)</f>
        <v>20.455424999999998</v>
      </c>
      <c r="W29" s="3">
        <f>AVERAGEIFS('Individual data from NASA'!U:U, 'Individual data from NASA'!$C:$C, $F29, 'Individual data from NASA'!$B:$B, $B29, 'Individual data from NASA'!$K:$K, $L29)</f>
        <v>18.249325000000002</v>
      </c>
      <c r="X29" cm="1">
        <f t="array" ref="X29">_xlfn.STDEV.S(
    _xlfn._xlws.FILTER(
        'Individual data from NASA'!M:M,
        ('Individual data from NASA'!$C:$C=$F29) *
        ('Individual data from NASA'!$B:$B=$B29) *
        ('Individual data from NASA'!$K:$K=$L29)
    )
)</f>
        <v>11470977871713.186</v>
      </c>
      <c r="Y29" cm="1">
        <f t="array" ref="Y29">_xlfn.STDEV.S(
    _xlfn._xlws.FILTER(
        'Individual data from NASA'!N:N,
        ('Individual data from NASA'!$C:$C=$F29) *
        ('Individual data from NASA'!$B:$B=$B29) *
        ('Individual data from NASA'!$K:$K=$L29)
    )
)</f>
        <v>276235859366592.81</v>
      </c>
      <c r="Z29" cm="1">
        <f t="array" ref="Z29">_xlfn.STDEV.S(
    _xlfn._xlws.FILTER(
        'Individual data from NASA'!O:O,
        ('Individual data from NASA'!$C:$C=$F29) *
        ('Individual data from NASA'!$B:$B=$B29) *
        ('Individual data from NASA'!$K:$K=$L29)
    )
)</f>
        <v>284546422691740.56</v>
      </c>
      <c r="AA29">
        <f t="shared" si="17"/>
        <v>-1</v>
      </c>
      <c r="AB29">
        <f t="shared" si="18"/>
        <v>-1</v>
      </c>
      <c r="AC29">
        <f t="shared" si="19"/>
        <v>-0.98344947735191635</v>
      </c>
      <c r="AD29">
        <f t="shared" si="20"/>
        <v>0.13970588235294121</v>
      </c>
      <c r="AE29">
        <f t="shared" si="22"/>
        <v>15.25</v>
      </c>
      <c r="AF29">
        <f t="shared" si="23"/>
        <v>3.7401574803149602</v>
      </c>
      <c r="AG29">
        <f t="shared" si="24"/>
        <v>-0.98213670881233384</v>
      </c>
      <c r="AH29">
        <f t="shared" si="25"/>
        <v>-0.99018628918711793</v>
      </c>
      <c r="AI29">
        <f t="shared" si="26"/>
        <v>-0.98962410832180892</v>
      </c>
      <c r="AJ29">
        <f t="shared" si="26"/>
        <v>-0.88337242119489601</v>
      </c>
      <c r="AK29">
        <f t="shared" si="26"/>
        <v>-0.28380423814328948</v>
      </c>
      <c r="AL29">
        <f t="shared" si="26"/>
        <v>31.249999999999996</v>
      </c>
      <c r="AM29">
        <f t="shared" si="26"/>
        <v>-0.98417872906201309</v>
      </c>
      <c r="AN29">
        <f t="shared" si="26"/>
        <v>-0.15709004849493793</v>
      </c>
      <c r="AO29">
        <f t="shared" si="26"/>
        <v>0.57198270893371772</v>
      </c>
      <c r="AP29">
        <f t="shared" si="26"/>
        <v>2.9762652089578654E-2</v>
      </c>
    </row>
    <row r="30" spans="1:42" x14ac:dyDescent="0.2">
      <c r="A30" t="s">
        <v>32</v>
      </c>
      <c r="B30" t="s">
        <v>2</v>
      </c>
      <c r="C30" t="s">
        <v>110</v>
      </c>
      <c r="D30" t="s">
        <v>112</v>
      </c>
      <c r="E30">
        <v>30</v>
      </c>
      <c r="F30" t="s">
        <v>12</v>
      </c>
      <c r="G30">
        <v>0</v>
      </c>
      <c r="H30">
        <v>0</v>
      </c>
      <c r="I30">
        <v>19</v>
      </c>
      <c r="J30">
        <v>15.5</v>
      </c>
      <c r="K30" s="2">
        <f>AVERAGEIFS('Individual data from NASA'!J:J, 'Individual data from NASA'!$C:$C, $F30, 'Individual data from NASA'!$B:$B, $B30, 'Individual data from NASA'!$K:$K, $L30) + 273.15</f>
        <v>281.22499999999997</v>
      </c>
      <c r="L30">
        <v>85</v>
      </c>
      <c r="M30">
        <f>0.845*60*60</f>
        <v>3041.9999999999995</v>
      </c>
      <c r="N30" s="3">
        <f>AVERAGEIFS('Individual data from NASA'!M:M, 'Individual data from NASA'!$C:$C, $F30, 'Individual data from NASA'!$B:$B, $B30, 'Individual data from NASA'!$K:$K, $L30)</f>
        <v>267500000000000</v>
      </c>
      <c r="O30" s="3">
        <f>AVERAGEIFS('Individual data from NASA'!N:N, 'Individual data from NASA'!$C:$C, $F30, 'Individual data from NASA'!$B:$B, $B30, 'Individual data from NASA'!$K:$K, $L30)</f>
        <v>339500000000000</v>
      </c>
      <c r="P30" s="3">
        <f>AVERAGEIFS('Individual data from NASA'!O:O, 'Individual data from NASA'!$C:$C, $F30, 'Individual data from NASA'!$B:$B, $B30, 'Individual data from NASA'!$K:$K, $L30)</f>
        <v>607500000000000</v>
      </c>
      <c r="Q30" s="3">
        <f>AVERAGEIFS('Individual data from NASA'!P:P, 'Individual data from NASA'!$C:$C, $F30, 'Individual data from NASA'!$B:$B, $B30, 'Individual data from NASA'!$K:$K, $L30)</f>
        <v>17.024999999999999</v>
      </c>
      <c r="R30" s="3">
        <f>AVERAGEIFS('Individual data from NASA'!Q:Q, 'Individual data from NASA'!$C:$C, $F30, 'Individual data from NASA'!$B:$B, $B30, 'Individual data from NASA'!$K:$K, $L30)</f>
        <v>0.87490404249999998</v>
      </c>
      <c r="S30" s="3">
        <f>AVERAGEIFS('Individual data from NASA'!R:R, 'Individual data from NASA'!$C:$C, $F30, 'Individual data from NASA'!$B:$B, $B30, 'Individual data from NASA'!$K:$K, $L30)</f>
        <v>0.12509595749999999</v>
      </c>
      <c r="T30" s="3">
        <f>AVERAGEIFS('Individual data from NASA'!S:S, 'Individual data from NASA'!$C:$C, $F30, 'Individual data from NASA'!$B:$B, $B30, 'Individual data from NASA'!$K:$K, $L30)</f>
        <v>15.800407421000001</v>
      </c>
      <c r="U30" s="3">
        <f>AVERAGEIFS('Individual data from NASA'!T:T, 'Individual data from NASA'!$C:$C, $F30, 'Individual data from NASA'!$B:$B, $B30, 'Individual data from NASA'!$K:$K, $L30)</f>
        <v>2.0336325789999998</v>
      </c>
      <c r="V30" s="3">
        <f>AVERAGEIFS('Individual data from NASA'!W:W, 'Individual data from NASA'!$C:$C, $F30, 'Individual data from NASA'!$B:$B, $B30, 'Individual data from NASA'!$K:$K, $L30)</f>
        <v>26.511125</v>
      </c>
      <c r="W30" s="3">
        <f>AVERAGEIFS('Individual data from NASA'!U:U, 'Individual data from NASA'!$C:$C, $F30, 'Individual data from NASA'!$B:$B, $B30, 'Individual data from NASA'!$K:$K, $L30)</f>
        <v>20.575675</v>
      </c>
      <c r="X30" cm="1">
        <f t="array" ref="X30">_xlfn.STDEV.S(
    _xlfn._xlws.FILTER(
        'Individual data from NASA'!M:M,
        ('Individual data from NASA'!$C:$C=$F30) *
        ('Individual data from NASA'!$B:$B=$B30) *
        ('Individual data from NASA'!$K:$K=$L30)
    )
)</f>
        <v>33040379335998.328</v>
      </c>
      <c r="Y30" cm="1">
        <f t="array" ref="Y30">_xlfn.STDEV.S(
    _xlfn._xlws.FILTER(
        'Individual data from NASA'!N:N,
        ('Individual data from NASA'!$C:$C=$F30) *
        ('Individual data from NASA'!$B:$B=$B30) *
        ('Individual data from NASA'!$K:$K=$L30)
    )
)</f>
        <v>88293072585943.344</v>
      </c>
      <c r="Z30" cm="1">
        <f t="array" ref="Z30">_xlfn.STDEV.S(
    _xlfn._xlws.FILTER(
        'Individual data from NASA'!O:O,
        ('Individual data from NASA'!$C:$C=$F30) *
        ('Individual data from NASA'!$B:$B=$B30) *
        ('Individual data from NASA'!$K:$K=$L30)
    )
)</f>
        <v>119268604418765.88</v>
      </c>
      <c r="AA30">
        <f t="shared" si="17"/>
        <v>-1</v>
      </c>
      <c r="AB30">
        <f t="shared" si="18"/>
        <v>-1</v>
      </c>
      <c r="AC30">
        <f t="shared" si="19"/>
        <v>-0.98344947735191635</v>
      </c>
      <c r="AD30">
        <f t="shared" si="20"/>
        <v>0.13970588235294121</v>
      </c>
      <c r="AE30">
        <f t="shared" si="22"/>
        <v>20.25</v>
      </c>
      <c r="AF30">
        <f t="shared" si="23"/>
        <v>5.6535433070866139</v>
      </c>
      <c r="AG30">
        <f t="shared" si="24"/>
        <v>-0.92068995198837011</v>
      </c>
      <c r="AH30">
        <f t="shared" si="25"/>
        <v>-0.99062137981428999</v>
      </c>
      <c r="AI30">
        <f t="shared" si="26"/>
        <v>-0.98481119471204559</v>
      </c>
      <c r="AJ30">
        <f t="shared" si="26"/>
        <v>-0.45859999204992657</v>
      </c>
      <c r="AK30">
        <f t="shared" si="26"/>
        <v>-0.11715031029263372</v>
      </c>
      <c r="AL30">
        <f t="shared" si="26"/>
        <v>12.899550833333331</v>
      </c>
      <c r="AM30">
        <f t="shared" si="26"/>
        <v>-0.91928007128780642</v>
      </c>
      <c r="AN30">
        <f t="shared" si="26"/>
        <v>0.49924322848246788</v>
      </c>
      <c r="AO30">
        <f t="shared" si="26"/>
        <v>1.0373583093179639</v>
      </c>
      <c r="AP30">
        <f t="shared" si="26"/>
        <v>0.16103262211250219</v>
      </c>
    </row>
    <row r="31" spans="1:42" x14ac:dyDescent="0.2">
      <c r="A31" t="s">
        <v>32</v>
      </c>
      <c r="B31" t="s">
        <v>2</v>
      </c>
      <c r="C31" t="s">
        <v>110</v>
      </c>
      <c r="D31" t="s">
        <v>112</v>
      </c>
      <c r="E31">
        <v>30</v>
      </c>
      <c r="F31" t="s">
        <v>12</v>
      </c>
      <c r="G31">
        <v>0</v>
      </c>
      <c r="H31">
        <v>0</v>
      </c>
      <c r="I31">
        <v>19</v>
      </c>
      <c r="J31">
        <v>15.5</v>
      </c>
      <c r="K31" s="2">
        <f>AVERAGEIFS('Individual data from NASA'!J:J, 'Individual data from NASA'!$C:$C, $F31, 'Individual data from NASA'!$B:$B, $B31, 'Individual data from NASA'!$K:$K, $L31) + 273.15</f>
        <v>281.54999999999995</v>
      </c>
      <c r="L31">
        <v>100</v>
      </c>
      <c r="M31">
        <f>0.894*60*60</f>
        <v>3218.4</v>
      </c>
      <c r="N31" s="3">
        <f>AVERAGEIFS('Individual data from NASA'!M:M, 'Individual data from NASA'!$C:$C, $F31, 'Individual data from NASA'!$B:$B, $B31, 'Individual data from NASA'!$K:$K, $L31)</f>
        <v>472000000000000</v>
      </c>
      <c r="O31" s="3">
        <f>AVERAGEIFS('Individual data from NASA'!N:N, 'Individual data from NASA'!$C:$C, $F31, 'Individual data from NASA'!$B:$B, $B31, 'Individual data from NASA'!$K:$K, $L31)</f>
        <v>715000000000000</v>
      </c>
      <c r="P31" s="3">
        <f>AVERAGEIFS('Individual data from NASA'!O:O, 'Individual data from NASA'!$C:$C, $F31, 'Individual data from NASA'!$B:$B, $B31, 'Individual data from NASA'!$K:$K, $L31)</f>
        <v>1190000000000000</v>
      </c>
      <c r="Q31" s="3">
        <f>AVERAGEIFS('Individual data from NASA'!P:P, 'Individual data from NASA'!$C:$C, $F31, 'Individual data from NASA'!$B:$B, $B31, 'Individual data from NASA'!$K:$K, $L31)</f>
        <v>51</v>
      </c>
      <c r="R31" s="3">
        <f>AVERAGEIFS('Individual data from NASA'!Q:Q, 'Individual data from NASA'!$C:$C, $F31, 'Individual data from NASA'!$B:$B, $B31, 'Individual data from NASA'!$K:$K, $L31)</f>
        <v>0.89800000000000002</v>
      </c>
      <c r="S31" s="3">
        <f>AVERAGEIFS('Individual data from NASA'!R:R, 'Individual data from NASA'!$C:$C, $F31, 'Individual data from NASA'!$B:$B, $B31, 'Individual data from NASA'!$K:$K, $L31)</f>
        <v>0.10200000000000001</v>
      </c>
      <c r="T31" s="3">
        <f>AVERAGEIFS('Individual data from NASA'!S:S, 'Individual data from NASA'!$C:$C, $F31, 'Individual data from NASA'!$B:$B, $B31, 'Individual data from NASA'!$K:$K, $L31)</f>
        <v>16.18516451</v>
      </c>
      <c r="U31" s="3">
        <f>AVERAGEIFS('Individual data from NASA'!T:T, 'Individual data from NASA'!$C:$C, $F31, 'Individual data from NASA'!$B:$B, $B31, 'Individual data from NASA'!$K:$K, $L31)</f>
        <v>1.8655954925000002</v>
      </c>
      <c r="V31" s="3">
        <f>AVERAGEIFS('Individual data from NASA'!W:W, 'Individual data from NASA'!$C:$C, $F31, 'Individual data from NASA'!$B:$B, $B31, 'Individual data from NASA'!$K:$K, $L31)</f>
        <v>29.351950000000002</v>
      </c>
      <c r="W31" s="3">
        <f>AVERAGEIFS('Individual data from NASA'!U:U, 'Individual data from NASA'!$C:$C, $F31, 'Individual data from NASA'!$B:$B, $B31, 'Individual data from NASA'!$K:$K, $L31)</f>
        <v>27.162500000000001</v>
      </c>
      <c r="X31" cm="1">
        <f t="array" ref="X31">_xlfn.STDEV.S(
    _xlfn._xlws.FILTER(
        'Individual data from NASA'!M:M,
        ('Individual data from NASA'!$C:$C=$F31) *
        ('Individual data from NASA'!$B:$B=$B31) *
        ('Individual data from NASA'!$K:$K=$L31)
    )
)</f>
        <v>35355339059327.375</v>
      </c>
      <c r="Y31" cm="1">
        <f t="array" ref="Y31">_xlfn.STDEV.S(
    _xlfn._xlws.FILTER(
        'Individual data from NASA'!N:N,
        ('Individual data from NASA'!$C:$C=$F31) *
        ('Individual data from NASA'!$B:$B=$B31) *
        ('Individual data from NASA'!$K:$K=$L31)
    )
)</f>
        <v>151320851173921.28</v>
      </c>
      <c r="Z31" cm="1">
        <f t="array" ref="Z31">_xlfn.STDEV.S(
    _xlfn._xlws.FILTER(
        'Individual data from NASA'!O:O,
        ('Individual data from NASA'!$C:$C=$F31) *
        ('Individual data from NASA'!$B:$B=$B31) *
        ('Individual data from NASA'!$K:$K=$L31)
    )
)</f>
        <v>183847763108503.19</v>
      </c>
      <c r="AA31">
        <f t="shared" si="17"/>
        <v>-1</v>
      </c>
      <c r="AB31">
        <f t="shared" si="18"/>
        <v>-1</v>
      </c>
      <c r="AC31">
        <f t="shared" si="19"/>
        <v>-0.98344947735191635</v>
      </c>
      <c r="AD31">
        <f t="shared" si="20"/>
        <v>0.13970588235294121</v>
      </c>
      <c r="AE31">
        <f t="shared" si="22"/>
        <v>24</v>
      </c>
      <c r="AF31">
        <f t="shared" si="23"/>
        <v>6.0393700787401583</v>
      </c>
      <c r="AG31">
        <f t="shared" si="24"/>
        <v>-0.86005853210658201</v>
      </c>
      <c r="AH31">
        <f t="shared" si="25"/>
        <v>-0.98024826676647236</v>
      </c>
      <c r="AI31">
        <f t="shared" si="26"/>
        <v>-0.97024744313964484</v>
      </c>
      <c r="AJ31">
        <f t="shared" si="26"/>
        <v>0.62181500178876636</v>
      </c>
      <c r="AK31">
        <f t="shared" si="26"/>
        <v>-9.3844601412714404E-2</v>
      </c>
      <c r="AL31">
        <f t="shared" si="26"/>
        <v>10.333333333333332</v>
      </c>
      <c r="AM31">
        <f t="shared" si="26"/>
        <v>-0.91731445331555639</v>
      </c>
      <c r="AN31">
        <f t="shared" si="26"/>
        <v>0.37536221542703768</v>
      </c>
      <c r="AO31">
        <f t="shared" si="26"/>
        <v>1.2556733909702216</v>
      </c>
      <c r="AP31">
        <f t="shared" si="26"/>
        <v>0.53271028037383183</v>
      </c>
    </row>
    <row r="32" spans="1:42" x14ac:dyDescent="0.2">
      <c r="A32" t="s">
        <v>32</v>
      </c>
      <c r="B32" t="s">
        <v>2</v>
      </c>
      <c r="C32" t="s">
        <v>110</v>
      </c>
      <c r="D32" t="s">
        <v>112</v>
      </c>
      <c r="E32">
        <v>30</v>
      </c>
      <c r="F32" t="s">
        <v>14</v>
      </c>
      <c r="G32">
        <v>8</v>
      </c>
      <c r="H32">
        <v>0.8</v>
      </c>
      <c r="I32">
        <v>699</v>
      </c>
      <c r="J32">
        <v>14.5</v>
      </c>
      <c r="K32" s="2">
        <f>AVERAGEIFS('Individual data from NASA'!J:J, 'Individual data from NASA'!$C:$C, $F32, 'Individual data from NASA'!$B:$B, $B32, 'Individual data from NASA'!$K:$K, $L32) + 273.15</f>
        <v>277.79999999999995</v>
      </c>
      <c r="L32">
        <v>4</v>
      </c>
      <c r="M32">
        <f>0.127*60*60</f>
        <v>457.2</v>
      </c>
      <c r="N32" s="3">
        <f>AVERAGEIFS('Individual data from NASA'!M:M, 'Individual data from NASA'!$C:$C, $F32, 'Individual data from NASA'!$B:$B, $B32, 'Individual data from NASA'!$K:$K, $L32)</f>
        <v>1076000000000000</v>
      </c>
      <c r="O32" s="3">
        <f>AVERAGEIFS('Individual data from NASA'!N:N, 'Individual data from NASA'!$C:$C, $F32, 'Individual data from NASA'!$B:$B, $B32, 'Individual data from NASA'!$K:$K, $L32)</f>
        <v>4.23E+16</v>
      </c>
      <c r="P32" s="3">
        <f>AVERAGEIFS('Individual data from NASA'!O:O, 'Individual data from NASA'!$C:$C, $F32, 'Individual data from NASA'!$B:$B, $B32, 'Individual data from NASA'!$K:$K, $L32)</f>
        <v>4.34E+16</v>
      </c>
      <c r="Q32" s="3">
        <f>AVERAGEIFS('Individual data from NASA'!P:P, 'Individual data from NASA'!$C:$C, $F32, 'Individual data from NASA'!$B:$B, $B32, 'Individual data from NASA'!$K:$K, $L32)</f>
        <v>5.66</v>
      </c>
      <c r="R32" s="3" t="e">
        <f>AVERAGEIFS('Individual data from NASA'!Q:Q, 'Individual data from NASA'!$C:$C, $F32, 'Individual data from NASA'!$B:$B, $B32, 'Individual data from NASA'!$K:$K, $L32)</f>
        <v>#DIV/0!</v>
      </c>
      <c r="S32" s="3" t="e">
        <f>AVERAGEIFS('Individual data from NASA'!R:R, 'Individual data from NASA'!$C:$C, $F32, 'Individual data from NASA'!$B:$B, $B32, 'Individual data from NASA'!$K:$K, $L32)</f>
        <v>#DIV/0!</v>
      </c>
      <c r="T32" s="3" t="e">
        <f>AVERAGEIFS('Individual data from NASA'!S:S, 'Individual data from NASA'!$C:$C, $F32, 'Individual data from NASA'!$B:$B, $B32, 'Individual data from NASA'!$K:$K, $L32)</f>
        <v>#DIV/0!</v>
      </c>
      <c r="U32" s="3" t="e">
        <f>AVERAGEIFS('Individual data from NASA'!T:T, 'Individual data from NASA'!$C:$C, $F32, 'Individual data from NASA'!$B:$B, $B32, 'Individual data from NASA'!$K:$K, $L32)</f>
        <v>#DIV/0!</v>
      </c>
      <c r="V32" s="3">
        <f>AVERAGEIFS('Individual data from NASA'!W:W, 'Individual data from NASA'!$C:$C, $F32, 'Individual data from NASA'!$B:$B, $B32, 'Individual data from NASA'!$K:$K, $L32)</f>
        <v>11.35</v>
      </c>
      <c r="W32" s="3">
        <f>AVERAGEIFS('Individual data from NASA'!U:U, 'Individual data from NASA'!$C:$C, $F32, 'Individual data from NASA'!$B:$B, $B32, 'Individual data from NASA'!$K:$K, $L32)</f>
        <v>14.350000000000001</v>
      </c>
      <c r="X32" cm="1">
        <f t="array" ref="X32">_xlfn.STDEV.S(
    _xlfn._xlws.FILTER(
        'Individual data from NASA'!M:M,
        ('Individual data from NASA'!$C:$C=$F32) *
        ('Individual data from NASA'!$B:$B=$B32) *
        ('Individual data from NASA'!$K:$K=$L32)
    )
)</f>
        <v>175362481734262.97</v>
      </c>
      <c r="Y32" cm="1">
        <f t="array" ref="Y32">_xlfn.STDEV.S(
    _xlfn._xlws.FILTER(
        'Individual data from NASA'!N:N,
        ('Individual data from NASA'!$C:$C=$F32) *
        ('Individual data from NASA'!$B:$B=$B32) *
        ('Individual data from NASA'!$K:$K=$L32)
    )
)</f>
        <v>5374011537017761</v>
      </c>
      <c r="Z32" cm="1">
        <f t="array" ref="Z32">_xlfn.STDEV.S(
    _xlfn._xlws.FILTER(
        'Individual data from NASA'!O:O,
        ('Individual data from NASA'!$C:$C=$F32) *
        ('Individual data from NASA'!$B:$B=$B32) *
        ('Individual data from NASA'!$K:$K=$L32)
    )
)</f>
        <v>5515432893255071</v>
      </c>
      <c r="AA32">
        <f t="shared" si="17"/>
        <v>-0.56989247311827962</v>
      </c>
      <c r="AB32">
        <f t="shared" si="18"/>
        <v>-0.5</v>
      </c>
      <c r="AC32">
        <f t="shared" si="19"/>
        <v>-0.39111498257839722</v>
      </c>
      <c r="AD32">
        <f t="shared" si="20"/>
        <v>6.6176470588235323E-2</v>
      </c>
      <c r="AE32">
        <f t="shared" si="22"/>
        <v>0</v>
      </c>
      <c r="AF32">
        <f t="shared" si="23"/>
        <v>0</v>
      </c>
      <c r="AG32">
        <f t="shared" si="24"/>
        <v>-0.68098089098873349</v>
      </c>
      <c r="AH32">
        <f t="shared" si="25"/>
        <v>0.16852911297652776</v>
      </c>
      <c r="AI32">
        <f t="shared" si="26"/>
        <v>8.5093250201189158E-2</v>
      </c>
      <c r="AJ32">
        <f t="shared" si="26"/>
        <v>-0.82001033509559962</v>
      </c>
      <c r="AK32" t="e">
        <f t="shared" si="26"/>
        <v>#DIV/0!</v>
      </c>
      <c r="AL32" t="e">
        <f t="shared" si="26"/>
        <v>#DIV/0!</v>
      </c>
      <c r="AM32" t="e">
        <f t="shared" si="26"/>
        <v>#DIV/0!</v>
      </c>
      <c r="AN32" t="e">
        <f t="shared" si="26"/>
        <v>#DIV/0!</v>
      </c>
      <c r="AO32">
        <f t="shared" si="26"/>
        <v>-0.12776176753121984</v>
      </c>
      <c r="AP32">
        <f t="shared" si="26"/>
        <v>-0.19026626697231525</v>
      </c>
    </row>
    <row r="33" spans="1:42" x14ac:dyDescent="0.2">
      <c r="A33" t="s">
        <v>32</v>
      </c>
      <c r="B33" t="s">
        <v>2</v>
      </c>
      <c r="C33" t="s">
        <v>110</v>
      </c>
      <c r="D33" t="s">
        <v>112</v>
      </c>
      <c r="E33">
        <v>30</v>
      </c>
      <c r="F33" t="s">
        <v>14</v>
      </c>
      <c r="G33">
        <v>8</v>
      </c>
      <c r="H33">
        <v>0.8</v>
      </c>
      <c r="I33">
        <v>699</v>
      </c>
      <c r="J33">
        <v>14.5</v>
      </c>
      <c r="K33" s="2">
        <f>AVERAGEIFS('Individual data from NASA'!J:J, 'Individual data from NASA'!$C:$C, $F33, 'Individual data from NASA'!$B:$B, $B33, 'Individual data from NASA'!$K:$K, $L33) + 273.15</f>
        <v>278.58333333333331</v>
      </c>
      <c r="L33">
        <v>7</v>
      </c>
      <c r="M33">
        <f>0.15586*60*60</f>
        <v>561.096</v>
      </c>
      <c r="N33" s="3">
        <f>AVERAGEIFS('Individual data from NASA'!M:M, 'Individual data from NASA'!$C:$C, $F33, 'Individual data from NASA'!$B:$B, $B33, 'Individual data from NASA'!$K:$K, $L33)</f>
        <v>763333333333333.38</v>
      </c>
      <c r="O33" s="3">
        <f>AVERAGEIFS('Individual data from NASA'!N:N, 'Individual data from NASA'!$C:$C, $F33, 'Individual data from NASA'!$B:$B, $B33, 'Individual data from NASA'!$K:$K, $L33)</f>
        <v>3.4366666666666668E+16</v>
      </c>
      <c r="P33" s="3">
        <f>AVERAGEIFS('Individual data from NASA'!O:O, 'Individual data from NASA'!$C:$C, $F33, 'Individual data from NASA'!$B:$B, $B33, 'Individual data from NASA'!$K:$K, $L33)</f>
        <v>3.5133333333333332E+16</v>
      </c>
      <c r="Q33" s="3">
        <f>AVERAGEIFS('Individual data from NASA'!P:P, 'Individual data from NASA'!$C:$C, $F33, 'Individual data from NASA'!$B:$B, $B33, 'Individual data from NASA'!$K:$K, $L33)</f>
        <v>7.3299999999999992</v>
      </c>
      <c r="R33" s="3" t="e">
        <f>AVERAGEIFS('Individual data from NASA'!Q:Q, 'Individual data from NASA'!$C:$C, $F33, 'Individual data from NASA'!$B:$B, $B33, 'Individual data from NASA'!$K:$K, $L33)</f>
        <v>#DIV/0!</v>
      </c>
      <c r="S33" s="3" t="e">
        <f>AVERAGEIFS('Individual data from NASA'!R:R, 'Individual data from NASA'!$C:$C, $F33, 'Individual data from NASA'!$B:$B, $B33, 'Individual data from NASA'!$K:$K, $L33)</f>
        <v>#DIV/0!</v>
      </c>
      <c r="T33" s="3" t="e">
        <f>AVERAGEIFS('Individual data from NASA'!S:S, 'Individual data from NASA'!$C:$C, $F33, 'Individual data from NASA'!$B:$B, $B33, 'Individual data from NASA'!$K:$K, $L33)</f>
        <v>#DIV/0!</v>
      </c>
      <c r="U33" s="3" t="e">
        <f>AVERAGEIFS('Individual data from NASA'!T:T, 'Individual data from NASA'!$C:$C, $F33, 'Individual data from NASA'!$B:$B, $B33, 'Individual data from NASA'!$K:$K, $L33)</f>
        <v>#DIV/0!</v>
      </c>
      <c r="V33" s="3">
        <f>AVERAGEIFS('Individual data from NASA'!W:W, 'Individual data from NASA'!$C:$C, $F33, 'Individual data from NASA'!$B:$B, $B33, 'Individual data from NASA'!$K:$K, $L33)</f>
        <v>11.536366666666666</v>
      </c>
      <c r="W33" s="3">
        <f>AVERAGEIFS('Individual data from NASA'!U:U, 'Individual data from NASA'!$C:$C, $F33, 'Individual data from NASA'!$B:$B, $B33, 'Individual data from NASA'!$K:$K, $L33)</f>
        <v>13.235433333333333</v>
      </c>
      <c r="X33" cm="1">
        <f t="array" ref="X33">_xlfn.STDEV.S(
    _xlfn._xlws.FILTER(
        'Individual data from NASA'!M:M,
        ('Individual data from NASA'!$C:$C=$F33) *
        ('Individual data from NASA'!$B:$B=$B33) *
        ('Individual data from NASA'!$K:$K=$L33)
    )
)</f>
        <v>88635959595038.703</v>
      </c>
      <c r="Y33" cm="1">
        <f t="array" ref="Y33">_xlfn.STDEV.S(
    _xlfn._xlws.FILTER(
        'Individual data from NASA'!N:N,
        ('Individual data from NASA'!$C:$C=$F33) *
        ('Individual data from NASA'!$B:$B=$B33) *
        ('Individual data from NASA'!$K:$K=$L33)
    )
)</f>
        <v>873689494805410.38</v>
      </c>
      <c r="Z33" cm="1">
        <f t="array" ref="Z33">_xlfn.STDEV.S(
    _xlfn._xlws.FILTER(
        'Individual data from NASA'!O:O,
        ('Individual data from NASA'!$C:$C=$F33) *
        ('Individual data from NASA'!$B:$B=$B33) *
        ('Individual data from NASA'!$K:$K=$L33)
    )
)</f>
        <v>862167810425170.88</v>
      </c>
      <c r="AA33">
        <f t="shared" si="17"/>
        <v>-0.56989247311827962</v>
      </c>
      <c r="AB33">
        <f t="shared" si="18"/>
        <v>-0.5</v>
      </c>
      <c r="AC33">
        <f t="shared" si="19"/>
        <v>-0.39111498257839722</v>
      </c>
      <c r="AD33">
        <f t="shared" si="20"/>
        <v>6.6176470588235323E-2</v>
      </c>
      <c r="AE33">
        <f t="shared" si="22"/>
        <v>0.75</v>
      </c>
      <c r="AF33">
        <f t="shared" si="23"/>
        <v>0.22724409448818902</v>
      </c>
      <c r="AG33">
        <f t="shared" si="24"/>
        <v>-0.77368223059609653</v>
      </c>
      <c r="AH33">
        <f t="shared" si="25"/>
        <v>-5.0627647376832029E-2</v>
      </c>
      <c r="AI33">
        <f t="shared" si="26"/>
        <v>-0.12159117840856118</v>
      </c>
      <c r="AJ33">
        <f t="shared" si="26"/>
        <v>-0.76690384386055577</v>
      </c>
      <c r="AK33" t="e">
        <f t="shared" si="26"/>
        <v>#DIV/0!</v>
      </c>
      <c r="AL33" t="e">
        <f t="shared" si="26"/>
        <v>#DIV/0!</v>
      </c>
      <c r="AM33" t="e">
        <f t="shared" si="26"/>
        <v>#DIV/0!</v>
      </c>
      <c r="AN33" t="e">
        <f t="shared" si="26"/>
        <v>#DIV/0!</v>
      </c>
      <c r="AO33">
        <f t="shared" si="26"/>
        <v>-0.11343964137047699</v>
      </c>
      <c r="AP33">
        <f t="shared" si="26"/>
        <v>-0.25315840827602426</v>
      </c>
    </row>
    <row r="34" spans="1:42" x14ac:dyDescent="0.2">
      <c r="A34" t="s">
        <v>32</v>
      </c>
      <c r="B34" t="s">
        <v>2</v>
      </c>
      <c r="C34" t="s">
        <v>110</v>
      </c>
      <c r="D34" t="s">
        <v>112</v>
      </c>
      <c r="E34">
        <v>30</v>
      </c>
      <c r="F34" t="s">
        <v>14</v>
      </c>
      <c r="G34">
        <v>8</v>
      </c>
      <c r="H34">
        <v>0.8</v>
      </c>
      <c r="I34">
        <v>699</v>
      </c>
      <c r="J34">
        <v>14.5</v>
      </c>
      <c r="K34" s="2">
        <f>AVERAGEIFS('Individual data from NASA'!J:J, 'Individual data from NASA'!$C:$C, $F34, 'Individual data from NASA'!$B:$B, $B34, 'Individual data from NASA'!$K:$K, $L34) + 273.15</f>
        <v>278.2</v>
      </c>
      <c r="L34">
        <v>30</v>
      </c>
      <c r="M34">
        <f>0.342*60*60</f>
        <v>1231.2000000000003</v>
      </c>
      <c r="N34" s="3">
        <f>AVERAGEIFS('Individual data from NASA'!M:M, 'Individual data from NASA'!$C:$C, $F34, 'Individual data from NASA'!$B:$B, $B34, 'Individual data from NASA'!$K:$K, $L34)</f>
        <v>140000000000000</v>
      </c>
      <c r="O34" s="3">
        <f>AVERAGEIFS('Individual data from NASA'!N:N, 'Individual data from NASA'!$C:$C, $F34, 'Individual data from NASA'!$B:$B, $B34, 'Individual data from NASA'!$K:$K, $L34)</f>
        <v>1.685E+16</v>
      </c>
      <c r="P34" s="3">
        <f>AVERAGEIFS('Individual data from NASA'!O:O, 'Individual data from NASA'!$C:$C, $F34, 'Individual data from NASA'!$B:$B, $B34, 'Individual data from NASA'!$K:$K, $L34)</f>
        <v>1.7E+16</v>
      </c>
      <c r="Q34" s="3">
        <f>AVERAGEIFS('Individual data from NASA'!P:P, 'Individual data from NASA'!$C:$C, $F34, 'Individual data from NASA'!$B:$B, $B34, 'Individual data from NASA'!$K:$K, $L34)</f>
        <v>3.7229999999999999</v>
      </c>
      <c r="R34" s="3">
        <f>AVERAGEIFS('Individual data from NASA'!Q:Q, 'Individual data from NASA'!$C:$C, $F34, 'Individual data from NASA'!$B:$B, $B34, 'Individual data from NASA'!$K:$K, $L34)</f>
        <v>0.34549999999999997</v>
      </c>
      <c r="S34" s="3">
        <f>AVERAGEIFS('Individual data from NASA'!R:R, 'Individual data from NASA'!$C:$C, $F34, 'Individual data from NASA'!$B:$B, $B34, 'Individual data from NASA'!$K:$K, $L34)</f>
        <v>0.65450000000000008</v>
      </c>
      <c r="T34" s="3">
        <f>AVERAGEIFS('Individual data from NASA'!S:S, 'Individual data from NASA'!$C:$C, $F34, 'Individual data from NASA'!$B:$B, $B34, 'Individual data from NASA'!$K:$K, $L34)</f>
        <v>14.4536666015</v>
      </c>
      <c r="U34" s="3">
        <f>AVERAGEIFS('Individual data from NASA'!T:T, 'Individual data from NASA'!$C:$C, $F34, 'Individual data from NASA'!$B:$B, $B34, 'Individual data from NASA'!$K:$K, $L34)</f>
        <v>25.349325400000001</v>
      </c>
      <c r="V34" s="3">
        <f>AVERAGEIFS('Individual data from NASA'!W:W, 'Individual data from NASA'!$C:$C, $F34, 'Individual data from NASA'!$B:$B, $B34, 'Individual data from NASA'!$K:$K, $L34)</f>
        <v>14.05935</v>
      </c>
      <c r="W34" s="3">
        <f>AVERAGEIFS('Individual data from NASA'!U:U, 'Individual data from NASA'!$C:$C, $F34, 'Individual data from NASA'!$B:$B, $B34, 'Individual data from NASA'!$K:$K, $L34)</f>
        <v>12.13185</v>
      </c>
      <c r="X34" cm="1">
        <f t="array" ref="X34">_xlfn.STDEV.S(
    _xlfn._xlws.FILTER(
        'Individual data from NASA'!M:M,
        ('Individual data from NASA'!$C:$C=$F34) *
        ('Individual data from NASA'!$B:$B=$B34) *
        ('Individual data from NASA'!$K:$K=$L34)
    )
)</f>
        <v>14142135623730.951</v>
      </c>
      <c r="Y34" cm="1">
        <f t="array" ref="Y34">_xlfn.STDEV.S(
    _xlfn._xlws.FILTER(
        'Individual data from NASA'!N:N,
        ('Individual data from NASA'!$C:$C=$F34) *
        ('Individual data from NASA'!$B:$B=$B34) *
        ('Individual data from NASA'!$K:$K=$L34)
    )
)</f>
        <v>494974746830583.25</v>
      </c>
      <c r="Z34" cm="1">
        <f t="array" ref="Z34">_xlfn.STDEV.S(
    _xlfn._xlws.FILTER(
        'Individual data from NASA'!O:O,
        ('Individual data from NASA'!$C:$C=$F34) *
        ('Individual data from NASA'!$B:$B=$B34) *
        ('Individual data from NASA'!$K:$K=$L34)
    )
)</f>
        <v>0</v>
      </c>
      <c r="AA34">
        <f t="shared" si="17"/>
        <v>-0.56989247311827962</v>
      </c>
      <c r="AB34">
        <f t="shared" si="18"/>
        <v>-0.5</v>
      </c>
      <c r="AC34">
        <f t="shared" si="19"/>
        <v>-0.39111498257839722</v>
      </c>
      <c r="AD34">
        <f t="shared" si="20"/>
        <v>6.6176470588235323E-2</v>
      </c>
      <c r="AE34">
        <f t="shared" si="22"/>
        <v>6.5</v>
      </c>
      <c r="AF34">
        <f t="shared" si="23"/>
        <v>1.6929133858267722</v>
      </c>
      <c r="AG34">
        <f t="shared" si="24"/>
        <v>-0.95849193748924044</v>
      </c>
      <c r="AH34">
        <f t="shared" si="25"/>
        <v>-0.53452209093015379</v>
      </c>
      <c r="AI34">
        <f t="shared" si="26"/>
        <v>-0.5749634734234973</v>
      </c>
      <c r="AJ34">
        <f t="shared" si="26"/>
        <v>-0.88160750486942008</v>
      </c>
      <c r="AK34">
        <f t="shared" si="26"/>
        <v>-0.65136226034308775</v>
      </c>
      <c r="AL34">
        <f t="shared" si="26"/>
        <v>71.722222222222229</v>
      </c>
      <c r="AM34">
        <f t="shared" si="26"/>
        <v>-0.9261601991254822</v>
      </c>
      <c r="AN34">
        <f t="shared" si="26"/>
        <v>17.688137102542274</v>
      </c>
      <c r="AO34">
        <f t="shared" si="26"/>
        <v>8.0449567723343163E-2</v>
      </c>
      <c r="AP34">
        <f t="shared" si="26"/>
        <v>-0.31543078822077236</v>
      </c>
    </row>
    <row r="35" spans="1:42" x14ac:dyDescent="0.2">
      <c r="A35" t="s">
        <v>32</v>
      </c>
      <c r="B35" t="s">
        <v>2</v>
      </c>
      <c r="C35" t="s">
        <v>110</v>
      </c>
      <c r="D35" t="s">
        <v>112</v>
      </c>
      <c r="E35">
        <v>30</v>
      </c>
      <c r="F35" t="s">
        <v>14</v>
      </c>
      <c r="G35">
        <v>8</v>
      </c>
      <c r="H35">
        <v>0.8</v>
      </c>
      <c r="I35">
        <v>699</v>
      </c>
      <c r="J35">
        <v>14.5</v>
      </c>
      <c r="K35" s="2">
        <f>AVERAGEIFS('Individual data from NASA'!J:J, 'Individual data from NASA'!$C:$C, $F35, 'Individual data from NASA'!$B:$B, $B35, 'Individual data from NASA'!$K:$K, $L35) + 273.15</f>
        <v>278.89999999999998</v>
      </c>
      <c r="L35">
        <v>65</v>
      </c>
      <c r="M35">
        <f>0.602*60*60</f>
        <v>2167.1999999999998</v>
      </c>
      <c r="N35" s="3">
        <f>AVERAGEIFS('Individual data from NASA'!M:M, 'Individual data from NASA'!$C:$C, $F35, 'Individual data from NASA'!$B:$B, $B35, 'Individual data from NASA'!$K:$K, $L35)</f>
        <v>280000000000000</v>
      </c>
      <c r="O35" s="3">
        <f>AVERAGEIFS('Individual data from NASA'!N:N, 'Individual data from NASA'!$C:$C, $F35, 'Individual data from NASA'!$B:$B, $B35, 'Individual data from NASA'!$K:$K, $L35)</f>
        <v>1.435E+16</v>
      </c>
      <c r="P35" s="3">
        <f>AVERAGEIFS('Individual data from NASA'!O:O, 'Individual data from NASA'!$C:$C, $F35, 'Individual data from NASA'!$B:$B, $B35, 'Individual data from NASA'!$K:$K, $L35)</f>
        <v>1.45E+16</v>
      </c>
      <c r="Q35" s="3">
        <f>AVERAGEIFS('Individual data from NASA'!P:P, 'Individual data from NASA'!$C:$C, $F35, 'Individual data from NASA'!$B:$B, $B35, 'Individual data from NASA'!$K:$K, $L35)</f>
        <v>12.2</v>
      </c>
      <c r="R35" s="3" t="e">
        <f>AVERAGEIFS('Individual data from NASA'!Q:Q, 'Individual data from NASA'!$C:$C, $F35, 'Individual data from NASA'!$B:$B, $B35, 'Individual data from NASA'!$K:$K, $L35)</f>
        <v>#DIV/0!</v>
      </c>
      <c r="S35" s="3" t="e">
        <f>AVERAGEIFS('Individual data from NASA'!R:R, 'Individual data from NASA'!$C:$C, $F35, 'Individual data from NASA'!$B:$B, $B35, 'Individual data from NASA'!$K:$K, $L35)</f>
        <v>#DIV/0!</v>
      </c>
      <c r="T35" s="3" t="e">
        <f>AVERAGEIFS('Individual data from NASA'!S:S, 'Individual data from NASA'!$C:$C, $F35, 'Individual data from NASA'!$B:$B, $B35, 'Individual data from NASA'!$K:$K, $L35)</f>
        <v>#DIV/0!</v>
      </c>
      <c r="U35" s="3" t="e">
        <f>AVERAGEIFS('Individual data from NASA'!T:T, 'Individual data from NASA'!$C:$C, $F35, 'Individual data from NASA'!$B:$B, $B35, 'Individual data from NASA'!$K:$K, $L35)</f>
        <v>#DIV/0!</v>
      </c>
      <c r="V35" s="3">
        <f>AVERAGEIFS('Individual data from NASA'!W:W, 'Individual data from NASA'!$C:$C, $F35, 'Individual data from NASA'!$B:$B, $B35, 'Individual data from NASA'!$K:$K, $L35)</f>
        <v>16.704750000000001</v>
      </c>
      <c r="W35" s="3">
        <f>AVERAGEIFS('Individual data from NASA'!U:U, 'Individual data from NASA'!$C:$C, $F35, 'Individual data from NASA'!$B:$B, $B35, 'Individual data from NASA'!$K:$K, $L35)</f>
        <v>12.32335</v>
      </c>
      <c r="X35" cm="1">
        <f t="array" ref="X35">_xlfn.STDEV.S(
    _xlfn._xlws.FILTER(
        'Individual data from NASA'!M:M,
        ('Individual data from NASA'!$C:$C=$F35) *
        ('Individual data from NASA'!$B:$B=$B35) *
        ('Individual data from NASA'!$K:$K=$L35)
    )
)</f>
        <v>28284271247461.902</v>
      </c>
      <c r="Y35" cm="1">
        <f t="array" ref="Y35">_xlfn.STDEV.S(
    _xlfn._xlws.FILTER(
        'Individual data from NASA'!N:N,
        ('Individual data from NASA'!$C:$C=$F35) *
        ('Individual data from NASA'!$B:$B=$B35) *
        ('Individual data from NASA'!$K:$K=$L35)
    )
)</f>
        <v>353553390593273.75</v>
      </c>
      <c r="Z35" cm="1">
        <f t="array" ref="Z35">_xlfn.STDEV.S(
    _xlfn._xlws.FILTER(
        'Individual data from NASA'!O:O,
        ('Individual data from NASA'!$C:$C=$F35) *
        ('Individual data from NASA'!$B:$B=$B35) *
        ('Individual data from NASA'!$K:$K=$L35)
    )
)</f>
        <v>707106781186547.5</v>
      </c>
      <c r="AA35">
        <f t="shared" si="17"/>
        <v>-0.56989247311827962</v>
      </c>
      <c r="AB35">
        <f t="shared" si="18"/>
        <v>-0.5</v>
      </c>
      <c r="AC35">
        <f t="shared" si="19"/>
        <v>-0.39111498257839722</v>
      </c>
      <c r="AD35">
        <f t="shared" si="20"/>
        <v>6.6176470588235323E-2</v>
      </c>
      <c r="AE35">
        <f t="shared" si="22"/>
        <v>15.25</v>
      </c>
      <c r="AF35">
        <f t="shared" si="23"/>
        <v>3.7401574803149602</v>
      </c>
      <c r="AG35">
        <f t="shared" si="24"/>
        <v>-0.91698387497848088</v>
      </c>
      <c r="AH35">
        <f t="shared" si="25"/>
        <v>-0.60358409524318735</v>
      </c>
      <c r="AI35">
        <f t="shared" si="26"/>
        <v>-0.63746884497886536</v>
      </c>
      <c r="AJ35">
        <f t="shared" si="26"/>
        <v>-0.61203641133680498</v>
      </c>
      <c r="AK35" t="e">
        <f t="shared" si="26"/>
        <v>#DIV/0!</v>
      </c>
      <c r="AL35" t="e">
        <f t="shared" si="26"/>
        <v>#DIV/0!</v>
      </c>
      <c r="AM35" t="e">
        <f t="shared" si="26"/>
        <v>#DIV/0!</v>
      </c>
      <c r="AN35" t="e">
        <f t="shared" si="26"/>
        <v>#DIV/0!</v>
      </c>
      <c r="AO35">
        <f t="shared" si="26"/>
        <v>0.28374639769452481</v>
      </c>
      <c r="AP35">
        <f t="shared" si="26"/>
        <v>-0.30462493387409634</v>
      </c>
    </row>
    <row r="36" spans="1:42" x14ac:dyDescent="0.2">
      <c r="A36" t="s">
        <v>32</v>
      </c>
      <c r="B36" t="s">
        <v>2</v>
      </c>
      <c r="C36" t="s">
        <v>110</v>
      </c>
      <c r="D36" t="s">
        <v>112</v>
      </c>
      <c r="E36">
        <v>30</v>
      </c>
      <c r="F36" t="s">
        <v>14</v>
      </c>
      <c r="G36">
        <v>8</v>
      </c>
      <c r="H36">
        <v>0.8</v>
      </c>
      <c r="I36">
        <v>699</v>
      </c>
      <c r="J36">
        <v>14.5</v>
      </c>
      <c r="K36" s="2">
        <f>AVERAGEIFS('Individual data from NASA'!J:J, 'Individual data from NASA'!$C:$C, $F36, 'Individual data from NASA'!$B:$B, $B36, 'Individual data from NASA'!$K:$K, $L36) + 273.15</f>
        <v>278.5</v>
      </c>
      <c r="L36">
        <v>85</v>
      </c>
      <c r="M36">
        <f>0.845*60*60</f>
        <v>3041.9999999999995</v>
      </c>
      <c r="N36" s="3">
        <f>AVERAGEIFS('Individual data from NASA'!M:M, 'Individual data from NASA'!$C:$C, $F36, 'Individual data from NASA'!$B:$B, $B36, 'Individual data from NASA'!$K:$K, $L36)</f>
        <v>570000000000000</v>
      </c>
      <c r="O36" s="3">
        <f>AVERAGEIFS('Individual data from NASA'!N:N, 'Individual data from NASA'!$C:$C, $F36, 'Individual data from NASA'!$B:$B, $B36, 'Individual data from NASA'!$K:$K, $L36)</f>
        <v>1.09E+16</v>
      </c>
      <c r="P36" s="3">
        <f>AVERAGEIFS('Individual data from NASA'!O:O, 'Individual data from NASA'!$C:$C, $F36, 'Individual data from NASA'!$B:$B, $B36, 'Individual data from NASA'!$K:$K, $L36)</f>
        <v>1.1E+16</v>
      </c>
      <c r="Q36" s="3">
        <f>AVERAGEIFS('Individual data from NASA'!P:P, 'Individual data from NASA'!$C:$C, $F36, 'Individual data from NASA'!$B:$B, $B36, 'Individual data from NASA'!$K:$K, $L36)</f>
        <v>52.3</v>
      </c>
      <c r="R36" s="3" t="e">
        <f>AVERAGEIFS('Individual data from NASA'!Q:Q, 'Individual data from NASA'!$C:$C, $F36, 'Individual data from NASA'!$B:$B, $B36, 'Individual data from NASA'!$K:$K, $L36)</f>
        <v>#DIV/0!</v>
      </c>
      <c r="S36" s="3" t="e">
        <f>AVERAGEIFS('Individual data from NASA'!R:R, 'Individual data from NASA'!$C:$C, $F36, 'Individual data from NASA'!$B:$B, $B36, 'Individual data from NASA'!$K:$K, $L36)</f>
        <v>#DIV/0!</v>
      </c>
      <c r="T36" s="3" t="e">
        <f>AVERAGEIFS('Individual data from NASA'!S:S, 'Individual data from NASA'!$C:$C, $F36, 'Individual data from NASA'!$B:$B, $B36, 'Individual data from NASA'!$K:$K, $L36)</f>
        <v>#DIV/0!</v>
      </c>
      <c r="U36" s="3" t="e">
        <f>AVERAGEIFS('Individual data from NASA'!T:T, 'Individual data from NASA'!$C:$C, $F36, 'Individual data from NASA'!$B:$B, $B36, 'Individual data from NASA'!$K:$K, $L36)</f>
        <v>#DIV/0!</v>
      </c>
      <c r="V36" s="3">
        <f>AVERAGEIFS('Individual data from NASA'!W:W, 'Individual data from NASA'!$C:$C, $F36, 'Individual data from NASA'!$B:$B, $B36, 'Individual data from NASA'!$K:$K, $L36)</f>
        <v>25.572850000000003</v>
      </c>
      <c r="W36" s="3">
        <f>AVERAGEIFS('Individual data from NASA'!U:U, 'Individual data from NASA'!$C:$C, $F36, 'Individual data from NASA'!$B:$B, $B36, 'Individual data from NASA'!$K:$K, $L36)</f>
        <v>12.512599999999999</v>
      </c>
      <c r="X36" cm="1">
        <f t="array" ref="X36">_xlfn.STDEV.S(
    _xlfn._xlws.FILTER(
        'Individual data from NASA'!M:M,
        ('Individual data from NASA'!$C:$C=$F36) *
        ('Individual data from NASA'!$B:$B=$B36) *
        ('Individual data from NASA'!$K:$K=$L36)
    )
)</f>
        <v>14142135623730.951</v>
      </c>
      <c r="Y36" cm="1">
        <f t="array" ref="Y36">_xlfn.STDEV.S(
    _xlfn._xlws.FILTER(
        'Individual data from NASA'!N:N,
        ('Individual data from NASA'!$C:$C=$F36) *
        ('Individual data from NASA'!$B:$B=$B36) *
        ('Individual data from NASA'!$K:$K=$L36)
    )
)</f>
        <v>0</v>
      </c>
      <c r="Z36" cm="1">
        <f t="array" ref="Z36">_xlfn.STDEV.S(
    _xlfn._xlws.FILTER(
        'Individual data from NASA'!O:O,
        ('Individual data from NASA'!$C:$C=$F36) *
        ('Individual data from NASA'!$B:$B=$B36) *
        ('Individual data from NASA'!$K:$K=$L36)
    )
)</f>
        <v>0</v>
      </c>
      <c r="AA36">
        <f t="shared" si="17"/>
        <v>-0.56989247311827962</v>
      </c>
      <c r="AB36">
        <f t="shared" si="18"/>
        <v>-0.5</v>
      </c>
      <c r="AC36">
        <f t="shared" si="19"/>
        <v>-0.39111498257839722</v>
      </c>
      <c r="AD36">
        <f t="shared" si="20"/>
        <v>6.6176470588235323E-2</v>
      </c>
      <c r="AE36">
        <f t="shared" si="22"/>
        <v>20.25</v>
      </c>
      <c r="AF36">
        <f t="shared" si="23"/>
        <v>5.6535433070866139</v>
      </c>
      <c r="AG36">
        <f t="shared" si="24"/>
        <v>-0.83100288834905034</v>
      </c>
      <c r="AH36">
        <f t="shared" si="25"/>
        <v>-0.69888966119517371</v>
      </c>
      <c r="AI36">
        <f t="shared" si="26"/>
        <v>-0.72497636515638064</v>
      </c>
      <c r="AJ36">
        <f t="shared" si="26"/>
        <v>0.66315538418730346</v>
      </c>
      <c r="AK36" t="e">
        <f t="shared" si="26"/>
        <v>#DIV/0!</v>
      </c>
      <c r="AL36" t="e">
        <f t="shared" si="26"/>
        <v>#DIV/0!</v>
      </c>
      <c r="AM36" t="e">
        <f t="shared" si="26"/>
        <v>#DIV/0!</v>
      </c>
      <c r="AN36" t="e">
        <f t="shared" si="26"/>
        <v>#DIV/0!</v>
      </c>
      <c r="AO36">
        <f t="shared" si="26"/>
        <v>0.96525264169068259</v>
      </c>
      <c r="AP36">
        <f t="shared" si="26"/>
        <v>-0.29394604126256402</v>
      </c>
    </row>
    <row r="37" spans="1:42" x14ac:dyDescent="0.2">
      <c r="A37" t="s">
        <v>32</v>
      </c>
      <c r="B37" t="s">
        <v>2</v>
      </c>
      <c r="C37" t="s">
        <v>110</v>
      </c>
      <c r="D37" t="s">
        <v>112</v>
      </c>
      <c r="E37">
        <v>30</v>
      </c>
      <c r="F37" t="s">
        <v>14</v>
      </c>
      <c r="G37">
        <v>8</v>
      </c>
      <c r="H37">
        <v>0.8</v>
      </c>
      <c r="I37">
        <v>699</v>
      </c>
      <c r="J37">
        <v>14.5</v>
      </c>
      <c r="K37" s="2">
        <f>AVERAGEIFS('Individual data from NASA'!J:J, 'Individual data from NASA'!$C:$C, $F37, 'Individual data from NASA'!$B:$B, $B37, 'Individual data from NASA'!$K:$K, $L37) + 273.15</f>
        <v>280.54999999999995</v>
      </c>
      <c r="L37">
        <v>100</v>
      </c>
      <c r="M37">
        <f>0.894*60*60</f>
        <v>3218.4</v>
      </c>
      <c r="N37" s="3">
        <f>AVERAGEIFS('Individual data from NASA'!M:M, 'Individual data from NASA'!$C:$C, $F37, 'Individual data from NASA'!$B:$B, $B37, 'Individual data from NASA'!$K:$K, $L37)</f>
        <v>871000000000000</v>
      </c>
      <c r="O37" s="3">
        <f>AVERAGEIFS('Individual data from NASA'!N:N, 'Individual data from NASA'!$C:$C, $F37, 'Individual data from NASA'!$B:$B, $B37, 'Individual data from NASA'!$K:$K, $L37)</f>
        <v>9440000000000000</v>
      </c>
      <c r="P37" s="3">
        <f>AVERAGEIFS('Individual data from NASA'!O:O, 'Individual data from NASA'!$C:$C, $F37, 'Individual data from NASA'!$B:$B, $B37, 'Individual data from NASA'!$K:$K, $L37)</f>
        <v>1.03E+16</v>
      </c>
      <c r="Q37" s="3">
        <f>AVERAGEIFS('Individual data from NASA'!P:P, 'Individual data from NASA'!$C:$C, $F37, 'Individual data from NASA'!$B:$B, $B37, 'Individual data from NASA'!$K:$K, $L37)</f>
        <v>115.4</v>
      </c>
      <c r="R37" s="3" t="e">
        <f>AVERAGEIFS('Individual data from NASA'!Q:Q, 'Individual data from NASA'!$C:$C, $F37, 'Individual data from NASA'!$B:$B, $B37, 'Individual data from NASA'!$K:$K, $L37)</f>
        <v>#DIV/0!</v>
      </c>
      <c r="S37" s="3" t="e">
        <f>AVERAGEIFS('Individual data from NASA'!R:R, 'Individual data from NASA'!$C:$C, $F37, 'Individual data from NASA'!$B:$B, $B37, 'Individual data from NASA'!$K:$K, $L37)</f>
        <v>#DIV/0!</v>
      </c>
      <c r="T37" s="3" t="e">
        <f>AVERAGEIFS('Individual data from NASA'!S:S, 'Individual data from NASA'!$C:$C, $F37, 'Individual data from NASA'!$B:$B, $B37, 'Individual data from NASA'!$K:$K, $L37)</f>
        <v>#DIV/0!</v>
      </c>
      <c r="U37" s="3" t="e">
        <f>AVERAGEIFS('Individual data from NASA'!T:T, 'Individual data from NASA'!$C:$C, $F37, 'Individual data from NASA'!$B:$B, $B37, 'Individual data from NASA'!$K:$K, $L37)</f>
        <v>#DIV/0!</v>
      </c>
      <c r="V37" s="3">
        <f>AVERAGEIFS('Individual data from NASA'!W:W, 'Individual data from NASA'!$C:$C, $F37, 'Individual data from NASA'!$B:$B, $B37, 'Individual data from NASA'!$K:$K, $L37)</f>
        <v>29.095400000000001</v>
      </c>
      <c r="W37" s="3">
        <f>AVERAGEIFS('Individual data from NASA'!U:U, 'Individual data from NASA'!$C:$C, $F37, 'Individual data from NASA'!$B:$B, $B37, 'Individual data from NASA'!$K:$K, $L37)</f>
        <v>13.6272</v>
      </c>
      <c r="X37" t="e" cm="1">
        <f t="array" ref="X37">_xlfn.STDEV.S(
    _xlfn._xlws.FILTER(
        'Individual data from NASA'!M:M,
        ('Individual data from NASA'!$C:$C=$F37) *
        ('Individual data from NASA'!$B:$B=$B37) *
        ('Individual data from NASA'!$K:$K=$L37)
    )
)</f>
        <v>#DIV/0!</v>
      </c>
      <c r="Y37" t="e" cm="1">
        <f t="array" ref="Y37">_xlfn.STDEV.S(
    _xlfn._xlws.FILTER(
        'Individual data from NASA'!N:N,
        ('Individual data from NASA'!$C:$C=$F37) *
        ('Individual data from NASA'!$B:$B=$B37) *
        ('Individual data from NASA'!$K:$K=$L37)
    )
)</f>
        <v>#DIV/0!</v>
      </c>
      <c r="Z37" t="e" cm="1">
        <f t="array" ref="Z37">_xlfn.STDEV.S(
    _xlfn._xlws.FILTER(
        'Individual data from NASA'!O:O,
        ('Individual data from NASA'!$C:$C=$F37) *
        ('Individual data from NASA'!$B:$B=$B37) *
        ('Individual data from NASA'!$K:$K=$L37)
    )
)</f>
        <v>#DIV/0!</v>
      </c>
      <c r="AA37">
        <f t="shared" si="17"/>
        <v>-0.56989247311827962</v>
      </c>
      <c r="AB37">
        <f t="shared" si="18"/>
        <v>-0.5</v>
      </c>
      <c r="AC37">
        <f t="shared" si="19"/>
        <v>-0.39111498257839722</v>
      </c>
      <c r="AD37">
        <f t="shared" si="20"/>
        <v>6.6176470588235323E-2</v>
      </c>
      <c r="AE37">
        <f t="shared" si="22"/>
        <v>24</v>
      </c>
      <c r="AF37">
        <f t="shared" si="23"/>
        <v>6.0393700787401583</v>
      </c>
      <c r="AG37">
        <f t="shared" si="24"/>
        <v>-0.74176055395091722</v>
      </c>
      <c r="AH37">
        <f t="shared" si="25"/>
        <v>-0.73922187171398535</v>
      </c>
      <c r="AI37">
        <f t="shared" si="26"/>
        <v>-0.74247786919188363</v>
      </c>
      <c r="AJ37">
        <f t="shared" si="26"/>
        <v>2.6697539452239929</v>
      </c>
      <c r="AK37" t="e">
        <f t="shared" si="26"/>
        <v>#DIV/0!</v>
      </c>
      <c r="AL37" t="e">
        <f t="shared" si="26"/>
        <v>#DIV/0!</v>
      </c>
      <c r="AM37" t="e">
        <f t="shared" si="26"/>
        <v>#DIV/0!</v>
      </c>
      <c r="AN37" t="e">
        <f t="shared" si="26"/>
        <v>#DIV/0!</v>
      </c>
      <c r="AO37">
        <f t="shared" si="26"/>
        <v>1.2359577329490878</v>
      </c>
      <c r="AP37">
        <f t="shared" si="26"/>
        <v>-0.23105201904426029</v>
      </c>
    </row>
    <row r="38" spans="1:42" x14ac:dyDescent="0.2">
      <c r="A38" t="s">
        <v>32</v>
      </c>
      <c r="B38" t="s">
        <v>2</v>
      </c>
      <c r="C38" t="s">
        <v>110</v>
      </c>
      <c r="D38" t="s">
        <v>112</v>
      </c>
      <c r="E38">
        <v>30</v>
      </c>
      <c r="F38" t="s">
        <v>11</v>
      </c>
      <c r="G38">
        <v>0.6</v>
      </c>
      <c r="H38">
        <v>0</v>
      </c>
      <c r="I38">
        <v>22</v>
      </c>
      <c r="J38">
        <v>15.1</v>
      </c>
      <c r="K38" s="2">
        <f>AVERAGEIFS('Individual data from NASA'!J:J, 'Individual data from NASA'!$C:$C, $F38, 'Individual data from NASA'!$B:$B, $B38, 'Individual data from NASA'!$K:$K, $L38) + 273.15</f>
        <v>279.09999999999997</v>
      </c>
      <c r="L38">
        <v>4</v>
      </c>
      <c r="M38">
        <f>0.127*60*60</f>
        <v>457.2</v>
      </c>
      <c r="N38" s="3">
        <f>AVERAGEIFS('Individual data from NASA'!M:M, 'Individual data from NASA'!$C:$C, $F38, 'Individual data from NASA'!$B:$B, $B38, 'Individual data from NASA'!$K:$K, $L38)</f>
        <v>136750000000000</v>
      </c>
      <c r="O38" s="3">
        <f>AVERAGEIFS('Individual data from NASA'!N:N, 'Individual data from NASA'!$C:$C, $F38, 'Individual data from NASA'!$B:$B, $B38, 'Individual data from NASA'!$K:$K, $L38)</f>
        <v>6445000000000000</v>
      </c>
      <c r="P38" s="3">
        <f>AVERAGEIFS('Individual data from NASA'!O:O, 'Individual data from NASA'!$C:$C, $F38, 'Individual data from NASA'!$B:$B, $B38, 'Individual data from NASA'!$K:$K, $L38)</f>
        <v>6580000000000000</v>
      </c>
      <c r="Q38" s="3">
        <f>AVERAGEIFS('Individual data from NASA'!P:P, 'Individual data from NASA'!$C:$C, $F38, 'Individual data from NASA'!$B:$B, $B38, 'Individual data from NASA'!$K:$K, $L38)</f>
        <v>3.9550000000000001</v>
      </c>
      <c r="R38" s="3">
        <f>AVERAGEIFS('Individual data from NASA'!Q:Q, 'Individual data from NASA'!$C:$C, $F38, 'Individual data from NASA'!$B:$B, $B38, 'Individual data from NASA'!$K:$K, $L38)</f>
        <v>0.94199999999999995</v>
      </c>
      <c r="S38" s="3">
        <f>AVERAGEIFS('Individual data from NASA'!R:R, 'Individual data from NASA'!$C:$C, $F38, 'Individual data from NASA'!$B:$B, $B38, 'Individual data from NASA'!$K:$K, $L38)</f>
        <v>5.8000000000000003E-2</v>
      </c>
      <c r="T38" s="3">
        <f>AVERAGEIFS('Individual data from NASA'!S:S, 'Individual data from NASA'!$C:$C, $F38, 'Individual data from NASA'!$B:$B, $B38, 'Individual data from NASA'!$K:$K, $L38)</f>
        <v>67.645044940000005</v>
      </c>
      <c r="U38" s="3">
        <f>AVERAGEIFS('Individual data from NASA'!T:T, 'Individual data from NASA'!$C:$C, $F38, 'Individual data from NASA'!$B:$B, $B38, 'Individual data from NASA'!$K:$K, $L38)</f>
        <v>4.1997470640000003</v>
      </c>
      <c r="V38" s="3">
        <f>AVERAGEIFS('Individual data from NASA'!W:W, 'Individual data from NASA'!$C:$C, $F38, 'Individual data from NASA'!$B:$B, $B38, 'Individual data from NASA'!$K:$K, $L38)</f>
        <v>13.45</v>
      </c>
      <c r="W38" s="3">
        <f>AVERAGEIFS('Individual data from NASA'!U:U, 'Individual data from NASA'!$C:$C, $F38, 'Individual data from NASA'!$B:$B, $B38, 'Individual data from NASA'!$K:$K, $L38)</f>
        <v>13.85</v>
      </c>
      <c r="X38" cm="1">
        <f t="array" ref="X38">_xlfn.STDEV.S(
    _xlfn._xlws.FILTER(
        'Individual data from NASA'!M:M,
        ('Individual data from NASA'!$C:$C=$F38) *
        ('Individual data from NASA'!$B:$B=$B38) *
        ('Individual data from NASA'!$K:$K=$L38)
    )
)</f>
        <v>93691648507217.531</v>
      </c>
      <c r="Y38" cm="1">
        <f t="array" ref="Y38">_xlfn.STDEV.S(
    _xlfn._xlws.FILTER(
        'Individual data from NASA'!N:N,
        ('Individual data from NASA'!$C:$C=$F38) *
        ('Individual data from NASA'!$B:$B=$B38) *
        ('Individual data from NASA'!$K:$K=$L38)
    )
)</f>
        <v>2736503243191936.5</v>
      </c>
      <c r="Z38" cm="1">
        <f t="array" ref="Z38">_xlfn.STDEV.S(
    _xlfn._xlws.FILTER(
        'Individual data from NASA'!O:O,
        ('Individual data from NASA'!$C:$C=$F38) *
        ('Individual data from NASA'!$B:$B=$B38) *
        ('Individual data from NASA'!$K:$K=$L38)
    )
)</f>
        <v>2644579361637688</v>
      </c>
      <c r="AA38">
        <f t="shared" si="17"/>
        <v>-0.96774193548387089</v>
      </c>
      <c r="AB38">
        <f t="shared" si="18"/>
        <v>-1</v>
      </c>
      <c r="AC38">
        <f t="shared" si="19"/>
        <v>-0.98083623693379796</v>
      </c>
      <c r="AD38">
        <f t="shared" si="20"/>
        <v>0.11029411764705882</v>
      </c>
      <c r="AE38">
        <f t="shared" si="22"/>
        <v>0</v>
      </c>
      <c r="AF38">
        <f t="shared" si="23"/>
        <v>0</v>
      </c>
      <c r="AG38">
        <f t="shared" si="24"/>
        <v>-0.95945551751181157</v>
      </c>
      <c r="AH38">
        <f t="shared" si="25"/>
        <v>-0.82195815288099949</v>
      </c>
      <c r="AI38">
        <f t="shared" si="26"/>
        <v>-0.83548586206627129</v>
      </c>
      <c r="AJ38">
        <f t="shared" si="26"/>
        <v>-0.87422983662598874</v>
      </c>
      <c r="AK38">
        <f t="shared" si="26"/>
        <v>-4.9445005045408726E-2</v>
      </c>
      <c r="AL38">
        <f t="shared" si="26"/>
        <v>5.4444444444444438</v>
      </c>
      <c r="AM38">
        <f t="shared" si="26"/>
        <v>-0.65442010071001366</v>
      </c>
      <c r="AN38">
        <f t="shared" si="26"/>
        <v>2.0961553291683015</v>
      </c>
      <c r="AO38">
        <f t="shared" si="26"/>
        <v>3.3621517771373823E-2</v>
      </c>
      <c r="AP38">
        <f t="shared" si="26"/>
        <v>-0.2184799858931406</v>
      </c>
    </row>
    <row r="39" spans="1:42" x14ac:dyDescent="0.2">
      <c r="A39" t="s">
        <v>32</v>
      </c>
      <c r="B39" t="s">
        <v>2</v>
      </c>
      <c r="C39" t="s">
        <v>110</v>
      </c>
      <c r="D39" t="s">
        <v>112</v>
      </c>
      <c r="E39">
        <v>30</v>
      </c>
      <c r="F39" t="s">
        <v>11</v>
      </c>
      <c r="G39">
        <v>0.6</v>
      </c>
      <c r="H39">
        <v>0</v>
      </c>
      <c r="I39">
        <v>22</v>
      </c>
      <c r="J39">
        <v>15.1</v>
      </c>
      <c r="K39" s="2">
        <f>AVERAGEIFS('Individual data from NASA'!J:J, 'Individual data from NASA'!$C:$C, $F39, 'Individual data from NASA'!$B:$B, $B39, 'Individual data from NASA'!$K:$K, $L39) + 273.15</f>
        <v>282.70999999999998</v>
      </c>
      <c r="L39">
        <v>7</v>
      </c>
      <c r="M39">
        <f>0.15586*60*60</f>
        <v>561.096</v>
      </c>
      <c r="N39" s="3">
        <f>AVERAGEIFS('Individual data from NASA'!M:M, 'Individual data from NASA'!$C:$C, $F39, 'Individual data from NASA'!$B:$B, $B39, 'Individual data from NASA'!$K:$K, $L39)</f>
        <v>272720000000000</v>
      </c>
      <c r="O39" s="3">
        <f>AVERAGEIFS('Individual data from NASA'!N:N, 'Individual data from NASA'!$C:$C, $F39, 'Individual data from NASA'!$B:$B, $B39, 'Individual data from NASA'!$K:$K, $L39)</f>
        <v>5596000000000000</v>
      </c>
      <c r="P39" s="3">
        <f>AVERAGEIFS('Individual data from NASA'!O:O, 'Individual data from NASA'!$C:$C, $F39, 'Individual data from NASA'!$B:$B, $B39, 'Individual data from NASA'!$K:$K, $L39)</f>
        <v>5868000000000000</v>
      </c>
      <c r="Q39" s="3">
        <f>AVERAGEIFS('Individual data from NASA'!P:P, 'Individual data from NASA'!$C:$C, $F39, 'Individual data from NASA'!$B:$B, $B39, 'Individual data from NASA'!$K:$K, $L39)</f>
        <v>5.52</v>
      </c>
      <c r="R39" s="3">
        <f>AVERAGEIFS('Individual data from NASA'!Q:Q, 'Individual data from NASA'!$C:$C, $F39, 'Individual data from NASA'!$B:$B, $B39, 'Individual data from NASA'!$K:$K, $L39)</f>
        <v>0.67399999999999993</v>
      </c>
      <c r="S39" s="3">
        <f>AVERAGEIFS('Individual data from NASA'!R:R, 'Individual data from NASA'!$C:$C, $F39, 'Individual data from NASA'!$B:$B, $B39, 'Individual data from NASA'!$K:$K, $L39)</f>
        <v>0.32600000000000001</v>
      </c>
      <c r="T39" s="3">
        <f>AVERAGEIFS('Individual data from NASA'!S:S, 'Individual data from NASA'!$C:$C, $F39, 'Individual data from NASA'!$B:$B, $B39, 'Individual data from NASA'!$K:$K, $L39)</f>
        <v>26.569775974000002</v>
      </c>
      <c r="U39" s="3">
        <f>AVERAGEIFS('Individual data from NASA'!T:T, 'Individual data from NASA'!$C:$C, $F39, 'Individual data from NASA'!$B:$B, $B39, 'Individual data from NASA'!$K:$K, $L39)</f>
        <v>2.8669740244999997</v>
      </c>
      <c r="V39" s="3">
        <f>AVERAGEIFS('Individual data from NASA'!W:W, 'Individual data from NASA'!$C:$C, $F39, 'Individual data from NASA'!$B:$B, $B39, 'Individual data from NASA'!$K:$K, $L39)</f>
        <v>12.222739999999998</v>
      </c>
      <c r="W39" s="3">
        <f>AVERAGEIFS('Individual data from NASA'!U:U, 'Individual data from NASA'!$C:$C, $F39, 'Individual data from NASA'!$B:$B, $B39, 'Individual data from NASA'!$K:$K, $L39)</f>
        <v>13.098499999999998</v>
      </c>
      <c r="X39" cm="1">
        <f t="array" ref="X39">_xlfn.STDEV.S(
    _xlfn._xlws.FILTER(
        'Individual data from NASA'!M:M,
        ('Individual data from NASA'!$C:$C=$F39) *
        ('Individual data from NASA'!$B:$B=$B39) *
        ('Individual data from NASA'!$K:$K=$L39)
    )
)</f>
        <v>400132411833882.88</v>
      </c>
      <c r="Y39" cm="1">
        <f t="array" ref="Y39">_xlfn.STDEV.S(
    _xlfn._xlws.FILTER(
        'Individual data from NASA'!N:N,
        ('Individual data from NASA'!$C:$C=$F39) *
        ('Individual data from NASA'!$B:$B=$B39) *
        ('Individual data from NASA'!$K:$K=$L39)
    )
)</f>
        <v>2818781651706991.5</v>
      </c>
      <c r="Z39" cm="1">
        <f t="array" ref="Z39">_xlfn.STDEV.S(
    _xlfn._xlws.FILTER(
        'Individual data from NASA'!O:O,
        ('Individual data from NASA'!$C:$C=$F39) *
        ('Individual data from NASA'!$B:$B=$B39) *
        ('Individual data from NASA'!$K:$K=$L39)
    )
)</f>
        <v>2485954545038988</v>
      </c>
      <c r="AA39">
        <f t="shared" si="17"/>
        <v>-0.96774193548387089</v>
      </c>
      <c r="AB39">
        <f t="shared" si="18"/>
        <v>-1</v>
      </c>
      <c r="AC39">
        <f t="shared" si="19"/>
        <v>-0.98083623693379796</v>
      </c>
      <c r="AD39">
        <f t="shared" si="20"/>
        <v>0.11029411764705882</v>
      </c>
      <c r="AE39">
        <f t="shared" si="22"/>
        <v>0.75</v>
      </c>
      <c r="AF39">
        <f t="shared" si="23"/>
        <v>0.22724409448818902</v>
      </c>
      <c r="AG39">
        <f t="shared" si="24"/>
        <v>-0.91914229422904037</v>
      </c>
      <c r="AH39">
        <f t="shared" si="25"/>
        <v>-0.84541160954570571</v>
      </c>
      <c r="AI39">
        <f t="shared" si="26"/>
        <v>-0.85328739188524017</v>
      </c>
      <c r="AJ39">
        <f t="shared" si="26"/>
        <v>-0.8244623762769806</v>
      </c>
      <c r="AK39">
        <f t="shared" si="26"/>
        <v>-0.3198789101917256</v>
      </c>
      <c r="AL39">
        <f t="shared" si="26"/>
        <v>35.222222222222221</v>
      </c>
      <c r="AM39">
        <f t="shared" si="26"/>
        <v>-0.86426233416805798</v>
      </c>
      <c r="AN39">
        <f t="shared" si="26"/>
        <v>1.1136027406584708</v>
      </c>
      <c r="AO39">
        <f t="shared" si="26"/>
        <v>-6.0692411143131564E-2</v>
      </c>
      <c r="AP39">
        <f t="shared" si="26"/>
        <v>-0.26088520543114102</v>
      </c>
    </row>
    <row r="40" spans="1:42" x14ac:dyDescent="0.2">
      <c r="A40" t="s">
        <v>32</v>
      </c>
      <c r="B40" t="s">
        <v>2</v>
      </c>
      <c r="C40" t="s">
        <v>110</v>
      </c>
      <c r="D40" t="s">
        <v>112</v>
      </c>
      <c r="E40">
        <v>30</v>
      </c>
      <c r="F40" t="s">
        <v>11</v>
      </c>
      <c r="G40">
        <v>0.6</v>
      </c>
      <c r="H40">
        <v>0</v>
      </c>
      <c r="I40">
        <v>22</v>
      </c>
      <c r="J40">
        <v>15.1</v>
      </c>
      <c r="K40" s="2">
        <f>AVERAGEIFS('Individual data from NASA'!J:J, 'Individual data from NASA'!$C:$C, $F40, 'Individual data from NASA'!$B:$B, $B40, 'Individual data from NASA'!$K:$K, $L40) + 273.15</f>
        <v>284.31666666666666</v>
      </c>
      <c r="L40">
        <v>30</v>
      </c>
      <c r="M40">
        <f>0.342*60*60</f>
        <v>1231.2000000000003</v>
      </c>
      <c r="N40" s="3">
        <f>AVERAGEIFS('Individual data from NASA'!M:M, 'Individual data from NASA'!$C:$C, $F40, 'Individual data from NASA'!$B:$B, $B40, 'Individual data from NASA'!$K:$K, $L40)</f>
        <v>38666666666666.664</v>
      </c>
      <c r="O40" s="3">
        <f>AVERAGEIFS('Individual data from NASA'!N:N, 'Individual data from NASA'!$C:$C, $F40, 'Individual data from NASA'!$B:$B, $B40, 'Individual data from NASA'!$K:$K, $L40)</f>
        <v>1202333333333333.2</v>
      </c>
      <c r="P40" s="3">
        <f>AVERAGEIFS('Individual data from NASA'!O:O, 'Individual data from NASA'!$C:$C, $F40, 'Individual data from NASA'!$B:$B, $B40, 'Individual data from NASA'!$K:$K, $L40)</f>
        <v>1250000000000000</v>
      </c>
      <c r="Q40" s="3">
        <f>AVERAGEIFS('Individual data from NASA'!P:P, 'Individual data from NASA'!$C:$C, $F40, 'Individual data from NASA'!$B:$B, $B40, 'Individual data from NASA'!$K:$K, $L40)</f>
        <v>2.0463333333333331</v>
      </c>
      <c r="R40" s="3">
        <f>AVERAGEIFS('Individual data from NASA'!Q:Q, 'Individual data from NASA'!$C:$C, $F40, 'Individual data from NASA'!$B:$B, $B40, 'Individual data from NASA'!$K:$K, $L40)</f>
        <v>0.73099999999999998</v>
      </c>
      <c r="S40" s="3">
        <f>AVERAGEIFS('Individual data from NASA'!R:R, 'Individual data from NASA'!$C:$C, $F40, 'Individual data from NASA'!$B:$B, $B40, 'Individual data from NASA'!$K:$K, $L40)</f>
        <v>0.26900000000000002</v>
      </c>
      <c r="T40" s="3">
        <f>AVERAGEIFS('Individual data from NASA'!S:S, 'Individual data from NASA'!$C:$C, $F40, 'Individual data from NASA'!$B:$B, $B40, 'Individual data from NASA'!$K:$K, $L40)</f>
        <v>0.36165238100000002</v>
      </c>
      <c r="U40" s="3">
        <f>AVERAGEIFS('Individual data from NASA'!T:T, 'Individual data from NASA'!$C:$C, $F40, 'Individual data from NASA'!$B:$B, $B40, 'Individual data from NASA'!$K:$K, $L40)</f>
        <v>0.13309441899999999</v>
      </c>
      <c r="V40" s="3">
        <f>AVERAGEIFS('Individual data from NASA'!W:W, 'Individual data from NASA'!$C:$C, $F40, 'Individual data from NASA'!$B:$B, $B40, 'Individual data from NASA'!$K:$K, $L40)</f>
        <v>15.696366666666664</v>
      </c>
      <c r="W40" s="3">
        <f>AVERAGEIFS('Individual data from NASA'!U:U, 'Individual data from NASA'!$C:$C, $F40, 'Individual data from NASA'!$B:$B, $B40, 'Individual data from NASA'!$K:$K, $L40)</f>
        <v>13.674300000000001</v>
      </c>
      <c r="X40" cm="1">
        <f t="array" ref="X40">_xlfn.STDEV.S(
    _xlfn._xlws.FILTER(
        'Individual data from NASA'!M:M,
        ('Individual data from NASA'!$C:$C=$F40) *
        ('Individual data from NASA'!$B:$B=$B40) *
        ('Individual data from NASA'!$K:$K=$L40)
    )
)</f>
        <v>23713568549109.891</v>
      </c>
      <c r="Y40" cm="1">
        <f t="array" ref="Y40">_xlfn.STDEV.S(
    _xlfn._xlws.FILTER(
        'Individual data from NASA'!N:N,
        ('Individual data from NASA'!$C:$C=$F40) *
        ('Individual data from NASA'!$B:$B=$B40) *
        ('Individual data from NASA'!$K:$K=$L40)
    )
)</f>
        <v>350080466940578.25</v>
      </c>
      <c r="Z40" cm="1">
        <f t="array" ref="Z40">_xlfn.STDEV.S(
    _xlfn._xlws.FILTER(
        'Individual data from NASA'!O:O,
        ('Individual data from NASA'!$C:$C=$F40) *
        ('Individual data from NASA'!$B:$B=$B40) *
        ('Individual data from NASA'!$K:$K=$L40)
    )
)</f>
        <v>377491721763537.31</v>
      </c>
      <c r="AA40">
        <f t="shared" si="17"/>
        <v>-0.96774193548387089</v>
      </c>
      <c r="AB40">
        <f t="shared" si="18"/>
        <v>-1</v>
      </c>
      <c r="AC40">
        <f t="shared" si="19"/>
        <v>-0.98083623693379796</v>
      </c>
      <c r="AD40">
        <f t="shared" si="20"/>
        <v>0.11029411764705882</v>
      </c>
      <c r="AE40">
        <f t="shared" si="22"/>
        <v>6.5</v>
      </c>
      <c r="AF40">
        <f t="shared" si="23"/>
        <v>1.6929133858267722</v>
      </c>
      <c r="AG40">
        <f t="shared" si="24"/>
        <v>-0.98853586844940933</v>
      </c>
      <c r="AH40">
        <f t="shared" si="25"/>
        <v>-0.9667857800590518</v>
      </c>
      <c r="AI40">
        <f t="shared" si="26"/>
        <v>-0.96874731422231597</v>
      </c>
      <c r="AJ40">
        <f t="shared" si="26"/>
        <v>-0.93492599806548216</v>
      </c>
      <c r="AK40">
        <f t="shared" si="26"/>
        <v>-0.26236125126135218</v>
      </c>
      <c r="AL40">
        <f t="shared" si="26"/>
        <v>28.888888888888886</v>
      </c>
      <c r="AM40">
        <f t="shared" si="26"/>
        <v>-0.9981524176158828</v>
      </c>
      <c r="AN40">
        <f t="shared" si="26"/>
        <v>-0.90187956836692751</v>
      </c>
      <c r="AO40">
        <f t="shared" si="26"/>
        <v>0.20625296189561323</v>
      </c>
      <c r="AP40">
        <f t="shared" si="26"/>
        <v>-0.22839428672191853</v>
      </c>
    </row>
    <row r="41" spans="1:42" x14ac:dyDescent="0.2">
      <c r="A41" t="s">
        <v>32</v>
      </c>
      <c r="B41" t="s">
        <v>2</v>
      </c>
      <c r="C41" t="s">
        <v>110</v>
      </c>
      <c r="D41" t="s">
        <v>112</v>
      </c>
      <c r="E41">
        <v>30</v>
      </c>
      <c r="F41" t="s">
        <v>11</v>
      </c>
      <c r="G41">
        <v>0.6</v>
      </c>
      <c r="H41">
        <v>0</v>
      </c>
      <c r="I41">
        <v>22</v>
      </c>
      <c r="J41">
        <v>15.1</v>
      </c>
      <c r="K41" s="2">
        <f>AVERAGEIFS('Individual data from NASA'!J:J, 'Individual data from NASA'!$C:$C, $F41, 'Individual data from NASA'!$B:$B, $B41, 'Individual data from NASA'!$K:$K, $L41) + 273.15</f>
        <v>284.21666666666664</v>
      </c>
      <c r="L41">
        <v>65</v>
      </c>
      <c r="M41">
        <f>0.602*60*60</f>
        <v>2167.1999999999998</v>
      </c>
      <c r="N41" s="3">
        <f>AVERAGEIFS('Individual data from NASA'!M:M, 'Individual data from NASA'!$C:$C, $F41, 'Individual data from NASA'!$B:$B, $B41, 'Individual data from NASA'!$K:$K, $L41)</f>
        <v>113333333333333.33</v>
      </c>
      <c r="O41" s="3">
        <f>AVERAGEIFS('Individual data from NASA'!N:N, 'Individual data from NASA'!$C:$C, $F41, 'Individual data from NASA'!$B:$B, $B41, 'Individual data from NASA'!$K:$K, $L41)</f>
        <v>264000000000000</v>
      </c>
      <c r="P41" s="3">
        <f>AVERAGEIFS('Individual data from NASA'!O:O, 'Individual data from NASA'!$C:$C, $F41, 'Individual data from NASA'!$B:$B, $B41, 'Individual data from NASA'!$K:$K, $L41)</f>
        <v>376666666666666.69</v>
      </c>
      <c r="Q41" s="3">
        <f>AVERAGEIFS('Individual data from NASA'!P:P, 'Individual data from NASA'!$C:$C, $F41, 'Individual data from NASA'!$B:$B, $B41, 'Individual data from NASA'!$K:$K, $L41)</f>
        <v>4.5666666666666664</v>
      </c>
      <c r="R41" s="3">
        <f>AVERAGEIFS('Individual data from NASA'!Q:Q, 'Individual data from NASA'!$C:$C, $F41, 'Individual data from NASA'!$B:$B, $B41, 'Individual data from NASA'!$K:$K, $L41)</f>
        <v>0.56199999999999994</v>
      </c>
      <c r="S41" s="3">
        <f>AVERAGEIFS('Individual data from NASA'!R:R, 'Individual data from NASA'!$C:$C, $F41, 'Individual data from NASA'!$B:$B, $B41, 'Individual data from NASA'!$K:$K, $L41)</f>
        <v>0.438</v>
      </c>
      <c r="T41" s="3">
        <f>AVERAGEIFS('Individual data from NASA'!S:S, 'Individual data from NASA'!$C:$C, $F41, 'Individual data from NASA'!$B:$B, $B41, 'Individual data from NASA'!$K:$K, $L41)</f>
        <v>2.4067147886666667</v>
      </c>
      <c r="U41" s="3">
        <f>AVERAGEIFS('Individual data from NASA'!T:T, 'Individual data from NASA'!$C:$C, $F41, 'Individual data from NASA'!$B:$B, $B41, 'Individual data from NASA'!$K:$K, $L41)</f>
        <v>2.4106172113333333</v>
      </c>
      <c r="V41" s="3">
        <f>AVERAGEIFS('Individual data from NASA'!W:W, 'Individual data from NASA'!$C:$C, $F41, 'Individual data from NASA'!$B:$B, $B41, 'Individual data from NASA'!$K:$K, $L41)</f>
        <v>22.580166666666667</v>
      </c>
      <c r="W41" s="3">
        <f>AVERAGEIFS('Individual data from NASA'!U:U, 'Individual data from NASA'!$C:$C, $F41, 'Individual data from NASA'!$B:$B, $B41, 'Individual data from NASA'!$K:$K, $L41)</f>
        <v>17.949299999999997</v>
      </c>
      <c r="X41" cm="1">
        <f t="array" ref="X41">_xlfn.STDEV.S(
    _xlfn._xlws.FILTER(
        'Individual data from NASA'!M:M,
        ('Individual data from NASA'!$C:$C=$F41) *
        ('Individual data from NASA'!$B:$B=$B41) *
        ('Individual data from NASA'!$K:$K=$L41)
    )
)</f>
        <v>5773502691896.2578</v>
      </c>
      <c r="Y41" cm="1">
        <f t="array" ref="Y41">_xlfn.STDEV.S(
    _xlfn._xlws.FILTER(
        'Individual data from NASA'!N:N,
        ('Individual data from NASA'!$C:$C=$F41) *
        ('Individual data from NASA'!$B:$B=$B41) *
        ('Individual data from NASA'!$K:$K=$L41)
    )
)</f>
        <v>240923224285248.22</v>
      </c>
      <c r="Z41" cm="1">
        <f t="array" ref="Z41">_xlfn.STDEV.S(
    _xlfn._xlws.FILTER(
        'Individual data from NASA'!O:O,
        ('Individual data from NASA'!$C:$C=$F41) *
        ('Individual data from NASA'!$B:$B=$B41) *
        ('Individual data from NASA'!$K:$K=$L41)
    )
)</f>
        <v>236924741918891.44</v>
      </c>
      <c r="AA41">
        <f t="shared" si="17"/>
        <v>-0.96774193548387089</v>
      </c>
      <c r="AB41">
        <f t="shared" si="18"/>
        <v>-1</v>
      </c>
      <c r="AC41">
        <f t="shared" si="19"/>
        <v>-0.98083623693379796</v>
      </c>
      <c r="AD41">
        <f t="shared" si="20"/>
        <v>0.11029411764705882</v>
      </c>
      <c r="AE41">
        <f t="shared" si="22"/>
        <v>15.25</v>
      </c>
      <c r="AF41">
        <f t="shared" si="23"/>
        <v>3.7401574803149602</v>
      </c>
      <c r="AG41">
        <f t="shared" si="24"/>
        <v>-0.9663982351103374</v>
      </c>
      <c r="AH41">
        <f t="shared" si="25"/>
        <v>-0.99270705234454371</v>
      </c>
      <c r="AI41">
        <f t="shared" si="26"/>
        <v>-0.99058252401899127</v>
      </c>
      <c r="AJ41">
        <f t="shared" si="26"/>
        <v>-0.85477865670257447</v>
      </c>
      <c r="AK41">
        <f t="shared" si="26"/>
        <v>-0.43289606458123114</v>
      </c>
      <c r="AL41">
        <f t="shared" si="26"/>
        <v>47.666666666666657</v>
      </c>
      <c r="AM41">
        <f t="shared" si="26"/>
        <v>-0.98770475716255546</v>
      </c>
      <c r="AN41">
        <f t="shared" si="26"/>
        <v>0.77716543680272665</v>
      </c>
      <c r="AO41">
        <f t="shared" si="26"/>
        <v>0.73526737111751561</v>
      </c>
      <c r="AP41">
        <f t="shared" si="26"/>
        <v>1.2833010051137177E-2</v>
      </c>
    </row>
    <row r="42" spans="1:42" x14ac:dyDescent="0.2">
      <c r="A42" t="s">
        <v>32</v>
      </c>
      <c r="B42" t="s">
        <v>2</v>
      </c>
      <c r="C42" t="s">
        <v>110</v>
      </c>
      <c r="D42" t="s">
        <v>112</v>
      </c>
      <c r="E42">
        <v>30</v>
      </c>
      <c r="F42" t="s">
        <v>11</v>
      </c>
      <c r="G42">
        <v>0.6</v>
      </c>
      <c r="H42">
        <v>0</v>
      </c>
      <c r="I42">
        <v>22</v>
      </c>
      <c r="J42">
        <v>15.1</v>
      </c>
      <c r="K42" s="2">
        <f>AVERAGEIFS('Individual data from NASA'!J:J, 'Individual data from NASA'!$C:$C, $F42, 'Individual data from NASA'!$B:$B, $B42, 'Individual data from NASA'!$K:$K, $L42) + 273.15</f>
        <v>284.34999999999997</v>
      </c>
      <c r="L42">
        <v>85</v>
      </c>
      <c r="M42">
        <f>0.845*60*60</f>
        <v>3041.9999999999995</v>
      </c>
      <c r="N42" s="3">
        <f>AVERAGEIFS('Individual data from NASA'!M:M, 'Individual data from NASA'!$C:$C, $F42, 'Individual data from NASA'!$B:$B, $B42, 'Individual data from NASA'!$K:$K, $L42)</f>
        <v>336666666666666.69</v>
      </c>
      <c r="O42" s="3">
        <f>AVERAGEIFS('Individual data from NASA'!N:N, 'Individual data from NASA'!$C:$C, $F42, 'Individual data from NASA'!$B:$B, $B42, 'Individual data from NASA'!$K:$K, $L42)</f>
        <v>409666666666666.69</v>
      </c>
      <c r="P42" s="3">
        <f>AVERAGEIFS('Individual data from NASA'!O:O, 'Individual data from NASA'!$C:$C, $F42, 'Individual data from NASA'!$B:$B, $B42, 'Individual data from NASA'!$K:$K, $L42)</f>
        <v>746666666666666.62</v>
      </c>
      <c r="Q42" s="3">
        <f>AVERAGEIFS('Individual data from NASA'!P:P, 'Individual data from NASA'!$C:$C, $F42, 'Individual data from NASA'!$B:$B, $B42, 'Individual data from NASA'!$K:$K, $L42)</f>
        <v>25</v>
      </c>
      <c r="R42" s="3">
        <f>AVERAGEIFS('Individual data from NASA'!Q:Q, 'Individual data from NASA'!$C:$C, $F42, 'Individual data from NASA'!$B:$B, $B42, 'Individual data from NASA'!$K:$K, $L42)</f>
        <v>0.80338307400000009</v>
      </c>
      <c r="S42" s="3">
        <f>AVERAGEIFS('Individual data from NASA'!R:R, 'Individual data from NASA'!$C:$C, $F42, 'Individual data from NASA'!$B:$B, $B42, 'Individual data from NASA'!$K:$K, $L42)</f>
        <v>0.196616926</v>
      </c>
      <c r="T42" s="3">
        <f>AVERAGEIFS('Individual data from NASA'!S:S, 'Individual data from NASA'!$C:$C, $F42, 'Individual data from NASA'!$B:$B, $B42, 'Individual data from NASA'!$K:$K, $L42)</f>
        <v>15.199294649500001</v>
      </c>
      <c r="U42" s="3">
        <f>AVERAGEIFS('Individual data from NASA'!T:T, 'Individual data from NASA'!$C:$C, $F42, 'Individual data from NASA'!$B:$B, $B42, 'Individual data from NASA'!$K:$K, $L42)</f>
        <v>2.9804053490000002</v>
      </c>
      <c r="V42" s="3">
        <f>AVERAGEIFS('Individual data from NASA'!W:W, 'Individual data from NASA'!$C:$C, $F42, 'Individual data from NASA'!$B:$B, $B42, 'Individual data from NASA'!$K:$K, $L42)</f>
        <v>27.744399999999999</v>
      </c>
      <c r="W42" s="3">
        <f>AVERAGEIFS('Individual data from NASA'!U:U, 'Individual data from NASA'!$C:$C, $F42, 'Individual data from NASA'!$B:$B, $B42, 'Individual data from NASA'!$K:$K, $L42)</f>
        <v>20.623466666666666</v>
      </c>
      <c r="X42" cm="1">
        <f t="array" ref="X42">_xlfn.STDEV.S(
    _xlfn._xlws.FILTER(
        'Individual data from NASA'!M:M,
        ('Individual data from NASA'!$C:$C=$F42) *
        ('Individual data from NASA'!$B:$B=$B42) *
        ('Individual data from NASA'!$K:$K=$L42)
    )
)</f>
        <v>11547005383792.516</v>
      </c>
      <c r="Y42" cm="1">
        <f t="array" ref="Y42">_xlfn.STDEV.S(
    _xlfn._xlws.FILTER(
        'Individual data from NASA'!N:N,
        ('Individual data from NASA'!$C:$C=$F42) *
        ('Individual data from NASA'!$B:$B=$B42) *
        ('Individual data from NASA'!$K:$K=$L42)
    )
)</f>
        <v>21825062046494.469</v>
      </c>
      <c r="Z42" cm="1">
        <f t="array" ref="Z42">_xlfn.STDEV.S(
    _xlfn._xlws.FILTER(
        'Individual data from NASA'!O:O,
        ('Individual data from NASA'!$C:$C=$F42) *
        ('Individual data from NASA'!$B:$B=$B42) *
        ('Individual data from NASA'!$K:$K=$L42)
    )
)</f>
        <v>25166114784235.832</v>
      </c>
      <c r="AA42">
        <f t="shared" si="17"/>
        <v>-0.96774193548387089</v>
      </c>
      <c r="AB42">
        <f t="shared" si="18"/>
        <v>-1</v>
      </c>
      <c r="AC42">
        <f t="shared" si="19"/>
        <v>-0.98083623693379796</v>
      </c>
      <c r="AD42">
        <f t="shared" si="20"/>
        <v>0.11029411764705882</v>
      </c>
      <c r="AE42">
        <f t="shared" si="22"/>
        <v>20.25</v>
      </c>
      <c r="AF42">
        <f t="shared" si="23"/>
        <v>5.6535433070866139</v>
      </c>
      <c r="AG42">
        <f t="shared" si="24"/>
        <v>-0.90018299253364964</v>
      </c>
      <c r="AH42">
        <f t="shared" si="25"/>
        <v>-0.98868303955990422</v>
      </c>
      <c r="AI42">
        <f t="shared" si="26"/>
        <v>-0.98133172902879684</v>
      </c>
      <c r="AJ42">
        <f t="shared" si="26"/>
        <v>-0.20499264618197724</v>
      </c>
      <c r="AK42">
        <f t="shared" si="26"/>
        <v>-0.18932081331987882</v>
      </c>
      <c r="AL42">
        <f t="shared" si="26"/>
        <v>20.846325111111106</v>
      </c>
      <c r="AM42">
        <f t="shared" si="26"/>
        <v>-0.92235099083884153</v>
      </c>
      <c r="AN42">
        <f t="shared" si="26"/>
        <v>1.1972270624315058</v>
      </c>
      <c r="AO42">
        <f t="shared" si="26"/>
        <v>1.1321344860710858</v>
      </c>
      <c r="AP42">
        <f t="shared" si="26"/>
        <v>0.16372938341268431</v>
      </c>
    </row>
    <row r="43" spans="1:42" x14ac:dyDescent="0.2">
      <c r="A43" t="s">
        <v>32</v>
      </c>
      <c r="B43" t="s">
        <v>2</v>
      </c>
      <c r="C43" t="s">
        <v>110</v>
      </c>
      <c r="D43" t="s">
        <v>112</v>
      </c>
      <c r="E43">
        <v>30</v>
      </c>
      <c r="F43" t="s">
        <v>11</v>
      </c>
      <c r="G43">
        <v>0.6</v>
      </c>
      <c r="H43">
        <v>0</v>
      </c>
      <c r="I43">
        <v>22</v>
      </c>
      <c r="J43">
        <v>15.1</v>
      </c>
      <c r="K43" s="2">
        <f>AVERAGEIFS('Individual data from NASA'!J:J, 'Individual data from NASA'!$C:$C, $F43, 'Individual data from NASA'!$B:$B, $B43, 'Individual data from NASA'!$K:$K, $L43) + 273.15</f>
        <v>290.95</v>
      </c>
      <c r="L43">
        <v>100</v>
      </c>
      <c r="M43">
        <f>0.894*60*60</f>
        <v>3218.4</v>
      </c>
      <c r="N43" s="3">
        <f>AVERAGEIFS('Individual data from NASA'!M:M, 'Individual data from NASA'!$C:$C, $F43, 'Individual data from NASA'!$B:$B, $B43, 'Individual data from NASA'!$K:$K, $L43)</f>
        <v>584000000000000</v>
      </c>
      <c r="O43" s="3">
        <f>AVERAGEIFS('Individual data from NASA'!N:N, 'Individual data from NASA'!$C:$C, $F43, 'Individual data from NASA'!$B:$B, $B43, 'Individual data from NASA'!$K:$K, $L43)</f>
        <v>738000000000000</v>
      </c>
      <c r="P43" s="3">
        <f>AVERAGEIFS('Individual data from NASA'!O:O, 'Individual data from NASA'!$C:$C, $F43, 'Individual data from NASA'!$B:$B, $B43, 'Individual data from NASA'!$K:$K, $L43)</f>
        <v>1320000000000000</v>
      </c>
      <c r="Q43" s="3">
        <f>AVERAGEIFS('Individual data from NASA'!P:P, 'Individual data from NASA'!$C:$C, $F43, 'Individual data from NASA'!$B:$B, $B43, 'Individual data from NASA'!$K:$K, $L43)</f>
        <v>81</v>
      </c>
      <c r="R43" s="3">
        <f>AVERAGEIFS('Individual data from NASA'!Q:Q, 'Individual data from NASA'!$C:$C, $F43, 'Individual data from NASA'!$B:$B, $B43, 'Individual data from NASA'!$K:$K, $L43)</f>
        <v>0.86799999999999999</v>
      </c>
      <c r="S43" s="3">
        <f>AVERAGEIFS('Individual data from NASA'!R:R, 'Individual data from NASA'!$C:$C, $F43, 'Individual data from NASA'!$B:$B, $B43, 'Individual data from NASA'!$K:$K, $L43)</f>
        <v>0.13200000000000001</v>
      </c>
      <c r="T43" s="3">
        <f>AVERAGEIFS('Individual data from NASA'!S:S, 'Individual data from NASA'!$C:$C, $F43, 'Individual data from NASA'!$B:$B, $B43, 'Individual data from NASA'!$K:$K, $L43)</f>
        <v>29.108799189999999</v>
      </c>
      <c r="U43" s="3">
        <f>AVERAGEIFS('Individual data from NASA'!T:T, 'Individual data from NASA'!$C:$C, $F43, 'Individual data from NASA'!$B:$B, $B43, 'Individual data from NASA'!$K:$K, $L43)</f>
        <v>4.4150008129999998</v>
      </c>
      <c r="V43" s="3">
        <f>AVERAGEIFS('Individual data from NASA'!W:W, 'Individual data from NASA'!$C:$C, $F43, 'Individual data from NASA'!$B:$B, $B43, 'Individual data from NASA'!$K:$K, $L43)</f>
        <v>32.041400000000003</v>
      </c>
      <c r="W43" s="3">
        <f>AVERAGEIFS('Individual data from NASA'!U:U, 'Individual data from NASA'!$C:$C, $F43, 'Individual data from NASA'!$B:$B, $B43, 'Individual data from NASA'!$K:$K, $L43)</f>
        <v>30.300599999999999</v>
      </c>
      <c r="X43" t="e" cm="1">
        <f t="array" ref="X43">_xlfn.STDEV.S(
    _xlfn._xlws.FILTER(
        'Individual data from NASA'!M:M,
        ('Individual data from NASA'!$C:$C=$F43) *
        ('Individual data from NASA'!$B:$B=$B43) *
        ('Individual data from NASA'!$K:$K=$L43)
    )
)</f>
        <v>#DIV/0!</v>
      </c>
      <c r="Y43" t="e" cm="1">
        <f t="array" ref="Y43">_xlfn.STDEV.S(
    _xlfn._xlws.FILTER(
        'Individual data from NASA'!N:N,
        ('Individual data from NASA'!$C:$C=$F43) *
        ('Individual data from NASA'!$B:$B=$B43) *
        ('Individual data from NASA'!$K:$K=$L43)
    )
)</f>
        <v>#DIV/0!</v>
      </c>
      <c r="Z43" t="e" cm="1">
        <f t="array" ref="Z43">_xlfn.STDEV.S(
    _xlfn._xlws.FILTER(
        'Individual data from NASA'!O:O,
        ('Individual data from NASA'!$C:$C=$F43) *
        ('Individual data from NASA'!$B:$B=$B43) *
        ('Individual data from NASA'!$K:$K=$L43)
    )
)</f>
        <v>#DIV/0!</v>
      </c>
      <c r="AA43">
        <f t="shared" si="17"/>
        <v>-0.96774193548387089</v>
      </c>
      <c r="AB43">
        <f t="shared" si="18"/>
        <v>-1</v>
      </c>
      <c r="AC43">
        <f t="shared" si="19"/>
        <v>-0.98083623693379796</v>
      </c>
      <c r="AD43">
        <f t="shared" si="20"/>
        <v>0.11029411764705882</v>
      </c>
      <c r="AE43">
        <f t="shared" si="22"/>
        <v>24</v>
      </c>
      <c r="AF43">
        <f t="shared" si="23"/>
        <v>6.0393700787401583</v>
      </c>
      <c r="AG43">
        <f t="shared" si="24"/>
        <v>-0.82685208209797434</v>
      </c>
      <c r="AH43">
        <f t="shared" si="25"/>
        <v>-0.97961289632679249</v>
      </c>
      <c r="AI43">
        <f t="shared" si="26"/>
        <v>-0.96699716381876566</v>
      </c>
      <c r="AJ43">
        <f t="shared" si="26"/>
        <v>1.5758238263703936</v>
      </c>
      <c r="AK43">
        <f t="shared" si="26"/>
        <v>-0.12411705348133199</v>
      </c>
      <c r="AL43">
        <f t="shared" si="26"/>
        <v>13.666666666666664</v>
      </c>
      <c r="AM43">
        <f t="shared" si="26"/>
        <v>-0.85129116402457605</v>
      </c>
      <c r="AN43">
        <f t="shared" si="26"/>
        <v>2.2548456102575258</v>
      </c>
      <c r="AO43">
        <f t="shared" si="26"/>
        <v>1.4623554274735839</v>
      </c>
      <c r="AP43">
        <f t="shared" si="26"/>
        <v>0.70978522306471514</v>
      </c>
    </row>
    <row r="44" spans="1:42" x14ac:dyDescent="0.2">
      <c r="A44" t="s">
        <v>32</v>
      </c>
      <c r="B44" t="s">
        <v>2</v>
      </c>
      <c r="C44" t="s">
        <v>110</v>
      </c>
      <c r="D44" t="s">
        <v>112</v>
      </c>
      <c r="E44">
        <v>30</v>
      </c>
      <c r="F44" t="s">
        <v>13</v>
      </c>
      <c r="G44">
        <v>9.1</v>
      </c>
      <c r="H44">
        <v>0.8</v>
      </c>
      <c r="I44">
        <v>658</v>
      </c>
      <c r="J44">
        <v>14.3</v>
      </c>
      <c r="K44" s="2">
        <f>AVERAGEIFS('Individual data from NASA'!J:J, 'Individual data from NASA'!$C:$C, $F44, 'Individual data from NASA'!$B:$B, $B44, 'Individual data from NASA'!$K:$K, $L44) + 273.15</f>
        <v>284.84999999999997</v>
      </c>
      <c r="L44">
        <v>4</v>
      </c>
      <c r="M44">
        <f>0.127*60*60</f>
        <v>457.2</v>
      </c>
      <c r="N44" s="3">
        <f>AVERAGEIFS('Individual data from NASA'!M:M, 'Individual data from NASA'!$C:$C, $F44, 'Individual data from NASA'!$B:$B, $B44, 'Individual data from NASA'!$K:$K, $L44)</f>
        <v>963500000000000</v>
      </c>
      <c r="O44" s="3">
        <f>AVERAGEIFS('Individual data from NASA'!N:N, 'Individual data from NASA'!$C:$C, $F44, 'Individual data from NASA'!$B:$B, $B44, 'Individual data from NASA'!$K:$K, $L44)</f>
        <v>3.05E+16</v>
      </c>
      <c r="P44" s="3">
        <f>AVERAGEIFS('Individual data from NASA'!O:O, 'Individual data from NASA'!$C:$C, $F44, 'Individual data from NASA'!$B:$B, $B44, 'Individual data from NASA'!$K:$K, $L44)</f>
        <v>3.145E+16</v>
      </c>
      <c r="Q44" s="3">
        <f>AVERAGEIFS('Individual data from NASA'!P:P, 'Individual data from NASA'!$C:$C, $F44, 'Individual data from NASA'!$B:$B, $B44, 'Individual data from NASA'!$K:$K, $L44)</f>
        <v>7.3949999999999996</v>
      </c>
      <c r="R44" s="3">
        <f>AVERAGEIFS('Individual data from NASA'!Q:Q, 'Individual data from NASA'!$C:$C, $F44, 'Individual data from NASA'!$B:$B, $B44, 'Individual data from NASA'!$K:$K, $L44)</f>
        <v>0.85699999999999998</v>
      </c>
      <c r="S44" s="3">
        <f>AVERAGEIFS('Individual data from NASA'!R:R, 'Individual data from NASA'!$C:$C, $F44, 'Individual data from NASA'!$B:$B, $B44, 'Individual data from NASA'!$K:$K, $L44)</f>
        <v>0.14299999999999999</v>
      </c>
      <c r="T44" s="3">
        <f>AVERAGEIFS('Individual data from NASA'!S:S, 'Individual data from NASA'!$C:$C, $F44, 'Individual data from NASA'!$B:$B, $B44, 'Individual data from NASA'!$K:$K, $L44)</f>
        <v>94.272174919999998</v>
      </c>
      <c r="U44" s="3">
        <f>AVERAGEIFS('Individual data from NASA'!T:T, 'Individual data from NASA'!$C:$C, $F44, 'Individual data from NASA'!$B:$B, $B44, 'Individual data from NASA'!$K:$K, $L44)</f>
        <v>15.77054908</v>
      </c>
      <c r="V44" s="3">
        <f>AVERAGEIFS('Individual data from NASA'!W:W, 'Individual data from NASA'!$C:$C, $F44, 'Individual data from NASA'!$B:$B, $B44, 'Individual data from NASA'!$K:$K, $L44)</f>
        <v>11.8</v>
      </c>
      <c r="W44" s="3">
        <f>AVERAGEIFS('Individual data from NASA'!U:U, 'Individual data from NASA'!$C:$C, $F44, 'Individual data from NASA'!$B:$B, $B44, 'Individual data from NASA'!$K:$K, $L44)</f>
        <v>14</v>
      </c>
      <c r="X44" cm="1">
        <f t="array" ref="X44">_xlfn.STDEV.S(
    _xlfn._xlws.FILTER(
        'Individual data from NASA'!M:M,
        ('Individual data from NASA'!$C:$C=$F44) *
        ('Individual data from NASA'!$B:$B=$B44) *
        ('Individual data from NASA'!$K:$K=$L44)
    )
)</f>
        <v>50204581464244.875</v>
      </c>
      <c r="Y44" cm="1">
        <f t="array" ref="Y44">_xlfn.STDEV.S(
    _xlfn._xlws.FILTER(
        'Individual data from NASA'!N:N,
        ('Individual data from NASA'!$C:$C=$F44) *
        ('Individual data from NASA'!$B:$B=$B44) *
        ('Individual data from NASA'!$K:$K=$L44)
    )
)</f>
        <v>3111269837220809</v>
      </c>
      <c r="Z44" cm="1">
        <f t="array" ref="Z44">_xlfn.STDEV.S(
    _xlfn._xlws.FILTER(
        'Individual data from NASA'!O:O,
        ('Individual data from NASA'!$C:$C=$F44) *
        ('Individual data from NASA'!$B:$B=$B44) *
        ('Individual data from NASA'!$K:$K=$L44)
    )
)</f>
        <v>3181980515339464</v>
      </c>
      <c r="AA44">
        <f t="shared" si="17"/>
        <v>-0.51075268817204311</v>
      </c>
      <c r="AB44">
        <f t="shared" si="18"/>
        <v>-0.5</v>
      </c>
      <c r="AC44">
        <f t="shared" si="19"/>
        <v>-0.42682926829268292</v>
      </c>
      <c r="AD44">
        <f t="shared" si="20"/>
        <v>5.1470588235294198E-2</v>
      </c>
      <c r="AE44">
        <f t="shared" si="22"/>
        <v>0</v>
      </c>
      <c r="AF44">
        <f t="shared" si="23"/>
        <v>0</v>
      </c>
      <c r="AG44">
        <f t="shared" si="24"/>
        <v>-0.71433558407773678</v>
      </c>
      <c r="AH44">
        <f t="shared" si="25"/>
        <v>-0.15744354738099064</v>
      </c>
      <c r="AI44">
        <f t="shared" si="26"/>
        <v>-0.21368242583347005</v>
      </c>
      <c r="AJ44">
        <f t="shared" si="26"/>
        <v>-0.76483682474062886</v>
      </c>
      <c r="AK44">
        <f t="shared" si="26"/>
        <v>-0.13521695257315844</v>
      </c>
      <c r="AL44">
        <f t="shared" si="26"/>
        <v>14.888888888888886</v>
      </c>
      <c r="AM44">
        <f t="shared" si="26"/>
        <v>-0.51838942906168206</v>
      </c>
      <c r="AN44">
        <f t="shared" si="26"/>
        <v>10.626431028788319</v>
      </c>
      <c r="AO44">
        <f t="shared" si="26"/>
        <v>-9.3179634966378252E-2</v>
      </c>
      <c r="AP44">
        <f t="shared" si="26"/>
        <v>-0.210015870216893</v>
      </c>
    </row>
    <row r="45" spans="1:42" x14ac:dyDescent="0.2">
      <c r="A45" t="s">
        <v>32</v>
      </c>
      <c r="B45" t="s">
        <v>2</v>
      </c>
      <c r="C45" t="s">
        <v>110</v>
      </c>
      <c r="D45" t="s">
        <v>112</v>
      </c>
      <c r="E45">
        <v>30</v>
      </c>
      <c r="F45" t="s">
        <v>13</v>
      </c>
      <c r="G45">
        <v>9.1</v>
      </c>
      <c r="H45">
        <v>0.8</v>
      </c>
      <c r="I45">
        <v>658</v>
      </c>
      <c r="J45">
        <v>14.3</v>
      </c>
      <c r="K45" s="2">
        <f>AVERAGEIFS('Individual data from NASA'!J:J, 'Individual data from NASA'!$C:$C, $F45, 'Individual data from NASA'!$B:$B, $B45, 'Individual data from NASA'!$K:$K, $L45) + 273.15</f>
        <v>284.38333333333333</v>
      </c>
      <c r="L45">
        <v>7</v>
      </c>
      <c r="M45">
        <f>0.15586*60*60</f>
        <v>561.096</v>
      </c>
      <c r="N45" s="3">
        <f>AVERAGEIFS('Individual data from NASA'!M:M, 'Individual data from NASA'!$C:$C, $F45, 'Individual data from NASA'!$B:$B, $B45, 'Individual data from NASA'!$K:$K, $L45)</f>
        <v>732666666666666.62</v>
      </c>
      <c r="O45" s="3">
        <f>AVERAGEIFS('Individual data from NASA'!N:N, 'Individual data from NASA'!$C:$C, $F45, 'Individual data from NASA'!$B:$B, $B45, 'Individual data from NASA'!$K:$K, $L45)</f>
        <v>2.9266666666666668E+16</v>
      </c>
      <c r="P45" s="3">
        <f>AVERAGEIFS('Individual data from NASA'!O:O, 'Individual data from NASA'!$C:$C, $F45, 'Individual data from NASA'!$B:$B, $B45, 'Individual data from NASA'!$K:$K, $L45)</f>
        <v>3.0033333333333332E+16</v>
      </c>
      <c r="Q45" s="3">
        <f>AVERAGEIFS('Individual data from NASA'!P:P, 'Individual data from NASA'!$C:$C, $F45, 'Individual data from NASA'!$B:$B, $B45, 'Individual data from NASA'!$K:$K, $L45)</f>
        <v>4.8266666666666671</v>
      </c>
      <c r="R45" s="3">
        <f>AVERAGEIFS('Individual data from NASA'!Q:Q, 'Individual data from NASA'!$C:$C, $F45, 'Individual data from NASA'!$B:$B, $B45, 'Individual data from NASA'!$K:$K, $L45)</f>
        <v>0.98899999999999999</v>
      </c>
      <c r="S45" s="3">
        <f>AVERAGEIFS('Individual data from NASA'!R:R, 'Individual data from NASA'!$C:$C, $F45, 'Individual data from NASA'!$B:$B, $B45, 'Individual data from NASA'!$K:$K, $L45)</f>
        <v>1.0999999999999999E-2</v>
      </c>
      <c r="T45" s="3">
        <f>AVERAGEIFS('Individual data from NASA'!S:S, 'Individual data from NASA'!$C:$C, $F45, 'Individual data from NASA'!$B:$B, $B45, 'Individual data from NASA'!$K:$K, $L45)</f>
        <v>84.486457439999995</v>
      </c>
      <c r="U45" s="3">
        <f>AVERAGEIFS('Individual data from NASA'!T:T, 'Individual data from NASA'!$C:$C, $F45, 'Individual data from NASA'!$B:$B, $B45, 'Individual data from NASA'!$K:$K, $L45)</f>
        <v>0.90343056300000002</v>
      </c>
      <c r="V45" s="3">
        <f>AVERAGEIFS('Individual data from NASA'!W:W, 'Individual data from NASA'!$C:$C, $F45, 'Individual data from NASA'!$B:$B, $B45, 'Individual data from NASA'!$K:$K, $L45)</f>
        <v>11.6911</v>
      </c>
      <c r="W45" s="3">
        <f>AVERAGEIFS('Individual data from NASA'!U:U, 'Individual data from NASA'!$C:$C, $F45, 'Individual data from NASA'!$B:$B, $B45, 'Individual data from NASA'!$K:$K, $L45)</f>
        <v>13.112266666666669</v>
      </c>
      <c r="X45" cm="1">
        <f t="array" ref="X45">_xlfn.STDEV.S(
    _xlfn._xlws.FILTER(
        'Individual data from NASA'!M:M,
        ('Individual data from NASA'!$C:$C=$F45) *
        ('Individual data from NASA'!$B:$B=$B45) *
        ('Individual data from NASA'!$K:$K=$L45)
    )
)</f>
        <v>5859465277082.3154</v>
      </c>
      <c r="Y45" cm="1">
        <f t="array" ref="Y45">_xlfn.STDEV.S(
    _xlfn._xlws.FILTER(
        'Individual data from NASA'!N:N,
        ('Individual data from NASA'!$C:$C=$F45) *
        ('Individual data from NASA'!$B:$B=$B45) *
        ('Individual data from NASA'!$K:$K=$L45)
    )
)</f>
        <v>611010092660778.75</v>
      </c>
      <c r="Z45" cm="1">
        <f t="array" ref="Z45">_xlfn.STDEV.S(
    _xlfn._xlws.FILTER(
        'Individual data from NASA'!O:O,
        ('Individual data from NASA'!$C:$C=$F45) *
        ('Individual data from NASA'!$B:$B=$B45) *
        ('Individual data from NASA'!$K:$K=$L45)
    )
)</f>
        <v>568624070307732.62</v>
      </c>
      <c r="AA45">
        <f t="shared" si="17"/>
        <v>-0.51075268817204311</v>
      </c>
      <c r="AB45">
        <f t="shared" si="18"/>
        <v>-0.5</v>
      </c>
      <c r="AC45">
        <f t="shared" si="19"/>
        <v>-0.42682926829268292</v>
      </c>
      <c r="AD45">
        <f t="shared" si="20"/>
        <v>5.1470588235294198E-2</v>
      </c>
      <c r="AE45">
        <f t="shared" si="22"/>
        <v>0.75</v>
      </c>
      <c r="AF45">
        <f t="shared" si="23"/>
        <v>0.22724409448818902</v>
      </c>
      <c r="AG45">
        <f t="shared" si="24"/>
        <v>-0.78277447286035828</v>
      </c>
      <c r="AH45">
        <f t="shared" si="25"/>
        <v>-0.19151413617542049</v>
      </c>
      <c r="AI45">
        <f t="shared" si="26"/>
        <v>-0.24910213638151199</v>
      </c>
      <c r="AJ45">
        <f t="shared" si="26"/>
        <v>-0.84651058022286707</v>
      </c>
      <c r="AK45">
        <f t="shared" si="26"/>
        <v>-2.0181634712411723E-3</v>
      </c>
      <c r="AL45">
        <f t="shared" si="26"/>
        <v>0.22222222222222202</v>
      </c>
      <c r="AM45">
        <f t="shared" si="26"/>
        <v>-0.56838196383223638</v>
      </c>
      <c r="AN45">
        <f t="shared" si="26"/>
        <v>-0.33396909158099508</v>
      </c>
      <c r="AO45">
        <f t="shared" si="26"/>
        <v>-0.10154851104706991</v>
      </c>
      <c r="AP45">
        <f t="shared" si="26"/>
        <v>-0.26010838770352074</v>
      </c>
    </row>
    <row r="46" spans="1:42" x14ac:dyDescent="0.2">
      <c r="A46" t="s">
        <v>32</v>
      </c>
      <c r="B46" t="s">
        <v>2</v>
      </c>
      <c r="C46" t="s">
        <v>110</v>
      </c>
      <c r="D46" t="s">
        <v>112</v>
      </c>
      <c r="E46">
        <v>30</v>
      </c>
      <c r="F46" t="s">
        <v>13</v>
      </c>
      <c r="G46">
        <v>9.1</v>
      </c>
      <c r="H46">
        <v>0.8</v>
      </c>
      <c r="I46">
        <v>658</v>
      </c>
      <c r="J46">
        <v>14.3</v>
      </c>
      <c r="K46" s="2">
        <f>AVERAGEIFS('Individual data from NASA'!J:J, 'Individual data from NASA'!$C:$C, $F46, 'Individual data from NASA'!$B:$B, $B46, 'Individual data from NASA'!$K:$K, $L46) + 273.15</f>
        <v>284.34999999999997</v>
      </c>
      <c r="L46">
        <v>30</v>
      </c>
      <c r="M46">
        <f>0.342*60*60</f>
        <v>1231.2000000000003</v>
      </c>
      <c r="N46" s="3">
        <f>AVERAGEIFS('Individual data from NASA'!M:M, 'Individual data from NASA'!$C:$C, $F46, 'Individual data from NASA'!$B:$B, $B46, 'Individual data from NASA'!$K:$K, $L46)</f>
        <v>150000000000000</v>
      </c>
      <c r="O46" s="3">
        <f>AVERAGEIFS('Individual data from NASA'!N:N, 'Individual data from NASA'!$C:$C, $F46, 'Individual data from NASA'!$B:$B, $B46, 'Individual data from NASA'!$K:$K, $L46)</f>
        <v>1.385E+16</v>
      </c>
      <c r="P46" s="3">
        <f>AVERAGEIFS('Individual data from NASA'!O:O, 'Individual data from NASA'!$C:$C, $F46, 'Individual data from NASA'!$B:$B, $B46, 'Individual data from NASA'!$K:$K, $L46)</f>
        <v>1.4E+16</v>
      </c>
      <c r="Q46" s="3">
        <f>AVERAGEIFS('Individual data from NASA'!P:P, 'Individual data from NASA'!$C:$C, $F46, 'Individual data from NASA'!$B:$B, $B46, 'Individual data from NASA'!$K:$K, $L46)</f>
        <v>3.7</v>
      </c>
      <c r="R46" s="3" t="e">
        <f>AVERAGEIFS('Individual data from NASA'!Q:Q, 'Individual data from NASA'!$C:$C, $F46, 'Individual data from NASA'!$B:$B, $B46, 'Individual data from NASA'!$K:$K, $L46)</f>
        <v>#DIV/0!</v>
      </c>
      <c r="S46" s="3" t="e">
        <f>AVERAGEIFS('Individual data from NASA'!R:R, 'Individual data from NASA'!$C:$C, $F46, 'Individual data from NASA'!$B:$B, $B46, 'Individual data from NASA'!$K:$K, $L46)</f>
        <v>#DIV/0!</v>
      </c>
      <c r="T46" s="3" t="e">
        <f>AVERAGEIFS('Individual data from NASA'!S:S, 'Individual data from NASA'!$C:$C, $F46, 'Individual data from NASA'!$B:$B, $B46, 'Individual data from NASA'!$K:$K, $L46)</f>
        <v>#DIV/0!</v>
      </c>
      <c r="U46" s="3" t="e">
        <f>AVERAGEIFS('Individual data from NASA'!T:T, 'Individual data from NASA'!$C:$C, $F46, 'Individual data from NASA'!$B:$B, $B46, 'Individual data from NASA'!$K:$K, $L46)</f>
        <v>#DIV/0!</v>
      </c>
      <c r="V46" s="3">
        <f>AVERAGEIFS('Individual data from NASA'!W:W, 'Individual data from NASA'!$C:$C, $F46, 'Individual data from NASA'!$B:$B, $B46, 'Individual data from NASA'!$K:$K, $L46)</f>
        <v>14.0092</v>
      </c>
      <c r="W46" s="3">
        <f>AVERAGEIFS('Individual data from NASA'!U:U, 'Individual data from NASA'!$C:$C, $F46, 'Individual data from NASA'!$B:$B, $B46, 'Individual data from NASA'!$K:$K, $L46)</f>
        <v>11.863049999999999</v>
      </c>
      <c r="X46" cm="1">
        <f t="array" ref="X46">_xlfn.STDEV.S(
    _xlfn._xlws.FILTER(
        'Individual data from NASA'!M:M,
        ('Individual data from NASA'!$C:$C=$F46) *
        ('Individual data from NASA'!$B:$B=$B46) *
        ('Individual data from NASA'!$K:$K=$L46)
    )
)</f>
        <v>14142135623730.951</v>
      </c>
      <c r="Y46" cm="1">
        <f t="array" ref="Y46">_xlfn.STDEV.S(
    _xlfn._xlws.FILTER(
        'Individual data from NASA'!N:N,
        ('Individual data from NASA'!$C:$C=$F46) *
        ('Individual data from NASA'!$B:$B=$B46) *
        ('Individual data from NASA'!$K:$K=$L46)
    )
)</f>
        <v>353553390593273.75</v>
      </c>
      <c r="Z46" cm="1">
        <f t="array" ref="Z46">_xlfn.STDEV.S(
    _xlfn._xlws.FILTER(
        'Individual data from NASA'!O:O,
        ('Individual data from NASA'!$C:$C=$F46) *
        ('Individual data from NASA'!$B:$B=$B46) *
        ('Individual data from NASA'!$K:$K=$L46)
    )
)</f>
        <v>0</v>
      </c>
      <c r="AA46">
        <f t="shared" si="17"/>
        <v>-0.51075268817204311</v>
      </c>
      <c r="AB46">
        <f t="shared" si="18"/>
        <v>-0.5</v>
      </c>
      <c r="AC46">
        <f t="shared" si="19"/>
        <v>-0.42682926829268292</v>
      </c>
      <c r="AD46">
        <f t="shared" si="20"/>
        <v>5.1470588235294198E-2</v>
      </c>
      <c r="AE46">
        <f t="shared" si="22"/>
        <v>6.5</v>
      </c>
      <c r="AF46">
        <f t="shared" si="23"/>
        <v>1.6929133858267722</v>
      </c>
      <c r="AG46">
        <f t="shared" si="24"/>
        <v>-0.95552707588132901</v>
      </c>
      <c r="AH46">
        <f t="shared" si="25"/>
        <v>-0.61739649610579406</v>
      </c>
      <c r="AI46">
        <f t="shared" si="26"/>
        <v>-0.64996991928993897</v>
      </c>
      <c r="AJ46">
        <f t="shared" si="26"/>
        <v>-0.88233891163493261</v>
      </c>
      <c r="AK46" t="e">
        <f t="shared" si="26"/>
        <v>#DIV/0!</v>
      </c>
      <c r="AL46" t="e">
        <f t="shared" si="26"/>
        <v>#DIV/0!</v>
      </c>
      <c r="AM46" t="e">
        <f t="shared" si="26"/>
        <v>#DIV/0!</v>
      </c>
      <c r="AN46" t="e">
        <f t="shared" si="26"/>
        <v>#DIV/0!</v>
      </c>
      <c r="AO46">
        <f t="shared" si="26"/>
        <v>7.6595581171950242E-2</v>
      </c>
      <c r="AP46">
        <f t="shared" si="26"/>
        <v>-0.33059848351260807</v>
      </c>
    </row>
    <row r="47" spans="1:42" x14ac:dyDescent="0.2">
      <c r="A47" t="s">
        <v>32</v>
      </c>
      <c r="B47" t="s">
        <v>2</v>
      </c>
      <c r="C47" t="s">
        <v>110</v>
      </c>
      <c r="D47" t="s">
        <v>112</v>
      </c>
      <c r="E47">
        <v>30</v>
      </c>
      <c r="F47" t="s">
        <v>13</v>
      </c>
      <c r="G47">
        <v>9.1</v>
      </c>
      <c r="H47">
        <v>0.8</v>
      </c>
      <c r="I47">
        <v>658</v>
      </c>
      <c r="J47">
        <v>14.3</v>
      </c>
      <c r="K47" s="2">
        <f>AVERAGEIFS('Individual data from NASA'!J:J, 'Individual data from NASA'!$C:$C, $F47, 'Individual data from NASA'!$B:$B, $B47, 'Individual data from NASA'!$K:$K, $L47) + 273.15</f>
        <v>284.59999999999997</v>
      </c>
      <c r="L47">
        <v>65</v>
      </c>
      <c r="M47">
        <f>0.602*60*60</f>
        <v>2167.1999999999998</v>
      </c>
      <c r="N47" s="3">
        <f>AVERAGEIFS('Individual data from NASA'!M:M, 'Individual data from NASA'!$C:$C, $F47, 'Individual data from NASA'!$B:$B, $B47, 'Individual data from NASA'!$K:$K, $L47)</f>
        <v>255000000000000</v>
      </c>
      <c r="O47" s="3">
        <f>AVERAGEIFS('Individual data from NASA'!N:N, 'Individual data from NASA'!$C:$C, $F47, 'Individual data from NASA'!$B:$B, $B47, 'Individual data from NASA'!$K:$K, $L47)</f>
        <v>1.003E+16</v>
      </c>
      <c r="P47" s="3">
        <f>AVERAGEIFS('Individual data from NASA'!O:O, 'Individual data from NASA'!$C:$C, $F47, 'Individual data from NASA'!$B:$B, $B47, 'Individual data from NASA'!$K:$K, $L47)</f>
        <v>1.045E+16</v>
      </c>
      <c r="Q47" s="3">
        <f>AVERAGEIFS('Individual data from NASA'!P:P, 'Individual data from NASA'!$C:$C, $F47, 'Individual data from NASA'!$B:$B, $B47, 'Individual data from NASA'!$K:$K, $L47)</f>
        <v>10.205</v>
      </c>
      <c r="R47" s="3">
        <f>AVERAGEIFS('Individual data from NASA'!Q:Q, 'Individual data from NASA'!$C:$C, $F47, 'Individual data from NASA'!$B:$B, $B47, 'Individual data from NASA'!$K:$K, $L47)</f>
        <v>0.90600000000000003</v>
      </c>
      <c r="S47" s="3">
        <f>AVERAGEIFS('Individual data from NASA'!R:R, 'Individual data from NASA'!$C:$C, $F47, 'Individual data from NASA'!$B:$B, $B47, 'Individual data from NASA'!$K:$K, $L47)</f>
        <v>9.4E-2</v>
      </c>
      <c r="T47" s="3">
        <f>AVERAGEIFS('Individual data from NASA'!S:S, 'Individual data from NASA'!$C:$C, $F47, 'Individual data from NASA'!$B:$B, $B47, 'Individual data from NASA'!$K:$K, $L47)</f>
        <v>34.76069141</v>
      </c>
      <c r="U47" s="3">
        <f>AVERAGEIFS('Individual data from NASA'!T:T, 'Individual data from NASA'!$C:$C, $F47, 'Individual data from NASA'!$B:$B, $B47, 'Individual data from NASA'!$K:$K, $L47)</f>
        <v>3.6214285899999998</v>
      </c>
      <c r="V47" s="3">
        <f>AVERAGEIFS('Individual data from NASA'!W:W, 'Individual data from NASA'!$C:$C, $F47, 'Individual data from NASA'!$B:$B, $B47, 'Individual data from NASA'!$K:$K, $L47)</f>
        <v>16.125799999999998</v>
      </c>
      <c r="W47" s="3">
        <f>AVERAGEIFS('Individual data from NASA'!U:U, 'Individual data from NASA'!$C:$C, $F47, 'Individual data from NASA'!$B:$B, $B47, 'Individual data from NASA'!$K:$K, $L47)</f>
        <v>11.8277</v>
      </c>
      <c r="X47" cm="1">
        <f t="array" ref="X47">_xlfn.STDEV.S(
    _xlfn._xlws.FILTER(
        'Individual data from NASA'!M:M,
        ('Individual data from NASA'!$C:$C=$F47) *
        ('Individual data from NASA'!$B:$B=$B47) *
        ('Individual data from NASA'!$K:$K=$L47)
    )
)</f>
        <v>21213203435596.426</v>
      </c>
      <c r="Y47" cm="1">
        <f t="array" ref="Y47">_xlfn.STDEV.S(
    _xlfn._xlws.FILTER(
        'Individual data from NASA'!N:N,
        ('Individual data from NASA'!$C:$C=$F47) *
        ('Individual data from NASA'!$B:$B=$B47) *
        ('Individual data from NASA'!$K:$K=$L47)
    )
)</f>
        <v>523259018078045.19</v>
      </c>
      <c r="Z47" cm="1">
        <f t="array" ref="Z47">_xlfn.STDEV.S(
    _xlfn._xlws.FILTER(
        'Individual data from NASA'!O:O,
        ('Individual data from NASA'!$C:$C=$F47) *
        ('Individual data from NASA'!$B:$B=$B47) *
        ('Individual data from NASA'!$K:$K=$L47)
    )
)</f>
        <v>777817459305202.25</v>
      </c>
      <c r="AA47">
        <f t="shared" si="17"/>
        <v>-0.51075268817204311</v>
      </c>
      <c r="AB47">
        <f t="shared" si="18"/>
        <v>-0.5</v>
      </c>
      <c r="AC47">
        <f t="shared" si="19"/>
        <v>-0.42682926829268292</v>
      </c>
      <c r="AD47">
        <f t="shared" si="20"/>
        <v>5.1470588235294198E-2</v>
      </c>
      <c r="AE47">
        <f t="shared" si="22"/>
        <v>15.25</v>
      </c>
      <c r="AF47">
        <f t="shared" si="23"/>
        <v>3.7401574803149602</v>
      </c>
      <c r="AG47">
        <f t="shared" si="24"/>
        <v>-0.92439602899825934</v>
      </c>
      <c r="AH47">
        <f t="shared" si="25"/>
        <v>-0.72292323869610942</v>
      </c>
      <c r="AI47">
        <f t="shared" si="26"/>
        <v>-0.73872754689856157</v>
      </c>
      <c r="AJ47">
        <f t="shared" si="26"/>
        <v>-0.67547799817148302</v>
      </c>
      <c r="AK47">
        <f t="shared" si="26"/>
        <v>-8.5771947527749706E-2</v>
      </c>
      <c r="AL47">
        <f t="shared" si="26"/>
        <v>9.4444444444444429</v>
      </c>
      <c r="AM47">
        <f t="shared" si="26"/>
        <v>-0.82241720369358817</v>
      </c>
      <c r="AN47">
        <f t="shared" si="26"/>
        <v>1.6698049328360567</v>
      </c>
      <c r="AO47">
        <f t="shared" si="26"/>
        <v>0.23925456292026906</v>
      </c>
      <c r="AP47">
        <f t="shared" si="26"/>
        <v>-0.33259319344031035</v>
      </c>
    </row>
    <row r="48" spans="1:42" x14ac:dyDescent="0.2">
      <c r="A48" t="s">
        <v>32</v>
      </c>
      <c r="B48" t="s">
        <v>2</v>
      </c>
      <c r="C48" t="s">
        <v>110</v>
      </c>
      <c r="D48" t="s">
        <v>112</v>
      </c>
      <c r="E48">
        <v>30</v>
      </c>
      <c r="F48" t="s">
        <v>13</v>
      </c>
      <c r="G48">
        <v>9.1</v>
      </c>
      <c r="H48">
        <v>0.8</v>
      </c>
      <c r="I48">
        <v>658</v>
      </c>
      <c r="J48">
        <v>14.3</v>
      </c>
      <c r="K48" s="2">
        <f>AVERAGEIFS('Individual data from NASA'!J:J, 'Individual data from NASA'!$C:$C, $F48, 'Individual data from NASA'!$B:$B, $B48, 'Individual data from NASA'!$K:$K, $L48) + 273.15</f>
        <v>284.5</v>
      </c>
      <c r="L48">
        <v>85</v>
      </c>
      <c r="M48">
        <f>0.845*60*60</f>
        <v>3041.9999999999995</v>
      </c>
      <c r="N48" s="3">
        <f>AVERAGEIFS('Individual data from NASA'!M:M, 'Individual data from NASA'!$C:$C, $F48, 'Individual data from NASA'!$B:$B, $B48, 'Individual data from NASA'!$K:$K, $L48)</f>
        <v>530000000000000</v>
      </c>
      <c r="O48" s="3">
        <f>AVERAGEIFS('Individual data from NASA'!N:N, 'Individual data from NASA'!$C:$C, $F48, 'Individual data from NASA'!$B:$B, $B48, 'Individual data from NASA'!$K:$K, $L48)</f>
        <v>6340000000000000</v>
      </c>
      <c r="P48" s="3">
        <f>AVERAGEIFS('Individual data from NASA'!O:O, 'Individual data from NASA'!$C:$C, $F48, 'Individual data from NASA'!$B:$B, $B48, 'Individual data from NASA'!$K:$K, $L48)</f>
        <v>6850000000000000</v>
      </c>
      <c r="Q48" s="3">
        <f>AVERAGEIFS('Individual data from NASA'!P:P, 'Individual data from NASA'!$C:$C, $F48, 'Individual data from NASA'!$B:$B, $B48, 'Individual data from NASA'!$K:$K, $L48)</f>
        <v>50.45</v>
      </c>
      <c r="R48" s="3">
        <f>AVERAGEIFS('Individual data from NASA'!Q:Q, 'Individual data from NASA'!$C:$C, $F48, 'Individual data from NASA'!$B:$B, $B48, 'Individual data from NASA'!$K:$K, $L48)</f>
        <v>0.68642789900000001</v>
      </c>
      <c r="S48" s="3">
        <f>AVERAGEIFS('Individual data from NASA'!R:R, 'Individual data from NASA'!$C:$C, $F48, 'Individual data from NASA'!$B:$B, $B48, 'Individual data from NASA'!$K:$K, $L48)</f>
        <v>0.31357210099999999</v>
      </c>
      <c r="T48" s="3">
        <f>AVERAGEIFS('Individual data from NASA'!S:S, 'Individual data from NASA'!$C:$C, $F48, 'Individual data from NASA'!$B:$B, $B48, 'Individual data from NASA'!$K:$K, $L48)</f>
        <v>35.18689818</v>
      </c>
      <c r="U48" s="3">
        <f>AVERAGEIFS('Individual data from NASA'!T:T, 'Individual data from NASA'!$C:$C, $F48, 'Individual data from NASA'!$B:$B, $B48, 'Individual data from NASA'!$K:$K, $L48)</f>
        <v>16.07398182</v>
      </c>
      <c r="V48" s="3">
        <f>AVERAGEIFS('Individual data from NASA'!W:W, 'Individual data from NASA'!$C:$C, $F48, 'Individual data from NASA'!$B:$B, $B48, 'Individual data from NASA'!$K:$K, $L48)</f>
        <v>22.917450000000002</v>
      </c>
      <c r="W48" s="3">
        <f>AVERAGEIFS('Individual data from NASA'!U:U, 'Individual data from NASA'!$C:$C, $F48, 'Individual data from NASA'!$B:$B, $B48, 'Individual data from NASA'!$K:$K, $L48)</f>
        <v>12.308149999999999</v>
      </c>
      <c r="X48" cm="1">
        <f t="array" ref="X48">_xlfn.STDEV.S(
    _xlfn._xlws.FILTER(
        'Individual data from NASA'!M:M,
        ('Individual data from NASA'!$C:$C=$F48) *
        ('Individual data from NASA'!$B:$B=$B48) *
        ('Individual data from NASA'!$K:$K=$L48)
    )
)</f>
        <v>0</v>
      </c>
      <c r="Y48" cm="1">
        <f t="array" ref="Y48">_xlfn.STDEV.S(
    _xlfn._xlws.FILTER(
        'Individual data from NASA'!N:N,
        ('Individual data from NASA'!$C:$C=$F48) *
        ('Individual data from NASA'!$B:$B=$B48) *
        ('Individual data from NASA'!$K:$K=$L48)
    )
)</f>
        <v>509116882454314.25</v>
      </c>
      <c r="Z48" cm="1">
        <f t="array" ref="Z48">_xlfn.STDEV.S(
    _xlfn._xlws.FILTER(
        'Individual data from NASA'!O:O,
        ('Individual data from NASA'!$C:$C=$F48) *
        ('Individual data from NASA'!$B:$B=$B48) *
        ('Individual data from NASA'!$K:$K=$L48)
    )
)</f>
        <v>494974746830583.25</v>
      </c>
      <c r="AA48">
        <f t="shared" si="17"/>
        <v>-0.51075268817204311</v>
      </c>
      <c r="AB48">
        <f t="shared" si="18"/>
        <v>-0.5</v>
      </c>
      <c r="AC48">
        <f t="shared" si="19"/>
        <v>-0.42682926829268292</v>
      </c>
      <c r="AD48">
        <f t="shared" si="20"/>
        <v>5.1470588235294198E-2</v>
      </c>
      <c r="AE48">
        <f t="shared" si="22"/>
        <v>20.25</v>
      </c>
      <c r="AF48">
        <f t="shared" si="23"/>
        <v>5.6535433070866139</v>
      </c>
      <c r="AG48">
        <f t="shared" si="24"/>
        <v>-0.84286233478069594</v>
      </c>
      <c r="AH48">
        <f t="shared" si="25"/>
        <v>-0.82485875706214695</v>
      </c>
      <c r="AI48">
        <f t="shared" si="26"/>
        <v>-0.8287352819382916</v>
      </c>
      <c r="AJ48">
        <f t="shared" si="26"/>
        <v>0.60432484000477005</v>
      </c>
      <c r="AK48">
        <f t="shared" si="26"/>
        <v>-0.30733814429868817</v>
      </c>
      <c r="AL48">
        <f t="shared" si="26"/>
        <v>33.841344555555551</v>
      </c>
      <c r="AM48">
        <f t="shared" si="26"/>
        <v>-0.82023983071994377</v>
      </c>
      <c r="AN48">
        <f t="shared" si="26"/>
        <v>10.850128999327611</v>
      </c>
      <c r="AO48">
        <f t="shared" si="26"/>
        <v>0.76118731988472677</v>
      </c>
      <c r="AP48">
        <f t="shared" si="26"/>
        <v>-0.3054826309292894</v>
      </c>
    </row>
    <row r="49" spans="1:42" x14ac:dyDescent="0.2">
      <c r="A49" t="s">
        <v>32</v>
      </c>
      <c r="B49" t="s">
        <v>2</v>
      </c>
      <c r="C49" t="s">
        <v>110</v>
      </c>
      <c r="D49" t="s">
        <v>112</v>
      </c>
      <c r="E49">
        <v>30</v>
      </c>
      <c r="F49" t="s">
        <v>13</v>
      </c>
      <c r="G49">
        <v>9.1</v>
      </c>
      <c r="H49">
        <v>0.8</v>
      </c>
      <c r="I49">
        <v>658</v>
      </c>
      <c r="J49">
        <v>14.3</v>
      </c>
      <c r="K49" s="2">
        <f>AVERAGEIFS('Individual data from NASA'!J:J, 'Individual data from NASA'!$C:$C, $F49, 'Individual data from NASA'!$B:$B, $B49, 'Individual data from NASA'!$K:$K, $L49) + 273.15</f>
        <v>284.95</v>
      </c>
      <c r="L49">
        <v>100</v>
      </c>
      <c r="M49">
        <f>0.894*60*60</f>
        <v>3218.4</v>
      </c>
      <c r="N49" s="3">
        <f>AVERAGEIFS('Individual data from NASA'!M:M, 'Individual data from NASA'!$C:$C, $F49, 'Individual data from NASA'!$B:$B, $B49, 'Individual data from NASA'!$K:$K, $L49)</f>
        <v>783000000000000</v>
      </c>
      <c r="O49" s="3">
        <f>AVERAGEIFS('Individual data from NASA'!N:N, 'Individual data from NASA'!$C:$C, $F49, 'Individual data from NASA'!$B:$B, $B49, 'Individual data from NASA'!$K:$K, $L49)</f>
        <v>5980000000000000</v>
      </c>
      <c r="P49" s="3">
        <f>AVERAGEIFS('Individual data from NASA'!O:O, 'Individual data from NASA'!$C:$C, $F49, 'Individual data from NASA'!$B:$B, $B49, 'Individual data from NASA'!$K:$K, $L49)</f>
        <v>6760000000000000</v>
      </c>
      <c r="Q49" s="3">
        <f>AVERAGEIFS('Individual data from NASA'!P:P, 'Individual data from NASA'!$C:$C, $F49, 'Individual data from NASA'!$B:$B, $B49, 'Individual data from NASA'!$K:$K, $L49)</f>
        <v>106.2</v>
      </c>
      <c r="R49" s="3" t="e">
        <f>AVERAGEIFS('Individual data from NASA'!Q:Q, 'Individual data from NASA'!$C:$C, $F49, 'Individual data from NASA'!$B:$B, $B49, 'Individual data from NASA'!$K:$K, $L49)</f>
        <v>#DIV/0!</v>
      </c>
      <c r="S49" s="3" t="e">
        <f>AVERAGEIFS('Individual data from NASA'!R:R, 'Individual data from NASA'!$C:$C, $F49, 'Individual data from NASA'!$B:$B, $B49, 'Individual data from NASA'!$K:$K, $L49)</f>
        <v>#DIV/0!</v>
      </c>
      <c r="T49" s="3" t="e">
        <f>AVERAGEIFS('Individual data from NASA'!S:S, 'Individual data from NASA'!$C:$C, $F49, 'Individual data from NASA'!$B:$B, $B49, 'Individual data from NASA'!$K:$K, $L49)</f>
        <v>#DIV/0!</v>
      </c>
      <c r="U49" s="3" t="e">
        <f>AVERAGEIFS('Individual data from NASA'!T:T, 'Individual data from NASA'!$C:$C, $F49, 'Individual data from NASA'!$B:$B, $B49, 'Individual data from NASA'!$K:$K, $L49)</f>
        <v>#DIV/0!</v>
      </c>
      <c r="V49" s="3">
        <f>AVERAGEIFS('Individual data from NASA'!W:W, 'Individual data from NASA'!$C:$C, $F49, 'Individual data from NASA'!$B:$B, $B49, 'Individual data from NASA'!$K:$K, $L49)</f>
        <v>28.553000000000001</v>
      </c>
      <c r="W49" s="3">
        <f>AVERAGEIFS('Individual data from NASA'!U:U, 'Individual data from NASA'!$C:$C, $F49, 'Individual data from NASA'!$B:$B, $B49, 'Individual data from NASA'!$K:$K, $L49)</f>
        <v>12.781000000000001</v>
      </c>
      <c r="X49" t="e" cm="1">
        <f t="array" ref="X49">_xlfn.STDEV.S(
    _xlfn._xlws.FILTER(
        'Individual data from NASA'!M:M,
        ('Individual data from NASA'!$C:$C=$F49) *
        ('Individual data from NASA'!$B:$B=$B49) *
        ('Individual data from NASA'!$K:$K=$L49)
    )
)</f>
        <v>#DIV/0!</v>
      </c>
      <c r="Y49" t="e" cm="1">
        <f t="array" ref="Y49">_xlfn.STDEV.S(
    _xlfn._xlws.FILTER(
        'Individual data from NASA'!N:N,
        ('Individual data from NASA'!$C:$C=$F49) *
        ('Individual data from NASA'!$B:$B=$B49) *
        ('Individual data from NASA'!$K:$K=$L49)
    )
)</f>
        <v>#DIV/0!</v>
      </c>
      <c r="Z49" t="e" cm="1">
        <f t="array" ref="Z49">_xlfn.STDEV.S(
    _xlfn._xlws.FILTER(
        'Individual data from NASA'!O:O,
        ('Individual data from NASA'!$C:$C=$F49) *
        ('Individual data from NASA'!$B:$B=$B49) *
        ('Individual data from NASA'!$K:$K=$L49)
    )
)</f>
        <v>#DIV/0!</v>
      </c>
      <c r="AA49">
        <f t="shared" si="17"/>
        <v>-0.51075268817204311</v>
      </c>
      <c r="AB49">
        <f t="shared" si="18"/>
        <v>-0.5</v>
      </c>
      <c r="AC49">
        <f t="shared" si="19"/>
        <v>-0.42682926829268292</v>
      </c>
      <c r="AD49">
        <f t="shared" si="20"/>
        <v>5.1470588235294198E-2</v>
      </c>
      <c r="AE49">
        <f t="shared" si="22"/>
        <v>24</v>
      </c>
      <c r="AF49">
        <f t="shared" si="23"/>
        <v>6.0393700787401583</v>
      </c>
      <c r="AG49">
        <f t="shared" si="24"/>
        <v>-0.76785133610053746</v>
      </c>
      <c r="AH49">
        <f t="shared" si="25"/>
        <v>-0.83480368568322372</v>
      </c>
      <c r="AI49">
        <f t="shared" si="26"/>
        <v>-0.83098547531428479</v>
      </c>
      <c r="AJ49">
        <f t="shared" si="26"/>
        <v>2.3771912390189605</v>
      </c>
      <c r="AK49" t="e">
        <f t="shared" si="26"/>
        <v>#DIV/0!</v>
      </c>
      <c r="AL49" t="e">
        <f t="shared" si="26"/>
        <v>#DIV/0!</v>
      </c>
      <c r="AM49" t="e">
        <f t="shared" si="26"/>
        <v>#DIV/0!</v>
      </c>
      <c r="AN49" t="e">
        <f t="shared" si="26"/>
        <v>#DIV/0!</v>
      </c>
      <c r="AO49">
        <f t="shared" si="26"/>
        <v>1.1942747358309322</v>
      </c>
      <c r="AP49">
        <f t="shared" si="26"/>
        <v>-0.2788009169458649</v>
      </c>
    </row>
    <row r="50" spans="1:42" x14ac:dyDescent="0.2">
      <c r="A50" t="s">
        <v>32</v>
      </c>
      <c r="B50" t="s">
        <v>3</v>
      </c>
      <c r="C50" t="s">
        <v>110</v>
      </c>
      <c r="D50" t="s">
        <v>112</v>
      </c>
      <c r="E50">
        <v>30</v>
      </c>
      <c r="F50" t="s">
        <v>8</v>
      </c>
      <c r="G50">
        <v>21.8</v>
      </c>
      <c r="H50">
        <v>1.3</v>
      </c>
      <c r="I50">
        <v>188</v>
      </c>
      <c r="J50">
        <v>13.5</v>
      </c>
      <c r="K50" s="2">
        <f>AVERAGEIFS('Individual data from NASA'!J:J, 'Individual data from NASA'!$C:$C, $F50, 'Individual data from NASA'!$B:$B, $B50, 'Individual data from NASA'!$K:$K, $L50) + 273.15</f>
        <v>289.34999999999997</v>
      </c>
      <c r="L50">
        <v>4</v>
      </c>
      <c r="M50">
        <f>0.127*60*60</f>
        <v>457.2</v>
      </c>
      <c r="N50" s="3">
        <f>AVERAGEIFS('Individual data from NASA'!M:M, 'Individual data from NASA'!$C:$C, $F50, 'Individual data from NASA'!$B:$B, $B50, 'Individual data from NASA'!$K:$K, $L50)</f>
        <v>3756538461538461.5</v>
      </c>
      <c r="O50" s="3">
        <f>AVERAGEIFS('Individual data from NASA'!N:N, 'Individual data from NASA'!$C:$C, $F50, 'Individual data from NASA'!$B:$B, $B50, 'Individual data from NASA'!$K:$K, $L50)</f>
        <v>1.6942245454545454E+16</v>
      </c>
      <c r="P50" s="3">
        <f>AVERAGEIFS('Individual data from NASA'!O:O, 'Individual data from NASA'!$C:$C, $F50, 'Individual data from NASA'!$B:$B, $B50, 'Individual data from NASA'!$K:$K, $L50)</f>
        <v>1.9151666666666668E+16</v>
      </c>
      <c r="Q50" s="3">
        <f>AVERAGEIFS('Individual data from NASA'!P:P, 'Individual data from NASA'!$C:$C, $F50, 'Individual data from NASA'!$B:$B, $B50, 'Individual data from NASA'!$K:$K, $L50)</f>
        <v>20.096666666666668</v>
      </c>
      <c r="R50" s="3">
        <f>AVERAGEIFS('Individual data from NASA'!Q:Q, 'Individual data from NASA'!$C:$C, $F50, 'Individual data from NASA'!$B:$B, $B50, 'Individual data from NASA'!$K:$K, $L50)</f>
        <v>0.81481818181818177</v>
      </c>
      <c r="S50" s="3">
        <f>AVERAGEIFS('Individual data from NASA'!R:R, 'Individual data from NASA'!$C:$C, $F50, 'Individual data from NASA'!$B:$B, $B50, 'Individual data from NASA'!$K:$K, $L50)</f>
        <v>0.18518181818181823</v>
      </c>
      <c r="T50" s="3">
        <f>AVERAGEIFS('Individual data from NASA'!S:S, 'Individual data from NASA'!$C:$C, $F50, 'Individual data from NASA'!$B:$B, $B50, 'Individual data from NASA'!$K:$K, $L50)</f>
        <v>72.257970718888885</v>
      </c>
      <c r="U50" s="3">
        <f>AVERAGEIFS('Individual data from NASA'!T:T, 'Individual data from NASA'!$C:$C, $F50, 'Individual data from NASA'!$B:$B, $B50, 'Individual data from NASA'!$K:$K, $L50)</f>
        <v>14.275203947444444</v>
      </c>
      <c r="V50" s="3">
        <f>AVERAGEIFS('Individual data from NASA'!W:W, 'Individual data from NASA'!$C:$C, $F50, 'Individual data from NASA'!$B:$B, $B50, 'Individual data from NASA'!$K:$K, $L50)</f>
        <v>13.040000000000001</v>
      </c>
      <c r="W50" s="3">
        <f>AVERAGEIFS('Individual data from NASA'!U:U, 'Individual data from NASA'!$C:$C, $F50, 'Individual data from NASA'!$B:$B, $B50, 'Individual data from NASA'!$K:$K, $L50)</f>
        <v>15.044916666666666</v>
      </c>
      <c r="X50" cm="1">
        <f t="array" ref="X50">_xlfn.STDEV.S(
    _xlfn._xlws.FILTER(
        'Individual data from NASA'!M:M,
        ('Individual data from NASA'!$C:$C=$F50) *
        ('Individual data from NASA'!$B:$B=$B50) *
        ('Individual data from NASA'!$K:$K=$L50)
    )
)</f>
        <v>5899319658731627</v>
      </c>
      <c r="Y50" cm="1">
        <f t="array" ref="Y50">_xlfn.STDEV.S(
    _xlfn._xlws.FILTER(
        'Individual data from NASA'!N:N,
        ('Individual data from NASA'!$C:$C=$F50) *
        ('Individual data from NASA'!$B:$B=$B50) *
        ('Individual data from NASA'!$K:$K=$L50)
    )
)</f>
        <v>7022376340152053</v>
      </c>
      <c r="Z50" cm="1">
        <f t="array" ref="Z50">_xlfn.STDEV.S(
    _xlfn._xlws.FILTER(
        'Individual data from NASA'!O:O,
        ('Individual data from NASA'!$C:$C=$F50) *
        ('Individual data from NASA'!$B:$B=$B50) *
        ('Individual data from NASA'!$K:$K=$L50)
    )
)</f>
        <v>7434173957087801</v>
      </c>
    </row>
    <row r="51" spans="1:42" x14ac:dyDescent="0.2">
      <c r="A51" t="s">
        <v>32</v>
      </c>
      <c r="B51" t="s">
        <v>3</v>
      </c>
      <c r="C51" t="s">
        <v>110</v>
      </c>
      <c r="D51" t="s">
        <v>112</v>
      </c>
      <c r="E51">
        <v>30</v>
      </c>
      <c r="F51" t="s">
        <v>8</v>
      </c>
      <c r="G51">
        <v>21.8</v>
      </c>
      <c r="H51">
        <v>1.3</v>
      </c>
      <c r="I51">
        <v>188</v>
      </c>
      <c r="J51">
        <v>13.5</v>
      </c>
      <c r="K51" s="2">
        <f>AVERAGEIFS('Individual data from NASA'!J:J, 'Individual data from NASA'!$C:$C, $F51, 'Individual data from NASA'!$B:$B, $B51, 'Individual data from NASA'!$K:$K, $L51) + 273.15</f>
        <v>291.72499999999997</v>
      </c>
      <c r="L51">
        <v>30</v>
      </c>
      <c r="M51">
        <f>0.342*60*60</f>
        <v>1231.2000000000003</v>
      </c>
      <c r="N51" s="3">
        <f>AVERAGEIFS('Individual data from NASA'!M:M, 'Individual data from NASA'!$C:$C, $F51, 'Individual data from NASA'!$B:$B, $B51, 'Individual data from NASA'!$K:$K, $L51)</f>
        <v>325125000000000</v>
      </c>
      <c r="O51" s="3">
        <f>AVERAGEIFS('Individual data from NASA'!N:N, 'Individual data from NASA'!$C:$C, $F51, 'Individual data from NASA'!$B:$B, $B51, 'Individual data from NASA'!$K:$K, $L51)</f>
        <v>5136875000000000</v>
      </c>
      <c r="P51" s="3">
        <f>AVERAGEIFS('Individual data from NASA'!O:O, 'Individual data from NASA'!$C:$C, $F51, 'Individual data from NASA'!$B:$B, $B51, 'Individual data from NASA'!$K:$K, $L51)</f>
        <v>5462500000000000</v>
      </c>
      <c r="Q51" s="3">
        <f>AVERAGEIFS('Individual data from NASA'!P:P, 'Individual data from NASA'!$C:$C, $F51, 'Individual data from NASA'!$B:$B, $B51, 'Individual data from NASA'!$K:$K, $L51)</f>
        <v>10.5981875</v>
      </c>
      <c r="R51" s="3">
        <f>AVERAGEIFS('Individual data from NASA'!Q:Q, 'Individual data from NASA'!$C:$C, $F51, 'Individual data from NASA'!$B:$B, $B51, 'Individual data from NASA'!$K:$K, $L51)</f>
        <v>0.78206249999999999</v>
      </c>
      <c r="S51" s="3">
        <f>AVERAGEIFS('Individual data from NASA'!R:R, 'Individual data from NASA'!$C:$C, $F51, 'Individual data from NASA'!$B:$B, $B51, 'Individual data from NASA'!$K:$K, $L51)</f>
        <v>0.21793750000000001</v>
      </c>
      <c r="T51" s="3">
        <f>AVERAGEIFS('Individual data from NASA'!S:S, 'Individual data from NASA'!$C:$C, $F51, 'Individual data from NASA'!$B:$B, $B51, 'Individual data from NASA'!$K:$K, $L51)</f>
        <v>14.051743416357143</v>
      </c>
      <c r="U51" s="3">
        <f>AVERAGEIFS('Individual data from NASA'!T:T, 'Individual data from NASA'!$C:$C, $F51, 'Individual data from NASA'!$B:$B, $B51, 'Individual data from NASA'!$K:$K, $L51)</f>
        <v>4.2071257257857146</v>
      </c>
      <c r="V51" s="3">
        <f>AVERAGEIFS('Individual data from NASA'!W:W, 'Individual data from NASA'!$C:$C, $F51, 'Individual data from NASA'!$B:$B, $B51, 'Individual data from NASA'!$K:$K, $L51)</f>
        <v>19.026435714285714</v>
      </c>
      <c r="W51" s="3">
        <f>AVERAGEIFS('Individual data from NASA'!U:U, 'Individual data from NASA'!$C:$C, $F51, 'Individual data from NASA'!$B:$B, $B51, 'Individual data from NASA'!$K:$K, $L51)</f>
        <v>11.8858</v>
      </c>
      <c r="X51" cm="1">
        <f t="array" ref="X51">_xlfn.STDEV.S(
    _xlfn._xlws.FILTER(
        'Individual data from NASA'!M:M,
        ('Individual data from NASA'!$C:$C=$F51) *
        ('Individual data from NASA'!$B:$B=$B51) *
        ('Individual data from NASA'!$K:$K=$L51)
    )
)</f>
        <v>112919366511388.73</v>
      </c>
      <c r="Y51" cm="1">
        <f t="array" ref="Y51">_xlfn.STDEV.S(
    _xlfn._xlws.FILTER(
        'Individual data from NASA'!N:N,
        ('Individual data from NASA'!$C:$C=$F51) *
        ('Individual data from NASA'!$B:$B=$B51) *
        ('Individual data from NASA'!$K:$K=$L51)
    )
)</f>
        <v>3522720007323886.5</v>
      </c>
      <c r="Z51" cm="1">
        <f t="array" ref="Z51">_xlfn.STDEV.S(
    _xlfn._xlws.FILTER(
        'Individual data from NASA'!O:O,
        ('Individual data from NASA'!$C:$C=$F51) *
        ('Individual data from NASA'!$B:$B=$B51) *
        ('Individual data from NASA'!$K:$K=$L51)
    )
)</f>
        <v>3489216722035669</v>
      </c>
      <c r="AA51">
        <f t="shared" ref="AA51:AA78" si="27">(G51-G$50)/G$50</f>
        <v>0</v>
      </c>
      <c r="AB51">
        <f t="shared" ref="AB51:AB78" si="28">(H51-H$50)/H$50</f>
        <v>0</v>
      </c>
      <c r="AC51">
        <f t="shared" ref="AC51:AC78" si="29">(I51-I$50)/I$50</f>
        <v>0</v>
      </c>
      <c r="AD51">
        <f t="shared" ref="AD51:AD78" si="30">(J51-J$50)/J$50</f>
        <v>0</v>
      </c>
      <c r="AE51">
        <f t="shared" ref="AE51:AE63" si="31">(L51-L$50)/L$50</f>
        <v>6.5</v>
      </c>
      <c r="AF51">
        <f t="shared" ref="AF51:AF63" si="32">(M51-M$50)/M$50</f>
        <v>1.6929133858267722</v>
      </c>
      <c r="AG51">
        <f t="shared" ref="AG51:AG63" si="33">(N51-N$50)/N$50</f>
        <v>-0.91345090611241941</v>
      </c>
      <c r="AH51">
        <f t="shared" ref="AH51:AH63" si="34">(O51-O$50)/O$50</f>
        <v>-0.69680081581973408</v>
      </c>
      <c r="AI51">
        <f t="shared" ref="AI51:AI63" si="35">(P51-P$50)/P$50</f>
        <v>-0.71477678182925775</v>
      </c>
      <c r="AJ51">
        <f t="shared" ref="AJ51:AJ63" si="36">(Q51-Q$50)/Q$50</f>
        <v>-0.47263953391938962</v>
      </c>
      <c r="AK51">
        <f t="shared" ref="AK51:AK63" si="37">(R51-R$50)/R$50</f>
        <v>-4.019998884302127E-2</v>
      </c>
      <c r="AL51">
        <f t="shared" ref="AL51:AL63" si="38">(S51-S$50)/S$50</f>
        <v>0.17688389788905229</v>
      </c>
      <c r="AM51">
        <f t="shared" ref="AM51:AM63" si="39">(T51-T$50)/T$50</f>
        <v>-0.8055336556430045</v>
      </c>
      <c r="AN51">
        <f t="shared" ref="AN51:AN63" si="40">(U51-U$50)/U$50</f>
        <v>-0.70528436992741694</v>
      </c>
      <c r="AO51">
        <f t="shared" ref="AO51:AO63" si="41">(V51-V$50)/V$50</f>
        <v>0.45908249342681851</v>
      </c>
      <c r="AP51">
        <f t="shared" ref="AP51:AP63" si="42">(W51-W$50)/W$50</f>
        <v>-0.20997900730590063</v>
      </c>
    </row>
    <row r="52" spans="1:42" x14ac:dyDescent="0.2">
      <c r="A52" t="s">
        <v>32</v>
      </c>
      <c r="B52" t="s">
        <v>3</v>
      </c>
      <c r="C52" t="s">
        <v>110</v>
      </c>
      <c r="D52" t="s">
        <v>112</v>
      </c>
      <c r="E52">
        <v>30</v>
      </c>
      <c r="F52" t="s">
        <v>8</v>
      </c>
      <c r="G52">
        <v>21.8</v>
      </c>
      <c r="H52">
        <v>1.3</v>
      </c>
      <c r="I52">
        <v>188</v>
      </c>
      <c r="J52">
        <v>13.5</v>
      </c>
      <c r="K52" s="2">
        <f>AVERAGEIFS('Individual data from NASA'!J:J, 'Individual data from NASA'!$C:$C, $F52, 'Individual data from NASA'!$B:$B, $B52, 'Individual data from NASA'!$K:$K, $L52) + 273.15</f>
        <v>290.58076923076919</v>
      </c>
      <c r="L52">
        <v>65</v>
      </c>
      <c r="M52">
        <f>0.602*60*60</f>
        <v>2167.1999999999998</v>
      </c>
      <c r="N52" s="3">
        <f>AVERAGEIFS('Individual data from NASA'!M:M, 'Individual data from NASA'!$C:$C, $F52, 'Individual data from NASA'!$B:$B, $B52, 'Individual data from NASA'!$K:$K, $L52)</f>
        <v>422692307692307.69</v>
      </c>
      <c r="O52" s="3">
        <f>AVERAGEIFS('Individual data from NASA'!N:N, 'Individual data from NASA'!$C:$C, $F52, 'Individual data from NASA'!$B:$B, $B52, 'Individual data from NASA'!$K:$K, $L52)</f>
        <v>2418000000000000</v>
      </c>
      <c r="P52" s="3">
        <f>AVERAGEIFS('Individual data from NASA'!O:O, 'Individual data from NASA'!$C:$C, $F52, 'Individual data from NASA'!$B:$B, $B52, 'Individual data from NASA'!$K:$K, $L52)</f>
        <v>2841538461538461.5</v>
      </c>
      <c r="Q52" s="3">
        <f>AVERAGEIFS('Individual data from NASA'!P:P, 'Individual data from NASA'!$C:$C, $F52, 'Individual data from NASA'!$B:$B, $B52, 'Individual data from NASA'!$K:$K, $L52)</f>
        <v>33.762307692307687</v>
      </c>
      <c r="R52" s="3">
        <f>AVERAGEIFS('Individual data from NASA'!Q:Q, 'Individual data from NASA'!$C:$C, $F52, 'Individual data from NASA'!$B:$B, $B52, 'Individual data from NASA'!$K:$K, $L52)</f>
        <v>0.7982307692307693</v>
      </c>
      <c r="S52" s="3">
        <f>AVERAGEIFS('Individual data from NASA'!R:R, 'Individual data from NASA'!$C:$C, $F52, 'Individual data from NASA'!$B:$B, $B52, 'Individual data from NASA'!$K:$K, $L52)</f>
        <v>0.20176923076923073</v>
      </c>
      <c r="T52" s="3">
        <f>AVERAGEIFS('Individual data from NASA'!S:S, 'Individual data from NASA'!$C:$C, $F52, 'Individual data from NASA'!$B:$B, $B52, 'Individual data from NASA'!$K:$K, $L52)</f>
        <v>17.743814899727273</v>
      </c>
      <c r="U52" s="3">
        <f>AVERAGEIFS('Individual data from NASA'!T:T, 'Individual data from NASA'!$C:$C, $F52, 'Individual data from NASA'!$B:$B, $B52, 'Individual data from NASA'!$K:$K, $L52)</f>
        <v>4.5514051013636356</v>
      </c>
      <c r="V52" s="3">
        <f>AVERAGEIFS('Individual data from NASA'!W:W, 'Individual data from NASA'!$C:$C, $F52, 'Individual data from NASA'!$B:$B, $B52, 'Individual data from NASA'!$K:$K, $L52)</f>
        <v>24.888866666666672</v>
      </c>
      <c r="W52" s="3">
        <f>AVERAGEIFS('Individual data from NASA'!U:U, 'Individual data from NASA'!$C:$C, $F52, 'Individual data from NASA'!$B:$B, $B52, 'Individual data from NASA'!$K:$K, $L52)</f>
        <v>13.72195</v>
      </c>
      <c r="X52" cm="1">
        <f t="array" ref="X52">_xlfn.STDEV.S(
    _xlfn._xlws.FILTER(
        'Individual data from NASA'!M:M,
        ('Individual data from NASA'!$C:$C=$F52) *
        ('Individual data from NASA'!$B:$B=$B52) *
        ('Individual data from NASA'!$K:$K=$L52)
    )
)</f>
        <v>86480618845481.453</v>
      </c>
      <c r="Y52" cm="1">
        <f t="array" ref="Y52">_xlfn.STDEV.S(
    _xlfn._xlws.FILTER(
        'Individual data from NASA'!N:N,
        ('Individual data from NASA'!$C:$C=$F52) *
        ('Individual data from NASA'!$B:$B=$B52) *
        ('Individual data from NASA'!$K:$K=$L52)
    )
)</f>
        <v>1147479266334109.5</v>
      </c>
      <c r="Z52" cm="1">
        <f t="array" ref="Z52">_xlfn.STDEV.S(
    _xlfn._xlws.FILTER(
        'Individual data from NASA'!O:O,
        ('Individual data from NASA'!$C:$C=$F52) *
        ('Individual data from NASA'!$B:$B=$B52) *
        ('Individual data from NASA'!$K:$K=$L52)
    )
)</f>
        <v>1202239896705632.8</v>
      </c>
      <c r="AA52">
        <f t="shared" si="27"/>
        <v>0</v>
      </c>
      <c r="AB52">
        <f t="shared" si="28"/>
        <v>0</v>
      </c>
      <c r="AC52">
        <f t="shared" si="29"/>
        <v>0</v>
      </c>
      <c r="AD52">
        <f t="shared" si="30"/>
        <v>0</v>
      </c>
      <c r="AE52">
        <f t="shared" si="31"/>
        <v>15.25</v>
      </c>
      <c r="AF52">
        <f t="shared" si="32"/>
        <v>3.7401574803149602</v>
      </c>
      <c r="AG52">
        <f t="shared" si="33"/>
        <v>-0.88747824306337675</v>
      </c>
      <c r="AH52">
        <f t="shared" si="34"/>
        <v>-0.85727983893945581</v>
      </c>
      <c r="AI52">
        <f t="shared" si="35"/>
        <v>-0.85162970351378675</v>
      </c>
      <c r="AJ52">
        <f t="shared" si="36"/>
        <v>0.67999540681577464</v>
      </c>
      <c r="AK52">
        <f t="shared" si="37"/>
        <v>-2.0357194963911328E-2</v>
      </c>
      <c r="AL52">
        <f t="shared" si="38"/>
        <v>8.9573656583965391E-2</v>
      </c>
      <c r="AM52">
        <f t="shared" si="39"/>
        <v>-0.75443795718042661</v>
      </c>
      <c r="AN52">
        <f t="shared" si="40"/>
        <v>-0.68116706996831156</v>
      </c>
      <c r="AO52">
        <f t="shared" si="41"/>
        <v>0.90865541922290416</v>
      </c>
      <c r="AP52">
        <f t="shared" si="42"/>
        <v>-8.7934462913830211E-2</v>
      </c>
    </row>
    <row r="53" spans="1:42" x14ac:dyDescent="0.2">
      <c r="A53" t="s">
        <v>32</v>
      </c>
      <c r="B53" t="s">
        <v>3</v>
      </c>
      <c r="C53" t="s">
        <v>110</v>
      </c>
      <c r="D53" t="s">
        <v>112</v>
      </c>
      <c r="E53">
        <v>30</v>
      </c>
      <c r="F53" t="s">
        <v>8</v>
      </c>
      <c r="G53">
        <v>21.8</v>
      </c>
      <c r="H53">
        <v>1.3</v>
      </c>
      <c r="I53">
        <v>188</v>
      </c>
      <c r="J53">
        <v>13.5</v>
      </c>
      <c r="K53" s="2">
        <f>AVERAGEIFS('Individual data from NASA'!J:J, 'Individual data from NASA'!$C:$C, $F53, 'Individual data from NASA'!$B:$B, $B53, 'Individual data from NASA'!$K:$K, $L53) + 273.15</f>
        <v>291.4576923076923</v>
      </c>
      <c r="L53">
        <v>85</v>
      </c>
      <c r="M53">
        <f>0.845*60*60</f>
        <v>3041.9999999999995</v>
      </c>
      <c r="N53" s="3">
        <f>AVERAGEIFS('Individual data from NASA'!M:M, 'Individual data from NASA'!$C:$C, $F53, 'Individual data from NASA'!$B:$B, $B53, 'Individual data from NASA'!$K:$K, $L53)</f>
        <v>541000000000000</v>
      </c>
      <c r="O53" s="3">
        <f>AVERAGEIFS('Individual data from NASA'!N:N, 'Individual data from NASA'!$C:$C, $F53, 'Individual data from NASA'!$B:$B, $B53, 'Individual data from NASA'!$K:$K, $L53)</f>
        <v>1305230769230769.2</v>
      </c>
      <c r="P53" s="3">
        <f>AVERAGEIFS('Individual data from NASA'!O:O, 'Individual data from NASA'!$C:$C, $F53, 'Individual data from NASA'!$B:$B, $B53, 'Individual data from NASA'!$K:$K, $L53)</f>
        <v>1843846153846153.8</v>
      </c>
      <c r="Q53" s="3">
        <f>AVERAGEIFS('Individual data from NASA'!P:P, 'Individual data from NASA'!$C:$C, $F53, 'Individual data from NASA'!$B:$B, $B53, 'Individual data from NASA'!$K:$K, $L53)</f>
        <v>73.099999999999994</v>
      </c>
      <c r="R53" s="3">
        <f>AVERAGEIFS('Individual data from NASA'!Q:Q, 'Individual data from NASA'!$C:$C, $F53, 'Individual data from NASA'!$B:$B, $B53, 'Individual data from NASA'!$K:$K, $L53)</f>
        <v>0.8111852647692307</v>
      </c>
      <c r="S53" s="3">
        <f>AVERAGEIFS('Individual data from NASA'!R:R, 'Individual data from NASA'!$C:$C, $F53, 'Individual data from NASA'!$B:$B, $B53, 'Individual data from NASA'!$K:$K, $L53)</f>
        <v>0.18881473523076925</v>
      </c>
      <c r="T53" s="3">
        <f>AVERAGEIFS('Individual data from NASA'!S:S, 'Individual data from NASA'!$C:$C, $F53, 'Individual data from NASA'!$B:$B, $B53, 'Individual data from NASA'!$K:$K, $L53)</f>
        <v>24.601273026363632</v>
      </c>
      <c r="U53" s="3">
        <f>AVERAGEIFS('Individual data from NASA'!T:T, 'Individual data from NASA'!$C:$C, $F53, 'Individual data from NASA'!$B:$B, $B53, 'Individual data from NASA'!$K:$K, $L53)</f>
        <v>6.4432506100000007</v>
      </c>
      <c r="V53" s="3">
        <f>AVERAGEIFS('Individual data from NASA'!W:W, 'Individual data from NASA'!$C:$C, $F53, 'Individual data from NASA'!$B:$B, $B53, 'Individual data from NASA'!$K:$K, $L53)</f>
        <v>29.633099999999999</v>
      </c>
      <c r="W53" s="3">
        <f>AVERAGEIFS('Individual data from NASA'!U:U, 'Individual data from NASA'!$C:$C, $F53, 'Individual data from NASA'!$B:$B, $B53, 'Individual data from NASA'!$K:$K, $L53)</f>
        <v>20.977423076923074</v>
      </c>
      <c r="X53" cm="1">
        <f t="array" ref="X53">_xlfn.STDEV.S(
    _xlfn._xlws.FILTER(
        'Individual data from NASA'!M:M,
        ('Individual data from NASA'!$C:$C=$F53) *
        ('Individual data from NASA'!$B:$B=$B53) *
        ('Individual data from NASA'!$K:$K=$L53)
    )
)</f>
        <v>73408673420334.359</v>
      </c>
      <c r="Y53" cm="1">
        <f t="array" ref="Y53">_xlfn.STDEV.S(
    _xlfn._xlws.FILTER(
        'Individual data from NASA'!N:N,
        ('Individual data from NASA'!$C:$C=$F53) *
        ('Individual data from NASA'!$B:$B=$B53) *
        ('Individual data from NASA'!$K:$K=$L53)
    )
)</f>
        <v>641966400191130.38</v>
      </c>
      <c r="Z53" cm="1">
        <f t="array" ref="Z53">_xlfn.STDEV.S(
    _xlfn._xlws.FILTER(
        'Individual data from NASA'!O:O,
        ('Individual data from NASA'!$C:$C=$F53) *
        ('Individual data from NASA'!$B:$B=$B53) *
        ('Individual data from NASA'!$K:$K=$L53)
    )
)</f>
        <v>680276150563608.62</v>
      </c>
      <c r="AA53">
        <f t="shared" si="27"/>
        <v>0</v>
      </c>
      <c r="AB53">
        <f t="shared" si="28"/>
        <v>0</v>
      </c>
      <c r="AC53">
        <f t="shared" si="29"/>
        <v>0</v>
      </c>
      <c r="AD53">
        <f t="shared" si="30"/>
        <v>0</v>
      </c>
      <c r="AE53">
        <f t="shared" si="31"/>
        <v>20.25</v>
      </c>
      <c r="AF53">
        <f t="shared" si="32"/>
        <v>5.6535433070866139</v>
      </c>
      <c r="AG53">
        <f t="shared" si="33"/>
        <v>-0.85598443739121532</v>
      </c>
      <c r="AH53">
        <f t="shared" si="34"/>
        <v>-0.92295998941034185</v>
      </c>
      <c r="AI53">
        <f t="shared" si="35"/>
        <v>-0.90372398465688863</v>
      </c>
      <c r="AJ53">
        <f t="shared" si="36"/>
        <v>2.6374191408193726</v>
      </c>
      <c r="AK53">
        <f t="shared" si="37"/>
        <v>-4.4585615908135524E-3</v>
      </c>
      <c r="AL53">
        <f t="shared" si="38"/>
        <v>1.9618108757222016E-2</v>
      </c>
      <c r="AM53">
        <f t="shared" si="39"/>
        <v>-0.65953551170054336</v>
      </c>
      <c r="AN53">
        <f t="shared" si="40"/>
        <v>-0.54864038134085813</v>
      </c>
      <c r="AO53">
        <f t="shared" si="41"/>
        <v>1.2724769938650307</v>
      </c>
      <c r="AP53">
        <f t="shared" si="42"/>
        <v>0.39431965903808541</v>
      </c>
    </row>
    <row r="54" spans="1:42" x14ac:dyDescent="0.2">
      <c r="A54" t="s">
        <v>32</v>
      </c>
      <c r="B54" t="s">
        <v>3</v>
      </c>
      <c r="C54" t="s">
        <v>110</v>
      </c>
      <c r="D54" t="s">
        <v>112</v>
      </c>
      <c r="E54">
        <v>30</v>
      </c>
      <c r="F54" t="s">
        <v>8</v>
      </c>
      <c r="G54">
        <v>21.8</v>
      </c>
      <c r="H54">
        <v>1.3</v>
      </c>
      <c r="I54">
        <v>188</v>
      </c>
      <c r="J54">
        <v>13.5</v>
      </c>
      <c r="K54" s="2">
        <f>AVERAGEIFS('Individual data from NASA'!J:J, 'Individual data from NASA'!$C:$C, $F54, 'Individual data from NASA'!$B:$B, $B54, 'Individual data from NASA'!$K:$K, $L54) + 273.15</f>
        <v>295.01666666666665</v>
      </c>
      <c r="L54">
        <v>100</v>
      </c>
      <c r="M54">
        <f>0.894*60*60</f>
        <v>3218.4</v>
      </c>
      <c r="N54" s="3">
        <f>AVERAGEIFS('Individual data from NASA'!M:M, 'Individual data from NASA'!$C:$C, $F54, 'Individual data from NASA'!$B:$B, $B54, 'Individual data from NASA'!$K:$K, $L54)</f>
        <v>683333333333333.38</v>
      </c>
      <c r="O54" s="3">
        <f>AVERAGEIFS('Individual data from NASA'!N:N, 'Individual data from NASA'!$C:$C, $F54, 'Individual data from NASA'!$B:$B, $B54, 'Individual data from NASA'!$K:$K, $L54)</f>
        <v>879333333333333.38</v>
      </c>
      <c r="P54" s="3">
        <f>AVERAGEIFS('Individual data from NASA'!O:O, 'Individual data from NASA'!$C:$C, $F54, 'Individual data from NASA'!$B:$B, $B54, 'Individual data from NASA'!$K:$K, $L54)</f>
        <v>1563333333333333.2</v>
      </c>
      <c r="Q54" s="3">
        <f>AVERAGEIFS('Individual data from NASA'!P:P, 'Individual data from NASA'!$C:$C, $F54, 'Individual data from NASA'!$B:$B, $B54, 'Individual data from NASA'!$K:$K, $L54)</f>
        <v>131.33333333333334</v>
      </c>
      <c r="R54" s="3">
        <f>AVERAGEIFS('Individual data from NASA'!Q:Q, 'Individual data from NASA'!$C:$C, $F54, 'Individual data from NASA'!$B:$B, $B54, 'Individual data from NASA'!$K:$K, $L54)</f>
        <v>0.83000000000000007</v>
      </c>
      <c r="S54" s="3">
        <f>AVERAGEIFS('Individual data from NASA'!R:R, 'Individual data from NASA'!$C:$C, $F54, 'Individual data from NASA'!$B:$B, $B54, 'Individual data from NASA'!$K:$K, $L54)</f>
        <v>0.17</v>
      </c>
      <c r="T54" s="3">
        <f>AVERAGEIFS('Individual data from NASA'!S:S, 'Individual data from NASA'!$C:$C, $F54, 'Individual data from NASA'!$B:$B, $B54, 'Individual data from NASA'!$K:$K, $L54)</f>
        <v>39.368173364999997</v>
      </c>
      <c r="U54" s="3">
        <f>AVERAGEIFS('Individual data from NASA'!T:T, 'Individual data from NASA'!$C:$C, $F54, 'Individual data from NASA'!$B:$B, $B54, 'Individual data from NASA'!$K:$K, $L54)</f>
        <v>9.3041266339999993</v>
      </c>
      <c r="V54" s="3">
        <f>AVERAGEIFS('Individual data from NASA'!W:W, 'Individual data from NASA'!$C:$C, $F54, 'Individual data from NASA'!$B:$B, $B54, 'Individual data from NASA'!$K:$K, $L54)</f>
        <v>33.806399999999996</v>
      </c>
      <c r="W54" s="3">
        <f>AVERAGEIFS('Individual data from NASA'!U:U, 'Individual data from NASA'!$C:$C, $F54, 'Individual data from NASA'!$B:$B, $B54, 'Individual data from NASA'!$K:$K, $L54)</f>
        <v>30.300566666666668</v>
      </c>
      <c r="X54" cm="1">
        <f t="array" ref="X54">_xlfn.STDEV.S(
    _xlfn._xlws.FILTER(
        'Individual data from NASA'!M:M,
        ('Individual data from NASA'!$C:$C=$F54) *
        ('Individual data from NASA'!$B:$B=$B54) *
        ('Individual data from NASA'!$K:$K=$L54)
    )
)</f>
        <v>75115466671873.469</v>
      </c>
      <c r="Y54" cm="1">
        <f t="array" ref="Y54">_xlfn.STDEV.S(
    _xlfn._xlws.FILTER(
        'Individual data from NASA'!N:N,
        ('Individual data from NASA'!$C:$C=$F54) *
        ('Individual data from NASA'!$B:$B=$B54) *
        ('Individual data from NASA'!$K:$K=$L54)
    )
)</f>
        <v>279000597370925.72</v>
      </c>
      <c r="Z54" cm="1">
        <f t="array" ref="Z54">_xlfn.STDEV.S(
    _xlfn._xlws.FILTER(
        'Individual data from NASA'!O:O,
        ('Individual data from NASA'!$C:$C=$F54) *
        ('Individual data from NASA'!$B:$B=$B54) *
        ('Individual data from NASA'!$K:$K=$L54)
    )
)</f>
        <v>317857410379770.62</v>
      </c>
      <c r="AA54">
        <f t="shared" si="27"/>
        <v>0</v>
      </c>
      <c r="AB54">
        <f t="shared" si="28"/>
        <v>0</v>
      </c>
      <c r="AC54">
        <f t="shared" si="29"/>
        <v>0</v>
      </c>
      <c r="AD54">
        <f t="shared" si="30"/>
        <v>0</v>
      </c>
      <c r="AE54">
        <f t="shared" si="31"/>
        <v>24</v>
      </c>
      <c r="AF54">
        <f t="shared" si="32"/>
        <v>6.0393700787401583</v>
      </c>
      <c r="AG54">
        <f t="shared" si="33"/>
        <v>-0.81809494556499773</v>
      </c>
      <c r="AH54">
        <f t="shared" si="34"/>
        <v>-0.94809818239899146</v>
      </c>
      <c r="AI54">
        <f t="shared" si="35"/>
        <v>-0.91837089896440693</v>
      </c>
      <c r="AJ54">
        <f t="shared" si="36"/>
        <v>5.5350804445181625</v>
      </c>
      <c r="AK54">
        <f t="shared" si="37"/>
        <v>1.8632154412585214E-2</v>
      </c>
      <c r="AL54">
        <f t="shared" si="38"/>
        <v>-8.1983308787432652E-2</v>
      </c>
      <c r="AM54">
        <f t="shared" si="39"/>
        <v>-0.45517189351805581</v>
      </c>
      <c r="AN54">
        <f t="shared" si="40"/>
        <v>-0.34823161418540505</v>
      </c>
      <c r="AO54">
        <f t="shared" si="41"/>
        <v>1.5925153374233125</v>
      </c>
      <c r="AP54">
        <f t="shared" si="42"/>
        <v>1.0140069458676522</v>
      </c>
    </row>
    <row r="55" spans="1:42" x14ac:dyDescent="0.2">
      <c r="A55" t="s">
        <v>32</v>
      </c>
      <c r="B55" t="s">
        <v>3</v>
      </c>
      <c r="C55" t="s">
        <v>110</v>
      </c>
      <c r="D55" t="s">
        <v>112</v>
      </c>
      <c r="E55">
        <v>30</v>
      </c>
      <c r="F55" t="s">
        <v>15</v>
      </c>
      <c r="G55">
        <v>0.4</v>
      </c>
      <c r="H55">
        <v>0</v>
      </c>
      <c r="I55">
        <v>6</v>
      </c>
      <c r="J55">
        <v>15.3</v>
      </c>
      <c r="K55" s="2">
        <f>AVERAGEIFS('Individual data from NASA'!J:J, 'Individual data from NASA'!$C:$C, $F55, 'Individual data from NASA'!$B:$B, $B55, 'Individual data from NASA'!$K:$K, $L55) + 273.15</f>
        <v>289.46666666666664</v>
      </c>
      <c r="L55">
        <v>4</v>
      </c>
      <c r="M55">
        <f>0.127*60*60</f>
        <v>457.2</v>
      </c>
      <c r="N55" s="3">
        <f>AVERAGEIFS('Individual data from NASA'!M:M, 'Individual data from NASA'!$C:$C, $F55, 'Individual data from NASA'!$B:$B, $B55, 'Individual data from NASA'!$K:$K, $L55)</f>
        <v>92816666666666.672</v>
      </c>
      <c r="O55" s="3">
        <f>AVERAGEIFS('Individual data from NASA'!N:N, 'Individual data from NASA'!$C:$C, $F55, 'Individual data from NASA'!$B:$B, $B55, 'Individual data from NASA'!$K:$K, $L55)</f>
        <v>5105000000000000</v>
      </c>
      <c r="P55" s="3">
        <f>AVERAGEIFS('Individual data from NASA'!O:O, 'Individual data from NASA'!$C:$C, $F55, 'Individual data from NASA'!$B:$B, $B55, 'Individual data from NASA'!$K:$K, $L55)</f>
        <v>5198333333333333</v>
      </c>
      <c r="Q55" s="3">
        <f>AVERAGEIFS('Individual data from NASA'!P:P, 'Individual data from NASA'!$C:$C, $F55, 'Individual data from NASA'!$B:$B, $B55, 'Individual data from NASA'!$K:$K, $L55)</f>
        <v>5.2766666666666664</v>
      </c>
      <c r="R55" s="3">
        <f>AVERAGEIFS('Individual data from NASA'!Q:Q, 'Individual data from NASA'!$C:$C, $F55, 'Individual data from NASA'!$B:$B, $B55, 'Individual data from NASA'!$K:$K, $L55)</f>
        <v>0.67279999999999995</v>
      </c>
      <c r="S55" s="3">
        <f>AVERAGEIFS('Individual data from NASA'!R:R, 'Individual data from NASA'!$C:$C, $F55, 'Individual data from NASA'!$B:$B, $B55, 'Individual data from NASA'!$K:$K, $L55)</f>
        <v>0.32719999999999994</v>
      </c>
      <c r="T55" s="3">
        <f>AVERAGEIFS('Individual data from NASA'!S:S, 'Individual data from NASA'!$C:$C, $F55, 'Individual data from NASA'!$B:$B, $B55, 'Individual data from NASA'!$K:$K, $L55)</f>
        <v>5.9609666672000001</v>
      </c>
      <c r="U55" s="3">
        <f>AVERAGEIFS('Individual data from NASA'!T:T, 'Individual data from NASA'!$C:$C, $F55, 'Individual data from NASA'!$B:$B, $B55, 'Individual data from NASA'!$K:$K, $L55)</f>
        <v>3.0233368528</v>
      </c>
      <c r="V55" s="3">
        <f>AVERAGEIFS('Individual data from NASA'!W:W, 'Individual data from NASA'!$C:$C, $F55, 'Individual data from NASA'!$B:$B, $B55, 'Individual data from NASA'!$K:$K, $L55)</f>
        <v>15.200000000000001</v>
      </c>
      <c r="W55" s="3">
        <f>AVERAGEIFS('Individual data from NASA'!U:U, 'Individual data from NASA'!$C:$C, $F55, 'Individual data from NASA'!$B:$B, $B55, 'Individual data from NASA'!$K:$K, $L55)</f>
        <v>10.621826666666665</v>
      </c>
      <c r="X55" cm="1">
        <f t="array" ref="X55">_xlfn.STDEV.S(
    _xlfn._xlws.FILTER(
        'Individual data from NASA'!M:M,
        ('Individual data from NASA'!$C:$C=$F55) *
        ('Individual data from NASA'!$B:$B=$B55) *
        ('Individual data from NASA'!$K:$K=$L55)
    )
)</f>
        <v>108383419703692.08</v>
      </c>
      <c r="Y55" cm="1">
        <f t="array" ref="Y55">_xlfn.STDEV.S(
    _xlfn._xlws.FILTER(
        'Individual data from NASA'!N:N,
        ('Individual data from NASA'!$C:$C=$F55) *
        ('Individual data from NASA'!$B:$B=$B55) *
        ('Individual data from NASA'!$K:$K=$L55)
    )
)</f>
        <v>2061967507018477.8</v>
      </c>
      <c r="Z55" cm="1">
        <f t="array" ref="Z55">_xlfn.STDEV.S(
    _xlfn._xlws.FILTER(
        'Individual data from NASA'!O:O,
        ('Individual data from NASA'!$C:$C=$F55) *
        ('Individual data from NASA'!$B:$B=$B55) *
        ('Individual data from NASA'!$K:$K=$L55)
    )
)</f>
        <v>2145109942792366</v>
      </c>
      <c r="AA55">
        <f t="shared" si="27"/>
        <v>-0.9816513761467891</v>
      </c>
      <c r="AB55">
        <f t="shared" si="28"/>
        <v>-1</v>
      </c>
      <c r="AC55">
        <f t="shared" si="29"/>
        <v>-0.96808510638297873</v>
      </c>
      <c r="AD55">
        <f t="shared" si="30"/>
        <v>0.13333333333333339</v>
      </c>
      <c r="AE55">
        <f t="shared" si="31"/>
        <v>0</v>
      </c>
      <c r="AF55">
        <f t="shared" si="32"/>
        <v>0</v>
      </c>
      <c r="AG55">
        <f t="shared" si="33"/>
        <v>-0.97529196955735309</v>
      </c>
      <c r="AH55">
        <f t="shared" si="34"/>
        <v>-0.69868220752105947</v>
      </c>
      <c r="AI55">
        <f t="shared" si="35"/>
        <v>-0.72857018536245766</v>
      </c>
      <c r="AJ55">
        <f t="shared" si="36"/>
        <v>-0.73743572731796314</v>
      </c>
      <c r="AK55">
        <f t="shared" si="37"/>
        <v>-0.17429432109784671</v>
      </c>
      <c r="AL55">
        <f t="shared" si="38"/>
        <v>0.76691212567501155</v>
      </c>
      <c r="AM55">
        <f t="shared" si="39"/>
        <v>-0.91750437207279967</v>
      </c>
      <c r="AN55">
        <f t="shared" si="40"/>
        <v>-0.78821060182882785</v>
      </c>
      <c r="AO55">
        <f t="shared" si="41"/>
        <v>0.16564417177914109</v>
      </c>
      <c r="AP55">
        <f t="shared" si="42"/>
        <v>-0.29399232298838479</v>
      </c>
    </row>
    <row r="56" spans="1:42" x14ac:dyDescent="0.2">
      <c r="A56" t="s">
        <v>32</v>
      </c>
      <c r="B56" t="s">
        <v>3</v>
      </c>
      <c r="C56" t="s">
        <v>110</v>
      </c>
      <c r="D56" t="s">
        <v>112</v>
      </c>
      <c r="E56">
        <v>30</v>
      </c>
      <c r="F56" t="s">
        <v>15</v>
      </c>
      <c r="G56">
        <v>0.4</v>
      </c>
      <c r="H56">
        <v>0</v>
      </c>
      <c r="I56">
        <v>6</v>
      </c>
      <c r="J56">
        <v>15.3</v>
      </c>
      <c r="K56" s="2">
        <f>AVERAGEIFS('Individual data from NASA'!J:J, 'Individual data from NASA'!$C:$C, $F56, 'Individual data from NASA'!$B:$B, $B56, 'Individual data from NASA'!$K:$K, $L56) + 273.15</f>
        <v>289.95</v>
      </c>
      <c r="L56">
        <v>7</v>
      </c>
      <c r="M56">
        <f>0.15586*60*60</f>
        <v>561.096</v>
      </c>
      <c r="N56" s="3">
        <f>AVERAGEIFS('Individual data from NASA'!M:M, 'Individual data from NASA'!$C:$C, $F56, 'Individual data from NASA'!$B:$B, $B56, 'Individual data from NASA'!$K:$K, $L56)</f>
        <v>84900000000000</v>
      </c>
      <c r="O56" s="3">
        <f>AVERAGEIFS('Individual data from NASA'!N:N, 'Individual data from NASA'!$C:$C, $F56, 'Individual data from NASA'!$B:$B, $B56, 'Individual data from NASA'!$K:$K, $L56)</f>
        <v>4415555555555555.5</v>
      </c>
      <c r="P56" s="3">
        <f>AVERAGEIFS('Individual data from NASA'!O:O, 'Individual data from NASA'!$C:$C, $F56, 'Individual data from NASA'!$B:$B, $B56, 'Individual data from NASA'!$K:$K, $L56)</f>
        <v>4500000000000000</v>
      </c>
      <c r="Q56" s="3">
        <f>AVERAGEIFS('Individual data from NASA'!P:P, 'Individual data from NASA'!$C:$C, $F56, 'Individual data from NASA'!$B:$B, $B56, 'Individual data from NASA'!$K:$K, $L56)</f>
        <v>4.84</v>
      </c>
      <c r="R56" s="3">
        <f>AVERAGEIFS('Individual data from NASA'!Q:Q, 'Individual data from NASA'!$C:$C, $F56, 'Individual data from NASA'!$B:$B, $B56, 'Individual data from NASA'!$K:$K, $L56)</f>
        <v>0.68466666666666665</v>
      </c>
      <c r="S56" s="3">
        <f>AVERAGEIFS('Individual data from NASA'!R:R, 'Individual data from NASA'!$C:$C, $F56, 'Individual data from NASA'!$B:$B, $B56, 'Individual data from NASA'!$K:$K, $L56)</f>
        <v>0.31533333333333335</v>
      </c>
      <c r="T56" s="3">
        <f>AVERAGEIFS('Individual data from NASA'!S:S, 'Individual data from NASA'!$C:$C, $F56, 'Individual data from NASA'!$B:$B, $B56, 'Individual data from NASA'!$K:$K, $L56)</f>
        <v>9.7350480727500006</v>
      </c>
      <c r="U56" s="3">
        <f>AVERAGEIFS('Individual data from NASA'!T:T, 'Individual data from NASA'!$C:$C, $F56, 'Individual data from NASA'!$B:$B, $B56, 'Individual data from NASA'!$K:$K, $L56)</f>
        <v>3.9476126278750003</v>
      </c>
      <c r="V56" s="3">
        <f>AVERAGEIFS('Individual data from NASA'!W:W, 'Individual data from NASA'!$C:$C, $F56, 'Individual data from NASA'!$B:$B, $B56, 'Individual data from NASA'!$K:$K, $L56)</f>
        <v>16.6677</v>
      </c>
      <c r="W56" s="3">
        <f>AVERAGEIFS('Individual data from NASA'!U:U, 'Individual data from NASA'!$C:$C, $F56, 'Individual data from NASA'!$B:$B, $B56, 'Individual data from NASA'!$K:$K, $L56)</f>
        <v>10.979972500000001</v>
      </c>
      <c r="X56" cm="1">
        <f t="array" ref="X56">_xlfn.STDEV.S(
    _xlfn._xlws.FILTER(
        'Individual data from NASA'!M:M,
        ('Individual data from NASA'!$C:$C=$F56) *
        ('Individual data from NASA'!$B:$B=$B56) *
        ('Individual data from NASA'!$K:$K=$L56)
    )
)</f>
        <v>114767569461063.31</v>
      </c>
      <c r="Y56" cm="1">
        <f t="array" ref="Y56">_xlfn.STDEV.S(
    _xlfn._xlws.FILTER(
        'Individual data from NASA'!N:N,
        ('Individual data from NASA'!$C:$C=$F56) *
        ('Individual data from NASA'!$B:$B=$B56) *
        ('Individual data from NASA'!$K:$K=$L56)
    )
)</f>
        <v>2695111830291606.5</v>
      </c>
      <c r="Z56" cm="1">
        <f t="array" ref="Z56">_xlfn.STDEV.S(
    _xlfn._xlws.FILTER(
        'Individual data from NASA'!O:O,
        ('Individual data from NASA'!$C:$C=$F56) *
        ('Individual data from NASA'!$B:$B=$B56) *
        ('Individual data from NASA'!$K:$K=$L56)
    )
)</f>
        <v>2792503357204784.5</v>
      </c>
      <c r="AA56">
        <f t="shared" si="27"/>
        <v>-0.9816513761467891</v>
      </c>
      <c r="AB56">
        <f t="shared" si="28"/>
        <v>-1</v>
      </c>
      <c r="AC56">
        <f t="shared" si="29"/>
        <v>-0.96808510638297873</v>
      </c>
      <c r="AD56">
        <f t="shared" si="30"/>
        <v>0.13333333333333339</v>
      </c>
      <c r="AE56">
        <f t="shared" si="31"/>
        <v>0.75</v>
      </c>
      <c r="AF56">
        <f t="shared" si="32"/>
        <v>0.22724409448818902</v>
      </c>
      <c r="AG56">
        <f t="shared" si="33"/>
        <v>-0.97739940616361221</v>
      </c>
      <c r="AH56">
        <f t="shared" si="34"/>
        <v>-0.73937601320898694</v>
      </c>
      <c r="AI56">
        <f t="shared" si="35"/>
        <v>-0.76503350448176832</v>
      </c>
      <c r="AJ56">
        <f t="shared" si="36"/>
        <v>-0.75916404047105657</v>
      </c>
      <c r="AK56">
        <f t="shared" si="37"/>
        <v>-0.15973074491427719</v>
      </c>
      <c r="AL56">
        <f t="shared" si="38"/>
        <v>0.70283096056291905</v>
      </c>
      <c r="AM56">
        <f t="shared" si="39"/>
        <v>-0.86527371339249115</v>
      </c>
      <c r="AN56">
        <f t="shared" si="40"/>
        <v>-0.72346366171660159</v>
      </c>
      <c r="AO56">
        <f t="shared" si="41"/>
        <v>0.27819785276073611</v>
      </c>
      <c r="AP56">
        <f t="shared" si="42"/>
        <v>-0.27018721716637395</v>
      </c>
    </row>
    <row r="57" spans="1:42" x14ac:dyDescent="0.2">
      <c r="A57" t="s">
        <v>32</v>
      </c>
      <c r="B57" t="s">
        <v>3</v>
      </c>
      <c r="C57" t="s">
        <v>110</v>
      </c>
      <c r="D57" t="s">
        <v>112</v>
      </c>
      <c r="E57">
        <v>30</v>
      </c>
      <c r="F57" t="s">
        <v>15</v>
      </c>
      <c r="G57">
        <v>0.4</v>
      </c>
      <c r="H57">
        <v>0</v>
      </c>
      <c r="I57">
        <v>6</v>
      </c>
      <c r="J57">
        <v>15.3</v>
      </c>
      <c r="K57" s="2">
        <f>AVERAGEIFS('Individual data from NASA'!J:J, 'Individual data from NASA'!$C:$C, $F57, 'Individual data from NASA'!$B:$B, $B57, 'Individual data from NASA'!$K:$K, $L57) + 273.15</f>
        <v>290.45</v>
      </c>
      <c r="L57">
        <v>30</v>
      </c>
      <c r="M57">
        <f>0.342*60*60</f>
        <v>1231.2000000000003</v>
      </c>
      <c r="N57" s="3">
        <f>AVERAGEIFS('Individual data from NASA'!M:M, 'Individual data from NASA'!$C:$C, $F57, 'Individual data from NASA'!$B:$B, $B57, 'Individual data from NASA'!$K:$K, $L57)</f>
        <v>15883333333333.334</v>
      </c>
      <c r="O57" s="3">
        <f>AVERAGEIFS('Individual data from NASA'!N:N, 'Individual data from NASA'!$C:$C, $F57, 'Individual data from NASA'!$B:$B, $B57, 'Individual data from NASA'!$K:$K, $L57)</f>
        <v>851500000000000</v>
      </c>
      <c r="P57" s="3">
        <f>AVERAGEIFS('Individual data from NASA'!O:O, 'Individual data from NASA'!$C:$C, $F57, 'Individual data from NASA'!$B:$B, $B57, 'Individual data from NASA'!$K:$K, $L57)</f>
        <v>867333333333333.38</v>
      </c>
      <c r="Q57" s="3">
        <f>AVERAGEIFS('Individual data from NASA'!P:P, 'Individual data from NASA'!$C:$C, $F57, 'Individual data from NASA'!$B:$B, $B57, 'Individual data from NASA'!$K:$K, $L57)</f>
        <v>3.7943333333333329</v>
      </c>
      <c r="R57" s="3">
        <f>AVERAGEIFS('Individual data from NASA'!Q:Q, 'Individual data from NASA'!$C:$C, $F57, 'Individual data from NASA'!$B:$B, $B57, 'Individual data from NASA'!$K:$K, $L57)</f>
        <v>0.69833333333333336</v>
      </c>
      <c r="S57" s="3">
        <f>AVERAGEIFS('Individual data from NASA'!R:R, 'Individual data from NASA'!$C:$C, $F57, 'Individual data from NASA'!$B:$B, $B57, 'Individual data from NASA'!$K:$K, $L57)</f>
        <v>0.30166666666666669</v>
      </c>
      <c r="T57" s="3">
        <f>AVERAGEIFS('Individual data from NASA'!S:S, 'Individual data from NASA'!$C:$C, $F57, 'Individual data from NASA'!$B:$B, $B57, 'Individual data from NASA'!$K:$K, $L57)</f>
        <v>1.3525821604999999</v>
      </c>
      <c r="U57" s="3">
        <f>AVERAGEIFS('Individual data from NASA'!T:T, 'Individual data from NASA'!$C:$C, $F57, 'Individual data from NASA'!$B:$B, $B57, 'Individual data from NASA'!$K:$K, $L57)</f>
        <v>0.58774703949999996</v>
      </c>
      <c r="V57" s="3">
        <f>AVERAGEIFS('Individual data from NASA'!W:W, 'Individual data from NASA'!$C:$C, $F57, 'Individual data from NASA'!$B:$B, $B57, 'Individual data from NASA'!$K:$K, $L57)</f>
        <v>17.072533333333332</v>
      </c>
      <c r="W57" s="3">
        <f>AVERAGEIFS('Individual data from NASA'!U:U, 'Individual data from NASA'!$C:$C, $F57, 'Individual data from NASA'!$B:$B, $B57, 'Individual data from NASA'!$K:$K, $L57)</f>
        <v>12.506616666666668</v>
      </c>
      <c r="X57" cm="1">
        <f t="array" ref="X57">_xlfn.STDEV.S(
    _xlfn._xlws.FILTER(
        'Individual data from NASA'!M:M,
        ('Individual data from NASA'!$C:$C=$F57) *
        ('Individual data from NASA'!$B:$B=$B57) *
        ('Individual data from NASA'!$K:$K=$L57)
    )
)</f>
        <v>5521382677071.6289</v>
      </c>
      <c r="Y57" cm="1">
        <f t="array" ref="Y57">_xlfn.STDEV.S(
    _xlfn._xlws.FILTER(
        'Individual data from NASA'!N:N,
        ('Individual data from NASA'!$C:$C=$F57) *
        ('Individual data from NASA'!$B:$B=$B57) *
        ('Individual data from NASA'!$K:$K=$L57)
    )
)</f>
        <v>573138639423307.12</v>
      </c>
      <c r="Z57" cm="1">
        <f t="array" ref="Z57">_xlfn.STDEV.S(
    _xlfn._xlws.FILTER(
        'Individual data from NASA'!O:O,
        ('Individual data from NASA'!$C:$C=$F57) *
        ('Individual data from NASA'!$B:$B=$B57) *
        ('Individual data from NASA'!$K:$K=$L57)
    )
)</f>
        <v>577910604390217.5</v>
      </c>
      <c r="AA57">
        <f t="shared" si="27"/>
        <v>-0.9816513761467891</v>
      </c>
      <c r="AB57">
        <f t="shared" si="28"/>
        <v>-1</v>
      </c>
      <c r="AC57">
        <f t="shared" si="29"/>
        <v>-0.96808510638297873</v>
      </c>
      <c r="AD57">
        <f t="shared" si="30"/>
        <v>0.13333333333333339</v>
      </c>
      <c r="AE57">
        <f t="shared" si="31"/>
        <v>6.5</v>
      </c>
      <c r="AF57">
        <f t="shared" si="32"/>
        <v>1.6929133858267722</v>
      </c>
      <c r="AG57">
        <f t="shared" si="33"/>
        <v>-0.99577181666154735</v>
      </c>
      <c r="AH57">
        <f t="shared" si="34"/>
        <v>-0.94974101855125992</v>
      </c>
      <c r="AI57">
        <f t="shared" si="35"/>
        <v>-0.95471238360456012</v>
      </c>
      <c r="AJ57">
        <f t="shared" si="36"/>
        <v>-0.81119588654834962</v>
      </c>
      <c r="AK57">
        <f t="shared" si="37"/>
        <v>-0.14295808695005385</v>
      </c>
      <c r="AL57">
        <f t="shared" si="38"/>
        <v>0.62902961872034013</v>
      </c>
      <c r="AM57">
        <f t="shared" si="39"/>
        <v>-0.98128120473017344</v>
      </c>
      <c r="AN57">
        <f t="shared" si="40"/>
        <v>-0.95882741558972828</v>
      </c>
      <c r="AO57">
        <f t="shared" si="41"/>
        <v>0.30924335378323092</v>
      </c>
      <c r="AP57">
        <f t="shared" si="42"/>
        <v>-0.16871479292562813</v>
      </c>
    </row>
    <row r="58" spans="1:42" x14ac:dyDescent="0.2">
      <c r="A58" t="s">
        <v>32</v>
      </c>
      <c r="B58" t="s">
        <v>3</v>
      </c>
      <c r="C58" t="s">
        <v>110</v>
      </c>
      <c r="D58" t="s">
        <v>112</v>
      </c>
      <c r="E58">
        <v>30</v>
      </c>
      <c r="F58" t="s">
        <v>15</v>
      </c>
      <c r="G58">
        <v>0.4</v>
      </c>
      <c r="H58">
        <v>0</v>
      </c>
      <c r="I58">
        <v>6</v>
      </c>
      <c r="J58">
        <v>15.3</v>
      </c>
      <c r="K58" s="2">
        <f>AVERAGEIFS('Individual data from NASA'!J:J, 'Individual data from NASA'!$C:$C, $F58, 'Individual data from NASA'!$B:$B, $B58, 'Individual data from NASA'!$K:$K, $L58) + 273.15</f>
        <v>290.09999999999997</v>
      </c>
      <c r="L58">
        <v>65</v>
      </c>
      <c r="M58">
        <f>0.602*60*60</f>
        <v>2167.1999999999998</v>
      </c>
      <c r="N58" s="3">
        <f>AVERAGEIFS('Individual data from NASA'!M:M, 'Individual data from NASA'!$C:$C, $F58, 'Individual data from NASA'!$B:$B, $B58, 'Individual data from NASA'!$K:$K, $L58)</f>
        <v>74616666666666.672</v>
      </c>
      <c r="O58" s="3">
        <f>AVERAGEIFS('Individual data from NASA'!N:N, 'Individual data from NASA'!$C:$C, $F58, 'Individual data from NASA'!$B:$B, $B58, 'Individual data from NASA'!$K:$K, $L58)</f>
        <v>450750000000000</v>
      </c>
      <c r="P58" s="3">
        <f>AVERAGEIFS('Individual data from NASA'!O:O, 'Individual data from NASA'!$C:$C, $F58, 'Individual data from NASA'!$B:$B, $B58, 'Individual data from NASA'!$K:$K, $L58)</f>
        <v>524166666666666.69</v>
      </c>
      <c r="Q58" s="3">
        <f>AVERAGEIFS('Individual data from NASA'!P:P, 'Individual data from NASA'!$C:$C, $F58, 'Individual data from NASA'!$B:$B, $B58, 'Individual data from NASA'!$K:$K, $L58)</f>
        <v>3.1100000000000008</v>
      </c>
      <c r="R58" s="3">
        <f>AVERAGEIFS('Individual data from NASA'!Q:Q, 'Individual data from NASA'!$C:$C, $F58, 'Individual data from NASA'!$B:$B, $B58, 'Individual data from NASA'!$K:$K, $L58)</f>
        <v>0.72599999999999998</v>
      </c>
      <c r="S58" s="3">
        <f>AVERAGEIFS('Individual data from NASA'!R:R, 'Individual data from NASA'!$C:$C, $F58, 'Individual data from NASA'!$B:$B, $B58, 'Individual data from NASA'!$K:$K, $L58)</f>
        <v>0.27399999999999997</v>
      </c>
      <c r="T58" s="3">
        <f>AVERAGEIFS('Individual data from NASA'!S:S, 'Individual data from NASA'!$C:$C, $F58, 'Individual data from NASA'!$B:$B, $B58, 'Individual data from NASA'!$K:$K, $L58)</f>
        <v>1.7239080428333333</v>
      </c>
      <c r="U58" s="3">
        <f>AVERAGEIFS('Individual data from NASA'!T:T, 'Individual data from NASA'!$C:$C, $F58, 'Individual data from NASA'!$B:$B, $B58, 'Individual data from NASA'!$K:$K, $L58)</f>
        <v>0.65636895716666677</v>
      </c>
      <c r="V58" s="3">
        <f>AVERAGEIFS('Individual data from NASA'!W:W, 'Individual data from NASA'!$C:$C, $F58, 'Individual data from NASA'!$B:$B, $B58, 'Individual data from NASA'!$K:$K, $L58)</f>
        <v>19.91865</v>
      </c>
      <c r="W58" s="3">
        <f>AVERAGEIFS('Individual data from NASA'!U:U, 'Individual data from NASA'!$C:$C, $F58, 'Individual data from NASA'!$B:$B, $B58, 'Individual data from NASA'!$K:$K, $L58)</f>
        <v>16.118783333333333</v>
      </c>
      <c r="X58" cm="1">
        <f t="array" ref="X58">_xlfn.STDEV.S(
    _xlfn._xlws.FILTER(
        'Individual data from NASA'!M:M,
        ('Individual data from NASA'!$C:$C=$F58) *
        ('Individual data from NASA'!$B:$B=$B58) *
        ('Individual data from NASA'!$K:$K=$L58)
    )
)</f>
        <v>15099061781007.016</v>
      </c>
      <c r="Y58" cm="1">
        <f t="array" ref="Y58">_xlfn.STDEV.S(
    _xlfn._xlws.FILTER(
        'Individual data from NASA'!N:N,
        ('Individual data from NASA'!$C:$C=$F58) *
        ('Individual data from NASA'!$B:$B=$B58) *
        ('Individual data from NASA'!$K:$K=$L58)
    )
)</f>
        <v>430204917452136.94</v>
      </c>
      <c r="Z58" cm="1">
        <f t="array" ref="Z58">_xlfn.STDEV.S(
    _xlfn._xlws.FILTER(
        'Individual data from NASA'!O:O,
        ('Individual data from NASA'!$C:$C=$F58) *
        ('Individual data from NASA'!$B:$B=$B58) *
        ('Individual data from NASA'!$K:$K=$L58)
    )
)</f>
        <v>435818501978365.5</v>
      </c>
      <c r="AA58">
        <f t="shared" si="27"/>
        <v>-0.9816513761467891</v>
      </c>
      <c r="AB58">
        <f t="shared" si="28"/>
        <v>-1</v>
      </c>
      <c r="AC58">
        <f t="shared" si="29"/>
        <v>-0.96808510638297873</v>
      </c>
      <c r="AD58">
        <f t="shared" si="30"/>
        <v>0.13333333333333339</v>
      </c>
      <c r="AE58">
        <f t="shared" si="31"/>
        <v>15.25</v>
      </c>
      <c r="AF58">
        <f t="shared" si="32"/>
        <v>3.7401574803149602</v>
      </c>
      <c r="AG58">
        <f t="shared" si="33"/>
        <v>-0.98013685539742679</v>
      </c>
      <c r="AH58">
        <f t="shared" si="34"/>
        <v>-0.97339490794125716</v>
      </c>
      <c r="AI58">
        <f t="shared" si="35"/>
        <v>-0.97263075450352443</v>
      </c>
      <c r="AJ58">
        <f t="shared" si="36"/>
        <v>-0.84524796815392278</v>
      </c>
      <c r="AK58">
        <f t="shared" si="37"/>
        <v>-0.10900368180296774</v>
      </c>
      <c r="AL58">
        <f t="shared" si="38"/>
        <v>0.47962690230731414</v>
      </c>
      <c r="AM58">
        <f t="shared" si="39"/>
        <v>-0.97614231308072585</v>
      </c>
      <c r="AN58">
        <f t="shared" si="40"/>
        <v>-0.95402034467716523</v>
      </c>
      <c r="AO58">
        <f t="shared" si="41"/>
        <v>0.52750383435582804</v>
      </c>
      <c r="AP58">
        <f t="shared" si="42"/>
        <v>7.1377375525509781E-2</v>
      </c>
    </row>
    <row r="59" spans="1:42" x14ac:dyDescent="0.2">
      <c r="A59" t="s">
        <v>32</v>
      </c>
      <c r="B59" t="s">
        <v>3</v>
      </c>
      <c r="C59" t="s">
        <v>110</v>
      </c>
      <c r="D59" t="s">
        <v>112</v>
      </c>
      <c r="E59">
        <v>30</v>
      </c>
      <c r="F59" t="s">
        <v>15</v>
      </c>
      <c r="G59">
        <v>0.4</v>
      </c>
      <c r="H59">
        <v>0</v>
      </c>
      <c r="I59">
        <v>6</v>
      </c>
      <c r="J59">
        <v>15.3</v>
      </c>
      <c r="K59" s="2">
        <f>AVERAGEIFS('Individual data from NASA'!J:J, 'Individual data from NASA'!$C:$C, $F59, 'Individual data from NASA'!$B:$B, $B59, 'Individual data from NASA'!$K:$K, $L59) + 273.15</f>
        <v>290.31666666666666</v>
      </c>
      <c r="L59">
        <v>85</v>
      </c>
      <c r="M59">
        <f>0.845*60*60</f>
        <v>3041.9999999999995</v>
      </c>
      <c r="N59" s="3">
        <f>AVERAGEIFS('Individual data from NASA'!M:M, 'Individual data from NASA'!$C:$C, $F59, 'Individual data from NASA'!$B:$B, $B59, 'Individual data from NASA'!$K:$K, $L59)</f>
        <v>218833333333333.34</v>
      </c>
      <c r="O59" s="3">
        <f>AVERAGEIFS('Individual data from NASA'!N:N, 'Individual data from NASA'!$C:$C, $F59, 'Individual data from NASA'!$B:$B, $B59, 'Individual data from NASA'!$K:$K, $L59)</f>
        <v>372000000000000</v>
      </c>
      <c r="P59" s="3">
        <f>AVERAGEIFS('Individual data from NASA'!O:O, 'Individual data from NASA'!$C:$C, $F59, 'Individual data from NASA'!$B:$B, $B59, 'Individual data from NASA'!$K:$K, $L59)</f>
        <v>590666666666666.62</v>
      </c>
      <c r="Q59" s="3">
        <f>AVERAGEIFS('Individual data from NASA'!P:P, 'Individual data from NASA'!$C:$C, $F59, 'Individual data from NASA'!$B:$B, $B59, 'Individual data from NASA'!$K:$K, $L59)</f>
        <v>14.433333333333335</v>
      </c>
      <c r="R59" s="3">
        <f>AVERAGEIFS('Individual data from NASA'!Q:Q, 'Individual data from NASA'!$C:$C, $F59, 'Individual data from NASA'!$B:$B, $B59, 'Individual data from NASA'!$K:$K, $L59)</f>
        <v>0.76326874849999993</v>
      </c>
      <c r="S59" s="3">
        <f>AVERAGEIFS('Individual data from NASA'!R:R, 'Individual data from NASA'!$C:$C, $F59, 'Individual data from NASA'!$B:$B, $B59, 'Individual data from NASA'!$K:$K, $L59)</f>
        <v>0.23673125149999996</v>
      </c>
      <c r="T59" s="3">
        <f>AVERAGEIFS('Individual data from NASA'!S:S, 'Individual data from NASA'!$C:$C, $F59, 'Individual data from NASA'!$B:$B, $B59, 'Individual data from NASA'!$K:$K, $L59)</f>
        <v>3.3489271638333329</v>
      </c>
      <c r="U59" s="3">
        <f>AVERAGEIFS('Individual data from NASA'!T:T, 'Individual data from NASA'!$C:$C, $F59, 'Individual data from NASA'!$B:$B, $B59, 'Individual data from NASA'!$K:$K, $L59)</f>
        <v>1.0593988361666666</v>
      </c>
      <c r="V59" s="3">
        <f>AVERAGEIFS('Individual data from NASA'!W:W, 'Individual data from NASA'!$C:$C, $F59, 'Individual data from NASA'!$B:$B, $B59, 'Individual data from NASA'!$K:$K, $L59)</f>
        <v>24.670199999999998</v>
      </c>
      <c r="W59" s="3">
        <f>AVERAGEIFS('Individual data from NASA'!U:U, 'Individual data from NASA'!$C:$C, $F59, 'Individual data from NASA'!$B:$B, $B59, 'Individual data from NASA'!$K:$K, $L59)</f>
        <v>22.416216666666671</v>
      </c>
      <c r="X59" cm="1">
        <f t="array" ref="X59">_xlfn.STDEV.S(
    _xlfn._xlws.FILTER(
        'Individual data from NASA'!M:M,
        ('Individual data from NASA'!$C:$C=$F59) *
        ('Individual data from NASA'!$B:$B=$B59) *
        ('Individual data from NASA'!$K:$K=$L59)
    )
)</f>
        <v>16521702898510.998</v>
      </c>
      <c r="Y59" cm="1">
        <f t="array" ref="Y59">_xlfn.STDEV.S(
    _xlfn._xlws.FILTER(
        'Individual data from NASA'!N:N,
        ('Individual data from NASA'!$C:$C=$F59) *
        ('Individual data from NASA'!$B:$B=$B59) *
        ('Individual data from NASA'!$K:$K=$L59)
    )
)</f>
        <v>165703349392823.03</v>
      </c>
      <c r="Z59" cm="1">
        <f t="array" ref="Z59">_xlfn.STDEV.S(
    _xlfn._xlws.FILTER(
        'Individual data from NASA'!O:O,
        ('Individual data from NASA'!$C:$C=$F59) *
        ('Individual data from NASA'!$B:$B=$B59) *
        ('Individual data from NASA'!$K:$K=$L59)
    )
)</f>
        <v>179681570192011.19</v>
      </c>
      <c r="AA59">
        <f t="shared" si="27"/>
        <v>-0.9816513761467891</v>
      </c>
      <c r="AB59">
        <f t="shared" si="28"/>
        <v>-1</v>
      </c>
      <c r="AC59">
        <f t="shared" si="29"/>
        <v>-0.96808510638297873</v>
      </c>
      <c r="AD59">
        <f t="shared" si="30"/>
        <v>0.13333333333333339</v>
      </c>
      <c r="AE59">
        <f t="shared" si="31"/>
        <v>20.25</v>
      </c>
      <c r="AF59">
        <f t="shared" si="32"/>
        <v>5.6535433070866139</v>
      </c>
      <c r="AG59">
        <f t="shared" si="33"/>
        <v>-0.94174601549435166</v>
      </c>
      <c r="AH59">
        <f t="shared" si="34"/>
        <v>-0.97804305214453169</v>
      </c>
      <c r="AI59">
        <f t="shared" si="35"/>
        <v>-0.96915847184753279</v>
      </c>
      <c r="AJ59">
        <f t="shared" si="36"/>
        <v>-0.28180461104660798</v>
      </c>
      <c r="AK59">
        <f t="shared" si="37"/>
        <v>-6.3264952192346346E-2</v>
      </c>
      <c r="AL59">
        <f t="shared" si="38"/>
        <v>0.27837200122729455</v>
      </c>
      <c r="AM59">
        <f t="shared" si="39"/>
        <v>-0.95365317998118238</v>
      </c>
      <c r="AN59">
        <f t="shared" si="40"/>
        <v>-0.92578748156124802</v>
      </c>
      <c r="AO59">
        <f t="shared" si="41"/>
        <v>0.8918865030674844</v>
      </c>
      <c r="AP59">
        <f t="shared" si="42"/>
        <v>0.48995286337024169</v>
      </c>
    </row>
    <row r="60" spans="1:42" x14ac:dyDescent="0.2">
      <c r="A60" t="s">
        <v>32</v>
      </c>
      <c r="B60" t="s">
        <v>3</v>
      </c>
      <c r="C60" t="s">
        <v>110</v>
      </c>
      <c r="D60" t="s">
        <v>112</v>
      </c>
      <c r="E60">
        <v>30</v>
      </c>
      <c r="F60" t="s">
        <v>15</v>
      </c>
      <c r="G60">
        <v>0.4</v>
      </c>
      <c r="H60">
        <v>0</v>
      </c>
      <c r="I60">
        <v>6</v>
      </c>
      <c r="J60">
        <v>15.3</v>
      </c>
      <c r="K60" s="2">
        <f>AVERAGEIFS('Individual data from NASA'!J:J, 'Individual data from NASA'!$C:$C, $F60, 'Individual data from NASA'!$B:$B, $B60, 'Individual data from NASA'!$K:$K, $L60) + 273.15</f>
        <v>290.18333333333328</v>
      </c>
      <c r="L60">
        <v>100</v>
      </c>
      <c r="M60">
        <f>0.894*60*60</f>
        <v>3218.4</v>
      </c>
      <c r="N60" s="3">
        <f>AVERAGEIFS('Individual data from NASA'!M:M, 'Individual data from NASA'!$C:$C, $F60, 'Individual data from NASA'!$B:$B, $B60, 'Individual data from NASA'!$K:$K, $L60)</f>
        <v>316333333333333.31</v>
      </c>
      <c r="O60" s="3">
        <f>AVERAGEIFS('Individual data from NASA'!N:N, 'Individual data from NASA'!$C:$C, $F60, 'Individual data from NASA'!$B:$B, $B60, 'Individual data from NASA'!$K:$K, $L60)</f>
        <v>542000000000000</v>
      </c>
      <c r="P60" s="3">
        <f>AVERAGEIFS('Individual data from NASA'!O:O, 'Individual data from NASA'!$C:$C, $F60, 'Individual data from NASA'!$B:$B, $B60, 'Individual data from NASA'!$K:$K, $L60)</f>
        <v>858666666666666.62</v>
      </c>
      <c r="Q60" s="3">
        <f>AVERAGEIFS('Individual data from NASA'!P:P, 'Individual data from NASA'!$C:$C, $F60, 'Individual data from NASA'!$B:$B, $B60, 'Individual data from NASA'!$K:$K, $L60)</f>
        <v>34.833333333333336</v>
      </c>
      <c r="R60" s="3">
        <f>AVERAGEIFS('Individual data from NASA'!Q:Q, 'Individual data from NASA'!$C:$C, $F60, 'Individual data from NASA'!$B:$B, $B60, 'Individual data from NASA'!$K:$K, $L60)</f>
        <v>0.79700000000000004</v>
      </c>
      <c r="S60" s="3">
        <f>AVERAGEIFS('Individual data from NASA'!R:R, 'Individual data from NASA'!$C:$C, $F60, 'Individual data from NASA'!$B:$B, $B60, 'Individual data from NASA'!$K:$K, $L60)</f>
        <v>0.20299999999999999</v>
      </c>
      <c r="T60" s="3">
        <f>AVERAGEIFS('Individual data from NASA'!S:S, 'Individual data from NASA'!$C:$C, $F60, 'Individual data from NASA'!$B:$B, $B60, 'Individual data from NASA'!$K:$K, $L60)</f>
        <v>6.4403661260000007</v>
      </c>
      <c r="U60" s="3">
        <f>AVERAGEIFS('Individual data from NASA'!T:T, 'Individual data from NASA'!$C:$C, $F60, 'Individual data from NASA'!$B:$B, $B60, 'Individual data from NASA'!$K:$K, $L60)</f>
        <v>1.6515938739999998</v>
      </c>
      <c r="V60" s="3">
        <f>AVERAGEIFS('Individual data from NASA'!W:W, 'Individual data from NASA'!$C:$C, $F60, 'Individual data from NASA'!$B:$B, $B60, 'Individual data from NASA'!$K:$K, $L60)</f>
        <v>28.301533333333335</v>
      </c>
      <c r="W60" s="3">
        <f>AVERAGEIFS('Individual data from NASA'!U:U, 'Individual data from NASA'!$C:$C, $F60, 'Individual data from NASA'!$B:$B, $B60, 'Individual data from NASA'!$K:$K, $L60)</f>
        <v>26.476866666666666</v>
      </c>
      <c r="X60" cm="1">
        <f t="array" ref="X60">_xlfn.STDEV.S(
    _xlfn._xlws.FILTER(
        'Individual data from NASA'!M:M,
        ('Individual data from NASA'!$C:$C=$F60) *
        ('Individual data from NASA'!$B:$B=$B60) *
        ('Individual data from NASA'!$K:$K=$L60)
    )
)</f>
        <v>42027768598074.742</v>
      </c>
      <c r="Y60" cm="1">
        <f t="array" ref="Y60">_xlfn.STDEV.S(
    _xlfn._xlws.FILTER(
        'Individual data from NASA'!N:N,
        ('Individual data from NASA'!$C:$C=$F60) *
        ('Individual data from NASA'!$B:$B=$B60) *
        ('Individual data from NASA'!$K:$K=$L60)
    )
)</f>
        <v>127011810474459.22</v>
      </c>
      <c r="Z60" cm="1">
        <f t="array" ref="Z60">_xlfn.STDEV.S(
    _xlfn._xlws.FILTER(
        'Individual data from NASA'!O:O,
        ('Individual data from NASA'!$C:$C=$F60) *
        ('Individual data from NASA'!$B:$B=$B60) *
        ('Individual data from NASA'!$K:$K=$L60)
    )
)</f>
        <v>142521343430846.44</v>
      </c>
      <c r="AA60">
        <f t="shared" si="27"/>
        <v>-0.9816513761467891</v>
      </c>
      <c r="AB60">
        <f t="shared" si="28"/>
        <v>-1</v>
      </c>
      <c r="AC60">
        <f t="shared" si="29"/>
        <v>-0.96808510638297873</v>
      </c>
      <c r="AD60">
        <f t="shared" si="30"/>
        <v>0.13333333333333339</v>
      </c>
      <c r="AE60">
        <f t="shared" si="31"/>
        <v>24</v>
      </c>
      <c r="AF60">
        <f t="shared" si="32"/>
        <v>6.0393700787401583</v>
      </c>
      <c r="AG60">
        <f t="shared" si="33"/>
        <v>-0.91579126992252824</v>
      </c>
      <c r="AH60">
        <f t="shared" si="34"/>
        <v>-0.96800896307079609</v>
      </c>
      <c r="AI60">
        <f t="shared" si="35"/>
        <v>-0.9551649116700025</v>
      </c>
      <c r="AJ60">
        <f t="shared" si="36"/>
        <v>0.73328910267042635</v>
      </c>
      <c r="AK60">
        <f t="shared" si="37"/>
        <v>-2.1867678232734472E-2</v>
      </c>
      <c r="AL60">
        <f t="shared" si="38"/>
        <v>9.6219931271477335E-2</v>
      </c>
      <c r="AM60">
        <f t="shared" si="39"/>
        <v>-0.91086981737896455</v>
      </c>
      <c r="AN60">
        <f t="shared" si="40"/>
        <v>-0.88430330802414425</v>
      </c>
      <c r="AO60">
        <f t="shared" si="41"/>
        <v>1.1703629856850715</v>
      </c>
      <c r="AP60">
        <f t="shared" si="42"/>
        <v>0.7598546574424363</v>
      </c>
    </row>
    <row r="61" spans="1:42" x14ac:dyDescent="0.2">
      <c r="A61" t="s">
        <v>32</v>
      </c>
      <c r="B61" t="s">
        <v>3</v>
      </c>
      <c r="C61" t="s">
        <v>110</v>
      </c>
      <c r="D61" t="s">
        <v>112</v>
      </c>
      <c r="E61">
        <v>30</v>
      </c>
      <c r="F61" t="s">
        <v>18</v>
      </c>
      <c r="G61">
        <v>10.199999999999999</v>
      </c>
      <c r="H61">
        <v>0.65</v>
      </c>
      <c r="I61">
        <v>276</v>
      </c>
      <c r="J61">
        <v>14.4</v>
      </c>
      <c r="K61" s="2">
        <f>AVERAGEIFS('Individual data from NASA'!J:J, 'Individual data from NASA'!$C:$C, $F61, 'Individual data from NASA'!$B:$B, $B61, 'Individual data from NASA'!$K:$K, $L61) + 273.15</f>
        <v>298.14999999999998</v>
      </c>
      <c r="L61">
        <v>4</v>
      </c>
      <c r="M61">
        <f>0.127*60*60</f>
        <v>457.2</v>
      </c>
      <c r="N61" s="3">
        <f>AVERAGEIFS('Individual data from NASA'!M:M, 'Individual data from NASA'!$C:$C, $F61, 'Individual data from NASA'!$B:$B, $B61, 'Individual data from NASA'!$K:$K, $L61)</f>
        <v>2801571428571428.5</v>
      </c>
      <c r="O61" s="3">
        <f>AVERAGEIFS('Individual data from NASA'!N:N, 'Individual data from NASA'!$C:$C, $F61, 'Individual data from NASA'!$B:$B, $B61, 'Individual data from NASA'!$K:$K, $L61)</f>
        <v>1.5916666666666666E+16</v>
      </c>
      <c r="P61" s="3">
        <f>AVERAGEIFS('Individual data from NASA'!O:O, 'Individual data from NASA'!$C:$C, $F61, 'Individual data from NASA'!$B:$B, $B61, 'Individual data from NASA'!$K:$K, $L61)</f>
        <v>1.6385714285714286E+16</v>
      </c>
      <c r="Q61" s="3">
        <f>AVERAGEIFS('Individual data from NASA'!P:P, 'Individual data from NASA'!$C:$C, $F61, 'Individual data from NASA'!$B:$B, $B61, 'Individual data from NASA'!$K:$K, $L61)</f>
        <v>6.1371428571428561</v>
      </c>
      <c r="R61" s="3">
        <f>AVERAGEIFS('Individual data from NASA'!Q:Q, 'Individual data from NASA'!$C:$C, $F61, 'Individual data from NASA'!$B:$B, $B61, 'Individual data from NASA'!$K:$K, $L61)</f>
        <v>0.8076000000000001</v>
      </c>
      <c r="S61" s="3">
        <f>AVERAGEIFS('Individual data from NASA'!R:R, 'Individual data from NASA'!$C:$C, $F61, 'Individual data from NASA'!$B:$B, $B61, 'Individual data from NASA'!$K:$K, $L61)</f>
        <v>0.19240000000000002</v>
      </c>
      <c r="T61" s="3">
        <f>AVERAGEIFS('Individual data from NASA'!S:S, 'Individual data from NASA'!$C:$C, $F61, 'Individual data from NASA'!$B:$B, $B61, 'Individual data from NASA'!$K:$K, $L61)</f>
        <v>24.930057529999999</v>
      </c>
      <c r="U61" s="3">
        <f>AVERAGEIFS('Individual data from NASA'!T:T, 'Individual data from NASA'!$C:$C, $F61, 'Individual data from NASA'!$B:$B, $B61, 'Individual data from NASA'!$K:$K, $L61)</f>
        <v>9.8355090720000007</v>
      </c>
      <c r="V61" s="3">
        <f>AVERAGEIFS('Individual data from NASA'!W:W, 'Individual data from NASA'!$C:$C, $F61, 'Individual data from NASA'!$B:$B, $B61, 'Individual data from NASA'!$K:$K, $L61)</f>
        <v>11.549999999999999</v>
      </c>
      <c r="W61" s="3">
        <f>AVERAGEIFS('Individual data from NASA'!U:U, 'Individual data from NASA'!$C:$C, $F61, 'Individual data from NASA'!$B:$B, $B61, 'Individual data from NASA'!$K:$K, $L61)</f>
        <v>12.473742857142858</v>
      </c>
      <c r="X61" cm="1">
        <f t="array" ref="X61">_xlfn.STDEV.S(
    _xlfn._xlws.FILTER(
        'Individual data from NASA'!M:M,
        ('Individual data from NASA'!$C:$C=$F61) *
        ('Individual data from NASA'!$B:$B=$B61) *
        ('Individual data from NASA'!$K:$K=$L61)
    )
)</f>
        <v>4605597096908023</v>
      </c>
      <c r="Y61" cm="1">
        <f t="array" ref="Y61">_xlfn.STDEV.S(
    _xlfn._xlws.FILTER(
        'Individual data from NASA'!N:N,
        ('Individual data from NASA'!$C:$C=$F61) *
        ('Individual data from NASA'!$B:$B=$B61) *
        ('Individual data from NASA'!$K:$K=$L61)
    )
)</f>
        <v>2294704047729624</v>
      </c>
      <c r="Z61" cm="1">
        <f t="array" ref="Z61">_xlfn.STDEV.S(
    _xlfn._xlws.FILTER(
        'Individual data from NASA'!O:O,
        ('Individual data from NASA'!$C:$C=$F61) *
        ('Individual data from NASA'!$B:$B=$B61) *
        ('Individual data from NASA'!$K:$K=$L61)
    )
)</f>
        <v>2728509099263173</v>
      </c>
      <c r="AA61">
        <f t="shared" si="27"/>
        <v>-0.5321100917431193</v>
      </c>
      <c r="AB61">
        <f t="shared" si="28"/>
        <v>-0.5</v>
      </c>
      <c r="AC61">
        <f t="shared" si="29"/>
        <v>0.46808510638297873</v>
      </c>
      <c r="AD61">
        <f t="shared" si="30"/>
        <v>6.6666666666666693E-2</v>
      </c>
      <c r="AE61">
        <f t="shared" si="31"/>
        <v>0</v>
      </c>
      <c r="AF61">
        <f t="shared" si="32"/>
        <v>0</v>
      </c>
      <c r="AG61">
        <f t="shared" si="33"/>
        <v>-0.2542146294373181</v>
      </c>
      <c r="AH61">
        <f t="shared" si="34"/>
        <v>-6.0533817115938096E-2</v>
      </c>
      <c r="AI61">
        <f t="shared" si="35"/>
        <v>-0.14442358616059778</v>
      </c>
      <c r="AJ61">
        <f t="shared" si="36"/>
        <v>-0.69461886595739653</v>
      </c>
      <c r="AK61">
        <f t="shared" si="37"/>
        <v>-8.8586410799953667E-3</v>
      </c>
      <c r="AL61">
        <f t="shared" si="38"/>
        <v>3.8978890525282119E-2</v>
      </c>
      <c r="AM61">
        <f t="shared" si="39"/>
        <v>-0.65498536310980215</v>
      </c>
      <c r="AN61">
        <f t="shared" si="40"/>
        <v>-0.31100745683141295</v>
      </c>
      <c r="AO61">
        <f t="shared" si="41"/>
        <v>-0.11426380368098174</v>
      </c>
      <c r="AP61">
        <f t="shared" si="42"/>
        <v>-0.17089983723342711</v>
      </c>
    </row>
    <row r="62" spans="1:42" x14ac:dyDescent="0.2">
      <c r="A62" t="s">
        <v>32</v>
      </c>
      <c r="B62" t="s">
        <v>3</v>
      </c>
      <c r="C62" t="s">
        <v>110</v>
      </c>
      <c r="D62" t="s">
        <v>112</v>
      </c>
      <c r="E62">
        <v>30</v>
      </c>
      <c r="F62" t="s">
        <v>18</v>
      </c>
      <c r="G62">
        <v>10.199999999999999</v>
      </c>
      <c r="H62">
        <v>0.65</v>
      </c>
      <c r="I62">
        <v>276</v>
      </c>
      <c r="J62">
        <v>14.4</v>
      </c>
      <c r="K62" s="2">
        <f>AVERAGEIFS('Individual data from NASA'!J:J, 'Individual data from NASA'!$C:$C, $F62, 'Individual data from NASA'!$B:$B, $B62, 'Individual data from NASA'!$K:$K, $L62) + 273.15</f>
        <v>298.84999999999997</v>
      </c>
      <c r="L62">
        <v>7</v>
      </c>
      <c r="M62">
        <f>0.15586*60*60</f>
        <v>561.096</v>
      </c>
      <c r="N62" s="3">
        <f>AVERAGEIFS('Individual data from NASA'!M:M, 'Individual data from NASA'!$C:$C, $F62, 'Individual data from NASA'!$B:$B, $B62, 'Individual data from NASA'!$K:$K, $L62)</f>
        <v>2063714285714285.8</v>
      </c>
      <c r="O62" s="3">
        <f>AVERAGEIFS('Individual data from NASA'!N:N, 'Individual data from NASA'!$C:$C, $F62, 'Individual data from NASA'!$B:$B, $B62, 'Individual data from NASA'!$K:$K, $L62)</f>
        <v>8234285714285714</v>
      </c>
      <c r="P62" s="3">
        <f>AVERAGEIFS('Individual data from NASA'!O:O, 'Individual data from NASA'!$C:$C, $F62, 'Individual data from NASA'!$B:$B, $B62, 'Individual data from NASA'!$K:$K, $L62)</f>
        <v>1.0311428571428572E+16</v>
      </c>
      <c r="Q62" s="3">
        <f>AVERAGEIFS('Individual data from NASA'!P:P, 'Individual data from NASA'!$C:$C, $F62, 'Individual data from NASA'!$B:$B, $B62, 'Individual data from NASA'!$K:$K, $L62)</f>
        <v>5.3757142857142863</v>
      </c>
      <c r="R62" s="3">
        <f>AVERAGEIFS('Individual data from NASA'!Q:Q, 'Individual data from NASA'!$C:$C, $F62, 'Individual data from NASA'!$B:$B, $B62, 'Individual data from NASA'!$K:$K, $L62)</f>
        <v>0.78925000000000001</v>
      </c>
      <c r="S62" s="3">
        <f>AVERAGEIFS('Individual data from NASA'!R:R, 'Individual data from NASA'!$C:$C, $F62, 'Individual data from NASA'!$B:$B, $B62, 'Individual data from NASA'!$K:$K, $L62)</f>
        <v>0.21074999999999999</v>
      </c>
      <c r="T62" s="3">
        <f>AVERAGEIFS('Individual data from NASA'!S:S, 'Individual data from NASA'!$C:$C, $F62, 'Individual data from NASA'!$B:$B, $B62, 'Individual data from NASA'!$K:$K, $L62)</f>
        <v>18.224042873333335</v>
      </c>
      <c r="U62" s="3">
        <f>AVERAGEIFS('Individual data from NASA'!T:T, 'Individual data from NASA'!$C:$C, $F62, 'Individual data from NASA'!$B:$B, $B62, 'Individual data from NASA'!$K:$K, $L62)</f>
        <v>6.2421159250000002</v>
      </c>
      <c r="V62" s="3">
        <f>AVERAGEIFS('Individual data from NASA'!W:W, 'Individual data from NASA'!$C:$C, $F62, 'Individual data from NASA'!$B:$B, $B62, 'Individual data from NASA'!$K:$K, $L62)</f>
        <v>17.72315</v>
      </c>
      <c r="W62" s="3">
        <f>AVERAGEIFS('Individual data from NASA'!U:U, 'Individual data from NASA'!$C:$C, $F62, 'Individual data from NASA'!$B:$B, $B62, 'Individual data from NASA'!$K:$K, $L62)</f>
        <v>11.420028571428571</v>
      </c>
      <c r="X62" cm="1">
        <f t="array" ref="X62">_xlfn.STDEV.S(
    _xlfn._xlws.FILTER(
        'Individual data from NASA'!M:M,
        ('Individual data from NASA'!$C:$C=$F62) *
        ('Individual data from NASA'!$B:$B=$B62) *
        ('Individual data from NASA'!$K:$K=$L62)
    )
)</f>
        <v>4255582087654039</v>
      </c>
      <c r="Y62" cm="1">
        <f t="array" ref="Y62">_xlfn.STDEV.S(
    _xlfn._xlws.FILTER(
        'Individual data from NASA'!N:N,
        ('Individual data from NASA'!$C:$C=$F62) *
        ('Individual data from NASA'!$B:$B=$B62) *
        ('Individual data from NASA'!$K:$K=$L62)
    )
)</f>
        <v>6194889983265395</v>
      </c>
      <c r="Z62" cm="1">
        <f t="array" ref="Z62">_xlfn.STDEV.S(
    _xlfn._xlws.FILTER(
        'Individual data from NASA'!O:O,
        ('Individual data from NASA'!$C:$C=$F62) *
        ('Individual data from NASA'!$B:$B=$B62) *
        ('Individual data from NASA'!$K:$K=$L62)
    )
)</f>
        <v>3699821746027901.5</v>
      </c>
      <c r="AA62">
        <f t="shared" si="27"/>
        <v>-0.5321100917431193</v>
      </c>
      <c r="AB62">
        <f t="shared" si="28"/>
        <v>-0.5</v>
      </c>
      <c r="AC62">
        <f t="shared" si="29"/>
        <v>0.46808510638297873</v>
      </c>
      <c r="AD62">
        <f t="shared" si="30"/>
        <v>6.6666666666666693E-2</v>
      </c>
      <c r="AE62">
        <f t="shared" si="31"/>
        <v>0.75</v>
      </c>
      <c r="AF62">
        <f t="shared" si="32"/>
        <v>0.22724409448818902</v>
      </c>
      <c r="AG62">
        <f t="shared" si="33"/>
        <v>-0.45063405929587969</v>
      </c>
      <c r="AH62">
        <f t="shared" si="34"/>
        <v>-0.51397908049570085</v>
      </c>
      <c r="AI62">
        <f t="shared" si="35"/>
        <v>-0.46159105884108059</v>
      </c>
      <c r="AJ62">
        <f t="shared" si="36"/>
        <v>-0.73250716773689073</v>
      </c>
      <c r="AK62">
        <f t="shared" si="37"/>
        <v>-3.1379002566105041E-2</v>
      </c>
      <c r="AL62">
        <f t="shared" si="38"/>
        <v>0.13807069219440324</v>
      </c>
      <c r="AM62">
        <f t="shared" si="39"/>
        <v>-0.74779193641858799</v>
      </c>
      <c r="AN62">
        <f t="shared" si="40"/>
        <v>-0.56273017548604143</v>
      </c>
      <c r="AO62">
        <f t="shared" si="41"/>
        <v>0.35913726993865025</v>
      </c>
      <c r="AP62">
        <f t="shared" si="42"/>
        <v>-0.24093773169706903</v>
      </c>
    </row>
    <row r="63" spans="1:42" x14ac:dyDescent="0.2">
      <c r="A63" t="s">
        <v>32</v>
      </c>
      <c r="B63" t="s">
        <v>3</v>
      </c>
      <c r="C63" t="s">
        <v>110</v>
      </c>
      <c r="D63" t="s">
        <v>112</v>
      </c>
      <c r="E63">
        <v>30</v>
      </c>
      <c r="F63" t="s">
        <v>18</v>
      </c>
      <c r="G63">
        <v>10.199999999999999</v>
      </c>
      <c r="H63">
        <v>0.65</v>
      </c>
      <c r="I63">
        <v>276</v>
      </c>
      <c r="J63">
        <v>14.4</v>
      </c>
      <c r="K63" s="2">
        <f>AVERAGEIFS('Individual data from NASA'!J:J, 'Individual data from NASA'!$C:$C, $F63, 'Individual data from NASA'!$B:$B, $B63, 'Individual data from NASA'!$K:$K, $L63) + 273.15</f>
        <v>298.84999999999997</v>
      </c>
      <c r="L63">
        <v>30</v>
      </c>
      <c r="M63">
        <f>0.342*60*60</f>
        <v>1231.2000000000003</v>
      </c>
      <c r="N63" s="3">
        <f>AVERAGEIFS('Individual data from NASA'!M:M, 'Individual data from NASA'!$C:$C, $F63, 'Individual data from NASA'!$B:$B, $B63, 'Individual data from NASA'!$K:$K, $L63)</f>
        <v>87000000000000</v>
      </c>
      <c r="O63" s="3">
        <f>AVERAGEIFS('Individual data from NASA'!N:N, 'Individual data from NASA'!$C:$C, $F63, 'Individual data from NASA'!$B:$B, $B63, 'Individual data from NASA'!$K:$K, $L63)</f>
        <v>3612500000000000</v>
      </c>
      <c r="P63" s="3">
        <f>AVERAGEIFS('Individual data from NASA'!O:O, 'Individual data from NASA'!$C:$C, $F63, 'Individual data from NASA'!$B:$B, $B63, 'Individual data from NASA'!$K:$K, $L63)</f>
        <v>3697500000000000</v>
      </c>
      <c r="Q63" s="3">
        <f>AVERAGEIFS('Individual data from NASA'!P:P, 'Individual data from NASA'!$C:$C, $F63, 'Individual data from NASA'!$B:$B, $B63, 'Individual data from NASA'!$K:$K, $L63)</f>
        <v>4.5942499999999997</v>
      </c>
      <c r="R63" s="3">
        <f>AVERAGEIFS('Individual data from NASA'!Q:Q, 'Individual data from NASA'!$C:$C, $F63, 'Individual data from NASA'!$B:$B, $B63, 'Individual data from NASA'!$K:$K, $L63)</f>
        <v>0.78066666666666673</v>
      </c>
      <c r="S63" s="3">
        <f>AVERAGEIFS('Individual data from NASA'!R:R, 'Individual data from NASA'!$C:$C, $F63, 'Individual data from NASA'!$B:$B, $B63, 'Individual data from NASA'!$K:$K, $L63)</f>
        <v>0.21933333333333335</v>
      </c>
      <c r="T63" s="3">
        <f>AVERAGEIFS('Individual data from NASA'!S:S, 'Individual data from NASA'!$C:$C, $F63, 'Individual data from NASA'!$B:$B, $B63, 'Individual data from NASA'!$K:$K, $L63)</f>
        <v>6.7560617823333331</v>
      </c>
      <c r="U63" s="3">
        <f>AVERAGEIFS('Individual data from NASA'!T:T, 'Individual data from NASA'!$C:$C, $F63, 'Individual data from NASA'!$B:$B, $B63, 'Individual data from NASA'!$K:$K, $L63)</f>
        <v>1.9650342176666669</v>
      </c>
      <c r="V63" s="3">
        <f>AVERAGEIFS('Individual data from NASA'!W:W, 'Individual data from NASA'!$C:$C, $F63, 'Individual data from NASA'!$B:$B, $B63, 'Individual data from NASA'!$K:$K, $L63)</f>
        <v>16.267266666666668</v>
      </c>
      <c r="W63" s="3">
        <f>AVERAGEIFS('Individual data from NASA'!U:U, 'Individual data from NASA'!$C:$C, $F63, 'Individual data from NASA'!$B:$B, $B63, 'Individual data from NASA'!$K:$K, $L63)</f>
        <v>10.405799999999999</v>
      </c>
      <c r="X63" cm="1">
        <f t="array" ref="X63">_xlfn.STDEV.S(
    _xlfn._xlws.FILTER(
        'Individual data from NASA'!M:M,
        ('Individual data from NASA'!$C:$C=$F63) *
        ('Individual data from NASA'!$B:$B=$B63) *
        ('Individual data from NASA'!$K:$K=$L63)
    )
)</f>
        <v>13786225009044.352</v>
      </c>
      <c r="Y63" cm="1">
        <f t="array" ref="Y63">_xlfn.STDEV.S(
    _xlfn._xlws.FILTER(
        'Individual data from NASA'!N:N,
        ('Individual data from NASA'!$C:$C=$F63) *
        ('Individual data from NASA'!$B:$B=$B63) *
        ('Individual data from NASA'!$K:$K=$L63)
    )
)</f>
        <v>1036544740954291.6</v>
      </c>
      <c r="Z63" cm="1">
        <f t="array" ref="Z63">_xlfn.STDEV.S(
    _xlfn._xlws.FILTER(
        'Individual data from NASA'!O:O,
        ('Individual data from NASA'!$C:$C=$F63) *
        ('Individual data from NASA'!$B:$B=$B63) *
        ('Individual data from NASA'!$K:$K=$L63)
    )
)</f>
        <v>1034162301897852</v>
      </c>
      <c r="AA63">
        <f t="shared" si="27"/>
        <v>-0.5321100917431193</v>
      </c>
      <c r="AB63">
        <f t="shared" si="28"/>
        <v>-0.5</v>
      </c>
      <c r="AC63">
        <f t="shared" si="29"/>
        <v>0.46808510638297873</v>
      </c>
      <c r="AD63">
        <f t="shared" si="30"/>
        <v>6.6666666666666693E-2</v>
      </c>
      <c r="AE63">
        <f t="shared" si="31"/>
        <v>6.5</v>
      </c>
      <c r="AF63">
        <f t="shared" si="32"/>
        <v>1.6929133858267722</v>
      </c>
      <c r="AG63">
        <f t="shared" si="33"/>
        <v>-0.97684038087437286</v>
      </c>
      <c r="AH63">
        <f t="shared" si="34"/>
        <v>-0.78677560718312001</v>
      </c>
      <c r="AI63">
        <f t="shared" si="35"/>
        <v>-0.80693586284918628</v>
      </c>
      <c r="AJ63">
        <f t="shared" si="36"/>
        <v>-0.77139243655664291</v>
      </c>
      <c r="AK63">
        <f t="shared" si="37"/>
        <v>-4.1913049946074477E-2</v>
      </c>
      <c r="AL63">
        <f t="shared" si="38"/>
        <v>0.18442153493699867</v>
      </c>
      <c r="AM63">
        <f t="shared" si="39"/>
        <v>-0.90650080932085686</v>
      </c>
      <c r="AN63">
        <f t="shared" si="40"/>
        <v>-0.8623463296986067</v>
      </c>
      <c r="AO63">
        <f t="shared" si="41"/>
        <v>0.24748977505112474</v>
      </c>
      <c r="AP63">
        <f t="shared" si="42"/>
        <v>-0.30835110419355377</v>
      </c>
    </row>
    <row r="64" spans="1:42" x14ac:dyDescent="0.2">
      <c r="A64" t="s">
        <v>32</v>
      </c>
      <c r="B64" t="s">
        <v>3</v>
      </c>
      <c r="C64" t="s">
        <v>110</v>
      </c>
      <c r="D64" t="s">
        <v>112</v>
      </c>
      <c r="E64">
        <v>30</v>
      </c>
      <c r="F64" t="s">
        <v>18</v>
      </c>
      <c r="G64">
        <v>10.199999999999999</v>
      </c>
      <c r="H64">
        <v>0.65</v>
      </c>
      <c r="I64">
        <v>276</v>
      </c>
      <c r="J64">
        <v>14.4</v>
      </c>
      <c r="K64" s="2">
        <f>AVERAGEIFS('Individual data from NASA'!J:J, 'Individual data from NASA'!$C:$C, $F64, 'Individual data from NASA'!$B:$B, $B64, 'Individual data from NASA'!$K:$K, $L64) + 273.15</f>
        <v>298.7</v>
      </c>
      <c r="L64">
        <v>65</v>
      </c>
      <c r="M64">
        <f>0.602*60*60</f>
        <v>2167.1999999999998</v>
      </c>
      <c r="N64" s="3">
        <f>AVERAGEIFS('Individual data from NASA'!M:M, 'Individual data from NASA'!$C:$C, $F64, 'Individual data from NASA'!$B:$B, $B64, 'Individual data from NASA'!$K:$K, $L64)</f>
        <v>236500000000000</v>
      </c>
      <c r="O64" s="3">
        <f>AVERAGEIFS('Individual data from NASA'!N:N, 'Individual data from NASA'!$C:$C, $F64, 'Individual data from NASA'!$B:$B, $B64, 'Individual data from NASA'!$K:$K, $L64)</f>
        <v>2625000000000000</v>
      </c>
      <c r="P64" s="3">
        <f>AVERAGEIFS('Individual data from NASA'!O:O, 'Individual data from NASA'!$C:$C, $F64, 'Individual data from NASA'!$B:$B, $B64, 'Individual data from NASA'!$K:$K, $L64)</f>
        <v>2865000000000000</v>
      </c>
      <c r="Q64" s="3">
        <f>AVERAGEIFS('Individual data from NASA'!P:P, 'Individual data from NASA'!$C:$C, $F64, 'Individual data from NASA'!$B:$B, $B64, 'Individual data from NASA'!$K:$K, $L64)</f>
        <v>10.365</v>
      </c>
      <c r="R64" s="3">
        <f>AVERAGEIFS('Individual data from NASA'!Q:Q, 'Individual data from NASA'!$C:$C, $F64, 'Individual data from NASA'!$B:$B, $B64, 'Individual data from NASA'!$K:$K, $L64)</f>
        <v>0.82550000000000001</v>
      </c>
      <c r="S64" s="3">
        <f>AVERAGEIFS('Individual data from NASA'!R:R, 'Individual data from NASA'!$C:$C, $F64, 'Individual data from NASA'!$B:$B, $B64, 'Individual data from NASA'!$K:$K, $L64)</f>
        <v>0.17450000000000002</v>
      </c>
      <c r="T64" s="3">
        <f>AVERAGEIFS('Individual data from NASA'!S:S, 'Individual data from NASA'!$C:$C, $F64, 'Individual data from NASA'!$B:$B, $B64, 'Individual data from NASA'!$K:$K, $L64)</f>
        <v>10.372634907</v>
      </c>
      <c r="U64" s="3">
        <f>AVERAGEIFS('Individual data from NASA'!T:T, 'Individual data from NASA'!$C:$C, $F64, 'Individual data from NASA'!$B:$B, $B64, 'Individual data from NASA'!$K:$K, $L64)</f>
        <v>2.3020410930000001</v>
      </c>
      <c r="V64" s="3">
        <f>AVERAGEIFS('Individual data from NASA'!W:W, 'Individual data from NASA'!$C:$C, $F64, 'Individual data from NASA'!$B:$B, $B64, 'Individual data from NASA'!$K:$K, $L64)</f>
        <v>21.856650000000002</v>
      </c>
      <c r="W64" s="3">
        <f>AVERAGEIFS('Individual data from NASA'!U:U, 'Individual data from NASA'!$C:$C, $F64, 'Individual data from NASA'!$B:$B, $B64, 'Individual data from NASA'!$K:$K, $L64)</f>
        <v>11.110799999999999</v>
      </c>
      <c r="X64" cm="1">
        <f t="array" ref="X64">_xlfn.STDEV.S(
    _xlfn._xlws.FILTER(
        'Individual data from NASA'!M:M,
        ('Individual data from NASA'!$C:$C=$F64) *
        ('Individual data from NASA'!$B:$B=$B64) *
        ('Individual data from NASA'!$K:$K=$L64)
    )
)</f>
        <v>26162950903902.258</v>
      </c>
      <c r="Y64" cm="1">
        <f t="array" ref="Y64">_xlfn.STDEV.S(
    _xlfn._xlws.FILTER(
        'Individual data from NASA'!N:N,
        ('Individual data from NASA'!$C:$C=$F64) *
        ('Individual data from NASA'!$B:$B=$B64) *
        ('Individual data from NASA'!$K:$K=$L64)
    )
)</f>
        <v>162634559672905.94</v>
      </c>
      <c r="Z64" cm="1">
        <f t="array" ref="Z64">_xlfn.STDEV.S(
    _xlfn._xlws.FILTER(
        'Individual data from NASA'!O:O,
        ('Individual data from NASA'!$C:$C=$F64) *
        ('Individual data from NASA'!$B:$B=$B64) *
        ('Individual data from NASA'!$K:$K=$L64)
    )
)</f>
        <v>134350288425444.03</v>
      </c>
      <c r="AA64">
        <f t="shared" si="27"/>
        <v>-0.5321100917431193</v>
      </c>
      <c r="AB64">
        <f t="shared" si="28"/>
        <v>-0.5</v>
      </c>
      <c r="AC64">
        <f t="shared" si="29"/>
        <v>0.46808510638297873</v>
      </c>
      <c r="AD64">
        <f t="shared" si="30"/>
        <v>6.6666666666666693E-2</v>
      </c>
      <c r="AE64">
        <f t="shared" ref="AE64:AE71" si="43">(L64-L$50)/L$50</f>
        <v>15.25</v>
      </c>
      <c r="AF64">
        <f t="shared" ref="AF64:AF71" si="44">(M64-M$50)/M$50</f>
        <v>3.7401574803149602</v>
      </c>
      <c r="AG64">
        <f t="shared" ref="AG64:AG71" si="45">(N64-N$50)/N$50</f>
        <v>-0.9370431043309102</v>
      </c>
      <c r="AH64">
        <f t="shared" ref="AH64:AH71" si="46">(O64-O$50)/O$50</f>
        <v>-0.84506185989084848</v>
      </c>
      <c r="AI64">
        <f t="shared" ref="AI64:AP71" si="47">(P64-P$50)/P$50</f>
        <v>-0.85040466452005914</v>
      </c>
      <c r="AJ64">
        <f t="shared" si="47"/>
        <v>-0.48424282633935978</v>
      </c>
      <c r="AK64">
        <f t="shared" si="47"/>
        <v>1.3109449960950642E-2</v>
      </c>
      <c r="AL64">
        <f t="shared" si="47"/>
        <v>-5.7682866961217612E-2</v>
      </c>
      <c r="AM64">
        <f t="shared" si="47"/>
        <v>-0.85644995557163495</v>
      </c>
      <c r="AN64">
        <f t="shared" si="47"/>
        <v>-0.83873847957092673</v>
      </c>
      <c r="AO64">
        <f t="shared" si="47"/>
        <v>0.67612346625766873</v>
      </c>
      <c r="AP64">
        <f t="shared" si="47"/>
        <v>-0.26149142290585414</v>
      </c>
    </row>
    <row r="65" spans="1:42" x14ac:dyDescent="0.2">
      <c r="A65" t="s">
        <v>32</v>
      </c>
      <c r="B65" t="s">
        <v>3</v>
      </c>
      <c r="C65" t="s">
        <v>110</v>
      </c>
      <c r="D65" t="s">
        <v>112</v>
      </c>
      <c r="E65">
        <v>30</v>
      </c>
      <c r="F65" t="s">
        <v>18</v>
      </c>
      <c r="G65">
        <v>10.199999999999999</v>
      </c>
      <c r="H65">
        <v>0.65</v>
      </c>
      <c r="I65">
        <v>276</v>
      </c>
      <c r="J65">
        <v>14.4</v>
      </c>
      <c r="K65" s="2">
        <f>AVERAGEIFS('Individual data from NASA'!J:J, 'Individual data from NASA'!$C:$C, $F65, 'Individual data from NASA'!$B:$B, $B65, 'Individual data from NASA'!$K:$K, $L65) + 273.15</f>
        <v>297.48333333333329</v>
      </c>
      <c r="L65">
        <v>85</v>
      </c>
      <c r="M65">
        <f>0.845*60*60</f>
        <v>3041.9999999999995</v>
      </c>
      <c r="N65" s="3">
        <f>AVERAGEIFS('Individual data from NASA'!M:M, 'Individual data from NASA'!$C:$C, $F65, 'Individual data from NASA'!$B:$B, $B65, 'Individual data from NASA'!$K:$K, $L65)</f>
        <v>426666666666666.69</v>
      </c>
      <c r="O65" s="3">
        <f>AVERAGEIFS('Individual data from NASA'!N:N, 'Individual data from NASA'!$C:$C, $F65, 'Individual data from NASA'!$B:$B, $B65, 'Individual data from NASA'!$K:$K, $L65)</f>
        <v>1400000000000000</v>
      </c>
      <c r="P65" s="3">
        <f>AVERAGEIFS('Individual data from NASA'!O:O, 'Individual data from NASA'!$C:$C, $F65, 'Individual data from NASA'!$B:$B, $B65, 'Individual data from NASA'!$K:$K, $L65)</f>
        <v>1826666666666666.8</v>
      </c>
      <c r="Q65" s="3">
        <f>AVERAGEIFS('Individual data from NASA'!P:P, 'Individual data from NASA'!$C:$C, $F65, 'Individual data from NASA'!$B:$B, $B65, 'Individual data from NASA'!$K:$K, $L65)</f>
        <v>49.433333333333337</v>
      </c>
      <c r="R65" s="3">
        <f>AVERAGEIFS('Individual data from NASA'!Q:Q, 'Individual data from NASA'!$C:$C, $F65, 'Individual data from NASA'!$B:$B, $B65, 'Individual data from NASA'!$K:$K, $L65)</f>
        <v>0.74074074099999998</v>
      </c>
      <c r="S65" s="3">
        <f>AVERAGEIFS('Individual data from NASA'!R:R, 'Individual data from NASA'!$C:$C, $F65, 'Individual data from NASA'!$B:$B, $B65, 'Individual data from NASA'!$K:$K, $L65)</f>
        <v>0.25925925900000002</v>
      </c>
      <c r="T65" s="3">
        <f>AVERAGEIFS('Individual data from NASA'!S:S, 'Individual data from NASA'!$C:$C, $F65, 'Individual data from NASA'!$B:$B, $B65, 'Individual data from NASA'!$K:$K, $L65)</f>
        <v>17.84764444</v>
      </c>
      <c r="U65" s="3">
        <f>AVERAGEIFS('Individual data from NASA'!T:T, 'Individual data from NASA'!$C:$C, $F65, 'Individual data from NASA'!$B:$B, $B65, 'Individual data from NASA'!$K:$K, $L65)</f>
        <v>6.2466755559999996</v>
      </c>
      <c r="V65" s="3">
        <f>AVERAGEIFS('Individual data from NASA'!W:W, 'Individual data from NASA'!$C:$C, $F65, 'Individual data from NASA'!$B:$B, $B65, 'Individual data from NASA'!$K:$K, $L65)</f>
        <v>27.655733333333334</v>
      </c>
      <c r="W65" s="3">
        <f>AVERAGEIFS('Individual data from NASA'!U:U, 'Individual data from NASA'!$C:$C, $F65, 'Individual data from NASA'!$B:$B, $B65, 'Individual data from NASA'!$K:$K, $L65)</f>
        <v>13.876133333333334</v>
      </c>
      <c r="X65" cm="1">
        <f t="array" ref="X65">_xlfn.STDEV.S(
    _xlfn._xlws.FILTER(
        'Individual data from NASA'!M:M,
        ('Individual data from NASA'!$C:$C=$F65) *
        ('Individual data from NASA'!$B:$B=$B65) *
        ('Individual data from NASA'!$K:$K=$L65)
    )
)</f>
        <v>22188585654190.16</v>
      </c>
      <c r="Y65" cm="1">
        <f t="array" ref="Y65">_xlfn.STDEV.S(
    _xlfn._xlws.FILTER(
        'Individual data from NASA'!N:N,
        ('Individual data from NASA'!$C:$C=$F65) *
        ('Individual data from NASA'!$B:$B=$B65) *
        ('Individual data from NASA'!$K:$K=$L65)
    )
)</f>
        <v>309999999999999</v>
      </c>
      <c r="Z65" cm="1">
        <f t="array" ref="Z65">_xlfn.STDEV.S(
    _xlfn._xlws.FILTER(
        'Individual data from NASA'!O:O,
        ('Individual data from NASA'!$C:$C=$F65) *
        ('Individual data from NASA'!$B:$B=$B65) *
        ('Individual data from NASA'!$K:$K=$L65)
    )
)</f>
        <v>289885034683293.12</v>
      </c>
      <c r="AA65">
        <f t="shared" si="27"/>
        <v>-0.5321100917431193</v>
      </c>
      <c r="AB65">
        <f t="shared" si="28"/>
        <v>-0.5</v>
      </c>
      <c r="AC65">
        <f t="shared" si="29"/>
        <v>0.46808510638297873</v>
      </c>
      <c r="AD65">
        <f t="shared" si="30"/>
        <v>6.6666666666666693E-2</v>
      </c>
      <c r="AE65">
        <f t="shared" si="43"/>
        <v>20.25</v>
      </c>
      <c r="AF65">
        <f t="shared" si="44"/>
        <v>5.6535433070866139</v>
      </c>
      <c r="AG65">
        <f t="shared" si="45"/>
        <v>-0.88642025869424257</v>
      </c>
      <c r="AH65">
        <f t="shared" si="46"/>
        <v>-0.91736632527511919</v>
      </c>
      <c r="AI65">
        <f t="shared" si="47"/>
        <v>-0.90462100774519194</v>
      </c>
      <c r="AJ65">
        <f t="shared" si="47"/>
        <v>1.4597777409188921</v>
      </c>
      <c r="AK65">
        <f t="shared" si="47"/>
        <v>-9.091284714939192E-2</v>
      </c>
      <c r="AL65">
        <f t="shared" si="47"/>
        <v>0.40002545360824721</v>
      </c>
      <c r="AM65">
        <f t="shared" si="47"/>
        <v>-0.75300102864175145</v>
      </c>
      <c r="AN65">
        <f t="shared" si="47"/>
        <v>-0.56241076631915421</v>
      </c>
      <c r="AO65">
        <f t="shared" si="47"/>
        <v>1.1208384458077709</v>
      </c>
      <c r="AP65">
        <f t="shared" si="47"/>
        <v>-7.7686261694149106E-2</v>
      </c>
    </row>
    <row r="66" spans="1:42" x14ac:dyDescent="0.2">
      <c r="A66" t="s">
        <v>32</v>
      </c>
      <c r="B66" t="s">
        <v>3</v>
      </c>
      <c r="C66" t="s">
        <v>110</v>
      </c>
      <c r="D66" t="s">
        <v>112</v>
      </c>
      <c r="E66">
        <v>30</v>
      </c>
      <c r="F66" t="s">
        <v>18</v>
      </c>
      <c r="G66">
        <v>10.199999999999999</v>
      </c>
      <c r="H66">
        <v>0.65</v>
      </c>
      <c r="I66">
        <v>276</v>
      </c>
      <c r="J66">
        <v>14.4</v>
      </c>
      <c r="K66" s="2">
        <f>AVERAGEIFS('Individual data from NASA'!J:J, 'Individual data from NASA'!$C:$C, $F66, 'Individual data from NASA'!$B:$B, $B66, 'Individual data from NASA'!$K:$K, $L66) + 273.15</f>
        <v>298.14999999999998</v>
      </c>
      <c r="L66">
        <v>100</v>
      </c>
      <c r="M66">
        <f>0.894*60*60</f>
        <v>3218.4</v>
      </c>
      <c r="N66" s="3">
        <f>AVERAGEIFS('Individual data from NASA'!M:M, 'Individual data from NASA'!$C:$C, $F66, 'Individual data from NASA'!$B:$B, $B66, 'Individual data from NASA'!$K:$K, $L66)</f>
        <v>708000000000000</v>
      </c>
      <c r="O66" s="3">
        <f>AVERAGEIFS('Individual data from NASA'!N:N, 'Individual data from NASA'!$C:$C, $F66, 'Individual data from NASA'!$B:$B, $B66, 'Individual data from NASA'!$K:$K, $L66)</f>
        <v>1650000000000000</v>
      </c>
      <c r="P66" s="3">
        <f>AVERAGEIFS('Individual data from NASA'!O:O, 'Individual data from NASA'!$C:$C, $F66, 'Individual data from NASA'!$B:$B, $B66, 'Individual data from NASA'!$K:$K, $L66)</f>
        <v>2360000000000000</v>
      </c>
      <c r="Q66" s="3">
        <f>AVERAGEIFS('Individual data from NASA'!P:P, 'Individual data from NASA'!$C:$C, $F66, 'Individual data from NASA'!$B:$B, $B66, 'Individual data from NASA'!$K:$K, $L66)</f>
        <v>116.8</v>
      </c>
      <c r="R66" s="3" t="e">
        <f>AVERAGEIFS('Individual data from NASA'!Q:Q, 'Individual data from NASA'!$C:$C, $F66, 'Individual data from NASA'!$B:$B, $B66, 'Individual data from NASA'!$K:$K, $L66)</f>
        <v>#DIV/0!</v>
      </c>
      <c r="S66" s="3" t="e">
        <f>AVERAGEIFS('Individual data from NASA'!R:R, 'Individual data from NASA'!$C:$C, $F66, 'Individual data from NASA'!$B:$B, $B66, 'Individual data from NASA'!$K:$K, $L66)</f>
        <v>#DIV/0!</v>
      </c>
      <c r="T66" s="3" t="e">
        <f>AVERAGEIFS('Individual data from NASA'!S:S, 'Individual data from NASA'!$C:$C, $F66, 'Individual data from NASA'!$B:$B, $B66, 'Individual data from NASA'!$K:$K, $L66)</f>
        <v>#DIV/0!</v>
      </c>
      <c r="U66" s="3" t="e">
        <f>AVERAGEIFS('Individual data from NASA'!T:T, 'Individual data from NASA'!$C:$C, $F66, 'Individual data from NASA'!$B:$B, $B66, 'Individual data from NASA'!$K:$K, $L66)</f>
        <v>#DIV/0!</v>
      </c>
      <c r="V66" s="3">
        <f>AVERAGEIFS('Individual data from NASA'!W:W, 'Individual data from NASA'!$C:$C, $F66, 'Individual data from NASA'!$B:$B, $B66, 'Individual data from NASA'!$K:$K, $L66)</f>
        <v>30.097100000000001</v>
      </c>
      <c r="W66" s="3">
        <f>AVERAGEIFS('Individual data from NASA'!U:U, 'Individual data from NASA'!$C:$C, $F66, 'Individual data from NASA'!$B:$B, $B66, 'Individual data from NASA'!$K:$K, $L66)</f>
        <v>14.57</v>
      </c>
      <c r="X66" t="e" cm="1">
        <f t="array" ref="X66">_xlfn.STDEV.S(
    _xlfn._xlws.FILTER(
        'Individual data from NASA'!M:M,
        ('Individual data from NASA'!$C:$C=$F66) *
        ('Individual data from NASA'!$B:$B=$B66) *
        ('Individual data from NASA'!$K:$K=$L66)
    )
)</f>
        <v>#DIV/0!</v>
      </c>
      <c r="Y66" t="e" cm="1">
        <f t="array" ref="Y66">_xlfn.STDEV.S(
    _xlfn._xlws.FILTER(
        'Individual data from NASA'!N:N,
        ('Individual data from NASA'!$C:$C=$F66) *
        ('Individual data from NASA'!$B:$B=$B66) *
        ('Individual data from NASA'!$K:$K=$L66)
    )
)</f>
        <v>#DIV/0!</v>
      </c>
      <c r="Z66" t="e" cm="1">
        <f t="array" ref="Z66">_xlfn.STDEV.S(
    _xlfn._xlws.FILTER(
        'Individual data from NASA'!O:O,
        ('Individual data from NASA'!$C:$C=$F66) *
        ('Individual data from NASA'!$B:$B=$B66) *
        ('Individual data from NASA'!$K:$K=$L66)
    )
)</f>
        <v>#DIV/0!</v>
      </c>
      <c r="AA66">
        <f t="shared" si="27"/>
        <v>-0.5321100917431193</v>
      </c>
      <c r="AB66">
        <f t="shared" si="28"/>
        <v>-0.5</v>
      </c>
      <c r="AC66">
        <f t="shared" si="29"/>
        <v>0.46808510638297873</v>
      </c>
      <c r="AD66">
        <f t="shared" si="30"/>
        <v>6.6666666666666693E-2</v>
      </c>
      <c r="AE66">
        <f t="shared" si="43"/>
        <v>24</v>
      </c>
      <c r="AF66">
        <f t="shared" si="44"/>
        <v>6.0393700787401583</v>
      </c>
      <c r="AG66">
        <f t="shared" si="45"/>
        <v>-0.81152861677075872</v>
      </c>
      <c r="AH66">
        <f t="shared" si="46"/>
        <v>-0.90261031193139041</v>
      </c>
      <c r="AI66">
        <f t="shared" si="47"/>
        <v>-0.87677312679488295</v>
      </c>
      <c r="AJ66">
        <f t="shared" si="47"/>
        <v>4.8119091059877261</v>
      </c>
      <c r="AK66" t="e">
        <f t="shared" si="47"/>
        <v>#DIV/0!</v>
      </c>
      <c r="AL66" t="e">
        <f t="shared" si="47"/>
        <v>#DIV/0!</v>
      </c>
      <c r="AM66" t="e">
        <f t="shared" si="47"/>
        <v>#DIV/0!</v>
      </c>
      <c r="AN66" t="e">
        <f t="shared" si="47"/>
        <v>#DIV/0!</v>
      </c>
      <c r="AO66">
        <f t="shared" si="47"/>
        <v>1.30805981595092</v>
      </c>
      <c r="AP66">
        <f t="shared" si="47"/>
        <v>-3.1566586720874625E-2</v>
      </c>
    </row>
    <row r="67" spans="1:42" x14ac:dyDescent="0.2">
      <c r="A67" t="s">
        <v>32</v>
      </c>
      <c r="B67" t="s">
        <v>3</v>
      </c>
      <c r="C67" t="s">
        <v>110</v>
      </c>
      <c r="D67" t="s">
        <v>112</v>
      </c>
      <c r="E67">
        <v>30</v>
      </c>
      <c r="F67" t="s">
        <v>17</v>
      </c>
      <c r="G67">
        <v>1.4</v>
      </c>
      <c r="H67">
        <v>0</v>
      </c>
      <c r="I67">
        <v>4</v>
      </c>
      <c r="J67">
        <v>15</v>
      </c>
      <c r="K67" s="2">
        <f>AVERAGEIFS('Individual data from NASA'!J:J, 'Individual data from NASA'!$C:$C, $F67, 'Individual data from NASA'!$B:$B, $B67, 'Individual data from NASA'!$K:$K, $L67) + 273.15</f>
        <v>285.95</v>
      </c>
      <c r="L67">
        <v>4</v>
      </c>
      <c r="M67">
        <f>0.127*60*60</f>
        <v>457.2</v>
      </c>
      <c r="N67" s="3">
        <f>AVERAGEIFS('Individual data from NASA'!M:M, 'Individual data from NASA'!$C:$C, $F67, 'Individual data from NASA'!$B:$B, $B67, 'Individual data from NASA'!$K:$K, $L67)</f>
        <v>90800000000000</v>
      </c>
      <c r="O67" s="3">
        <f>AVERAGEIFS('Individual data from NASA'!N:N, 'Individual data from NASA'!$C:$C, $F67, 'Individual data from NASA'!$B:$B, $B67, 'Individual data from NASA'!$K:$K, $L67)</f>
        <v>6700000000000000</v>
      </c>
      <c r="P67" s="3">
        <f>AVERAGEIFS('Individual data from NASA'!O:O, 'Individual data from NASA'!$C:$C, $F67, 'Individual data from NASA'!$B:$B, $B67, 'Individual data from NASA'!$K:$K, $L67)</f>
        <v>6795000000000000</v>
      </c>
      <c r="Q67" s="3">
        <f>AVERAGEIFS('Individual data from NASA'!P:P, 'Individual data from NASA'!$C:$C, $F67, 'Individual data from NASA'!$B:$B, $B67, 'Individual data from NASA'!$K:$K, $L67)</f>
        <v>3.605</v>
      </c>
      <c r="R67" s="3">
        <f>AVERAGEIFS('Individual data from NASA'!Q:Q, 'Individual data from NASA'!$C:$C, $F67, 'Individual data from NASA'!$B:$B, $B67, 'Individual data from NASA'!$K:$K, $L67)</f>
        <v>0.71199999999999997</v>
      </c>
      <c r="S67" s="3">
        <f>AVERAGEIFS('Individual data from NASA'!R:R, 'Individual data from NASA'!$C:$C, $F67, 'Individual data from NASA'!$B:$B, $B67, 'Individual data from NASA'!$K:$K, $L67)</f>
        <v>0.28800000000000003</v>
      </c>
      <c r="T67" s="3">
        <f>AVERAGEIFS('Individual data from NASA'!S:S, 'Individual data from NASA'!$C:$C, $F67, 'Individual data from NASA'!$B:$B, $B67, 'Individual data from NASA'!$K:$K, $L67)</f>
        <v>9.6078961844999995</v>
      </c>
      <c r="U67" s="3">
        <f>AVERAGEIFS('Individual data from NASA'!T:T, 'Individual data from NASA'!$C:$C, $F67, 'Individual data from NASA'!$B:$B, $B67, 'Individual data from NASA'!$K:$K, $L67)</f>
        <v>3.842930816</v>
      </c>
      <c r="V67" s="3">
        <f>AVERAGEIFS('Individual data from NASA'!W:W, 'Individual data from NASA'!$C:$C, $F67, 'Individual data from NASA'!$B:$B, $B67, 'Individual data from NASA'!$K:$K, $L67)</f>
        <v>15.35</v>
      </c>
      <c r="W67" s="3">
        <f>AVERAGEIFS('Individual data from NASA'!U:U, 'Individual data from NASA'!$C:$C, $F67, 'Individual data from NASA'!$B:$B, $B67, 'Individual data from NASA'!$K:$K, $L67)</f>
        <v>10.72775</v>
      </c>
      <c r="X67" cm="1">
        <f t="array" ref="X67">_xlfn.STDEV.S(
    _xlfn._xlws.FILTER(
        'Individual data from NASA'!M:M,
        ('Individual data from NASA'!$C:$C=$F67) *
        ('Individual data from NASA'!$B:$B=$B67) *
        ('Individual data from NASA'!$K:$K=$L67)
    )
)</f>
        <v>69579307268756.273</v>
      </c>
      <c r="Y67" cm="1">
        <f t="array" ref="Y67">_xlfn.STDEV.S(
    _xlfn._xlws.FILTER(
        'Individual data from NASA'!N:N,
        ('Individual data from NASA'!$C:$C=$F67) *
        ('Individual data from NASA'!$B:$B=$B67) *
        ('Individual data from NASA'!$K:$K=$L67)
    )
)</f>
        <v>2206173157302028</v>
      </c>
      <c r="Z67" cm="1">
        <f t="array" ref="Z67">_xlfn.STDEV.S(
    _xlfn._xlws.FILTER(
        'Individual data from NASA'!O:O,
        ('Individual data from NASA'!$C:$C=$F67) *
        ('Individual data from NASA'!$B:$B=$B67) *
        ('Individual data from NASA'!$K:$K=$L67)
    )
)</f>
        <v>2269812767608818</v>
      </c>
      <c r="AA67">
        <f t="shared" si="27"/>
        <v>-0.93577981651376152</v>
      </c>
      <c r="AB67">
        <f t="shared" si="28"/>
        <v>-1</v>
      </c>
      <c r="AC67">
        <f t="shared" si="29"/>
        <v>-0.97872340425531912</v>
      </c>
      <c r="AD67">
        <f t="shared" si="30"/>
        <v>0.1111111111111111</v>
      </c>
      <c r="AE67">
        <f t="shared" si="43"/>
        <v>0</v>
      </c>
      <c r="AF67">
        <f t="shared" si="44"/>
        <v>0</v>
      </c>
      <c r="AG67">
        <f t="shared" si="45"/>
        <v>-0.97582881130336852</v>
      </c>
      <c r="AH67">
        <f t="shared" si="46"/>
        <v>-0.60453884238807021</v>
      </c>
      <c r="AI67">
        <f t="shared" si="47"/>
        <v>-0.64520059176747024</v>
      </c>
      <c r="AJ67">
        <f t="shared" si="47"/>
        <v>-0.82061701774755347</v>
      </c>
      <c r="AK67">
        <f t="shared" si="47"/>
        <v>-0.12618542898583063</v>
      </c>
      <c r="AL67">
        <f t="shared" si="47"/>
        <v>0.55522827687776122</v>
      </c>
      <c r="AM67">
        <f t="shared" si="47"/>
        <v>-0.867033406987329</v>
      </c>
      <c r="AN67">
        <f t="shared" si="47"/>
        <v>-0.73079678369933454</v>
      </c>
      <c r="AO67">
        <f t="shared" si="47"/>
        <v>0.17714723926380357</v>
      </c>
      <c r="AP67">
        <f t="shared" si="47"/>
        <v>-0.28695184973883753</v>
      </c>
    </row>
    <row r="68" spans="1:42" x14ac:dyDescent="0.2">
      <c r="A68" t="s">
        <v>32</v>
      </c>
      <c r="B68" t="s">
        <v>3</v>
      </c>
      <c r="C68" t="s">
        <v>110</v>
      </c>
      <c r="D68" t="s">
        <v>112</v>
      </c>
      <c r="E68">
        <v>30</v>
      </c>
      <c r="F68" t="s">
        <v>17</v>
      </c>
      <c r="G68">
        <v>1.4</v>
      </c>
      <c r="H68">
        <v>0</v>
      </c>
      <c r="I68">
        <v>4</v>
      </c>
      <c r="J68">
        <v>15</v>
      </c>
      <c r="K68" s="2">
        <f>AVERAGEIFS('Individual data from NASA'!J:J, 'Individual data from NASA'!$C:$C, $F68, 'Individual data from NASA'!$B:$B, $B68, 'Individual data from NASA'!$K:$K, $L68) + 273.15</f>
        <v>286.48333333333329</v>
      </c>
      <c r="L68">
        <v>7</v>
      </c>
      <c r="M68">
        <f>0.15586*60*60</f>
        <v>561.096</v>
      </c>
      <c r="N68" s="3">
        <f>AVERAGEIFS('Individual data from NASA'!M:M, 'Individual data from NASA'!$C:$C, $F68, 'Individual data from NASA'!$B:$B, $B68, 'Individual data from NASA'!$K:$K, $L68)</f>
        <v>32400000000000</v>
      </c>
      <c r="O68" s="3">
        <f>AVERAGEIFS('Individual data from NASA'!N:N, 'Individual data from NASA'!$C:$C, $F68, 'Individual data from NASA'!$B:$B, $B68, 'Individual data from NASA'!$K:$K, $L68)</f>
        <v>4160000000000000</v>
      </c>
      <c r="P68" s="3">
        <f>AVERAGEIFS('Individual data from NASA'!O:O, 'Individual data from NASA'!$C:$C, $F68, 'Individual data from NASA'!$B:$B, $B68, 'Individual data from NASA'!$K:$K, $L68)</f>
        <v>4196666666666666.5</v>
      </c>
      <c r="Q68" s="3">
        <f>AVERAGEIFS('Individual data from NASA'!P:P, 'Individual data from NASA'!$C:$C, $F68, 'Individual data from NASA'!$B:$B, $B68, 'Individual data from NASA'!$K:$K, $L68)</f>
        <v>2.0133333333333332</v>
      </c>
      <c r="R68" s="3">
        <f>AVERAGEIFS('Individual data from NASA'!Q:Q, 'Individual data from NASA'!$C:$C, $F68, 'Individual data from NASA'!$B:$B, $B68, 'Individual data from NASA'!$K:$K, $L68)</f>
        <v>0.70050000000000001</v>
      </c>
      <c r="S68" s="3">
        <f>AVERAGEIFS('Individual data from NASA'!R:R, 'Individual data from NASA'!$C:$C, $F68, 'Individual data from NASA'!$B:$B, $B68, 'Individual data from NASA'!$K:$K, $L68)</f>
        <v>0.29949999999999999</v>
      </c>
      <c r="T68" s="3">
        <f>AVERAGEIFS('Individual data from NASA'!S:S, 'Individual data from NASA'!$C:$C, $F68, 'Individual data from NASA'!$B:$B, $B68, 'Individual data from NASA'!$K:$K, $L68)</f>
        <v>8.2334265089999992</v>
      </c>
      <c r="U68" s="3">
        <f>AVERAGEIFS('Individual data from NASA'!T:T, 'Individual data from NASA'!$C:$C, $F68, 'Individual data from NASA'!$B:$B, $B68, 'Individual data from NASA'!$K:$K, $L68)</f>
        <v>3.4930574910000001</v>
      </c>
      <c r="V68" s="3">
        <f>AVERAGEIFS('Individual data from NASA'!W:W, 'Individual data from NASA'!$C:$C, $F68, 'Individual data from NASA'!$B:$B, $B68, 'Individual data from NASA'!$K:$K, $L68)</f>
        <v>17.097966666666665</v>
      </c>
      <c r="W68" s="3">
        <f>AVERAGEIFS('Individual data from NASA'!U:U, 'Individual data from NASA'!$C:$C, $F68, 'Individual data from NASA'!$B:$B, $B68, 'Individual data from NASA'!$K:$K, $L68)</f>
        <v>10.3302</v>
      </c>
      <c r="X68" cm="1">
        <f t="array" ref="X68">_xlfn.STDEV.S(
    _xlfn._xlws.FILTER(
        'Individual data from NASA'!M:M,
        ('Individual data from NASA'!$C:$C=$F68) *
        ('Individual data from NASA'!$B:$B=$B68) *
        ('Individual data from NASA'!$K:$K=$L68)
    )
)</f>
        <v>24418845181539.609</v>
      </c>
      <c r="Y68" cm="1">
        <f t="array" ref="Y68">_xlfn.STDEV.S(
    _xlfn._xlws.FILTER(
        'Individual data from NASA'!N:N,
        ('Individual data from NASA'!$C:$C=$F68) *
        ('Individual data from NASA'!$B:$B=$B68) *
        ('Individual data from NASA'!$K:$K=$L68)
    )
)</f>
        <v>1850324295900585.2</v>
      </c>
      <c r="Z68" cm="1">
        <f t="array" ref="Z68">_xlfn.STDEV.S(
    _xlfn._xlws.FILTER(
        'Individual data from NASA'!O:O,
        ('Individual data from NASA'!$C:$C=$F68) *
        ('Individual data from NASA'!$B:$B=$B68) *
        ('Individual data from NASA'!$K:$K=$L68)
    )
)</f>
        <v>1870222803126229</v>
      </c>
      <c r="AA68">
        <f t="shared" si="27"/>
        <v>-0.93577981651376152</v>
      </c>
      <c r="AB68">
        <f t="shared" si="28"/>
        <v>-1</v>
      </c>
      <c r="AC68">
        <f t="shared" si="29"/>
        <v>-0.97872340425531912</v>
      </c>
      <c r="AD68">
        <f t="shared" si="30"/>
        <v>0.1111111111111111</v>
      </c>
      <c r="AE68">
        <f t="shared" si="43"/>
        <v>0.75</v>
      </c>
      <c r="AF68">
        <f t="shared" si="44"/>
        <v>0.22724409448818902</v>
      </c>
      <c r="AG68">
        <f t="shared" si="45"/>
        <v>-0.99137503839459407</v>
      </c>
      <c r="AH68">
        <f t="shared" si="46"/>
        <v>-0.75445993796035404</v>
      </c>
      <c r="AI68">
        <f t="shared" si="47"/>
        <v>-0.78087198677225655</v>
      </c>
      <c r="AJ68">
        <f t="shared" si="47"/>
        <v>-0.89981754851550844</v>
      </c>
      <c r="AK68">
        <f t="shared" si="47"/>
        <v>-0.14029900702889653</v>
      </c>
      <c r="AL68">
        <f t="shared" si="47"/>
        <v>0.61732940598919939</v>
      </c>
      <c r="AM68">
        <f t="shared" si="47"/>
        <v>-0.88605511022401706</v>
      </c>
      <c r="AN68">
        <f t="shared" si="47"/>
        <v>-0.75530594842217091</v>
      </c>
      <c r="AO68">
        <f t="shared" si="47"/>
        <v>0.31119376278118582</v>
      </c>
      <c r="AP68">
        <f t="shared" si="47"/>
        <v>-0.31337605725078788</v>
      </c>
    </row>
    <row r="69" spans="1:42" x14ac:dyDescent="0.2">
      <c r="A69" t="s">
        <v>32</v>
      </c>
      <c r="B69" t="s">
        <v>3</v>
      </c>
      <c r="C69" t="s">
        <v>110</v>
      </c>
      <c r="D69" t="s">
        <v>112</v>
      </c>
      <c r="E69">
        <v>30</v>
      </c>
      <c r="F69" t="s">
        <v>17</v>
      </c>
      <c r="G69">
        <v>1.4</v>
      </c>
      <c r="H69">
        <v>0</v>
      </c>
      <c r="I69">
        <v>4</v>
      </c>
      <c r="J69">
        <v>15</v>
      </c>
      <c r="K69" s="2">
        <f>AVERAGEIFS('Individual data from NASA'!J:J, 'Individual data from NASA'!$C:$C, $F69, 'Individual data from NASA'!$B:$B, $B69, 'Individual data from NASA'!$K:$K, $L69) + 273.15</f>
        <v>286.75</v>
      </c>
      <c r="L69">
        <v>30</v>
      </c>
      <c r="M69">
        <f>0.342*60*60</f>
        <v>1231.2000000000003</v>
      </c>
      <c r="N69" s="3">
        <f>AVERAGEIFS('Individual data from NASA'!M:M, 'Individual data from NASA'!$C:$C, $F69, 'Individual data from NASA'!$B:$B, $B69, 'Individual data from NASA'!$K:$K, $L69)</f>
        <v>22100000000000</v>
      </c>
      <c r="O69" s="3">
        <f>AVERAGEIFS('Individual data from NASA'!N:N, 'Individual data from NASA'!$C:$C, $F69, 'Individual data from NASA'!$B:$B, $B69, 'Individual data from NASA'!$K:$K, $L69)</f>
        <v>1372500000000000</v>
      </c>
      <c r="P69" s="3">
        <f>AVERAGEIFS('Individual data from NASA'!O:O, 'Individual data from NASA'!$C:$C, $F69, 'Individual data from NASA'!$B:$B, $B69, 'Individual data from NASA'!$K:$K, $L69)</f>
        <v>1394500000000000</v>
      </c>
      <c r="Q69" s="3">
        <f>AVERAGEIFS('Individual data from NASA'!P:P, 'Individual data from NASA'!$C:$C, $F69, 'Individual data from NASA'!$B:$B, $B69, 'Individual data from NASA'!$K:$K, $L69)</f>
        <v>3.3194999999999997</v>
      </c>
      <c r="R69" s="3">
        <f>AVERAGEIFS('Individual data from NASA'!Q:Q, 'Individual data from NASA'!$C:$C, $F69, 'Individual data from NASA'!$B:$B, $B69, 'Individual data from NASA'!$K:$K, $L69)</f>
        <v>0.70700000000000007</v>
      </c>
      <c r="S69" s="3">
        <f>AVERAGEIFS('Individual data from NASA'!R:R, 'Individual data from NASA'!$C:$C, $F69, 'Individual data from NASA'!$B:$B, $B69, 'Individual data from NASA'!$K:$K, $L69)</f>
        <v>0.29300000000000004</v>
      </c>
      <c r="T69" s="3">
        <f>AVERAGEIFS('Individual data from NASA'!S:S, 'Individual data from NASA'!$C:$C, $F69, 'Individual data from NASA'!$B:$B, $B69, 'Individual data from NASA'!$K:$K, $L69)</f>
        <v>4.1980390204999996</v>
      </c>
      <c r="U69" s="3">
        <f>AVERAGEIFS('Individual data from NASA'!T:T, 'Individual data from NASA'!$C:$C, $F69, 'Individual data from NASA'!$B:$B, $B69, 'Individual data from NASA'!$K:$K, $L69)</f>
        <v>1.6832755795000001</v>
      </c>
      <c r="V69" s="3">
        <f>AVERAGEIFS('Individual data from NASA'!W:W, 'Individual data from NASA'!$C:$C, $F69, 'Individual data from NASA'!$B:$B, $B69, 'Individual data from NASA'!$K:$K, $L69)</f>
        <v>18.482799999999997</v>
      </c>
      <c r="W69" s="3">
        <f>AVERAGEIFS('Individual data from NASA'!U:U, 'Individual data from NASA'!$C:$C, $F69, 'Individual data from NASA'!$B:$B, $B69, 'Individual data from NASA'!$K:$K, $L69)</f>
        <v>10.274149999999999</v>
      </c>
      <c r="X69" cm="1">
        <f t="array" ref="X69">_xlfn.STDEV.S(
    _xlfn._xlws.FILTER(
        'Individual data from NASA'!M:M,
        ('Individual data from NASA'!$C:$C=$F69) *
        ('Individual data from NASA'!$B:$B=$B69) *
        ('Individual data from NASA'!$K:$K=$L69)
    )
)</f>
        <v>10182337649086.287</v>
      </c>
      <c r="Y69" cm="1">
        <f t="array" ref="Y69">_xlfn.STDEV.S(
    _xlfn._xlws.FILTER(
        'Individual data from NASA'!N:N,
        ('Individual data from NASA'!$C:$C=$F69) *
        ('Individual data from NASA'!$B:$B=$B69) *
        ('Individual data from NASA'!$K:$K=$L69)
    )
)</f>
        <v>802566196646731.5</v>
      </c>
      <c r="Z69" cm="1">
        <f t="array" ref="Z69">_xlfn.STDEV.S(
    _xlfn._xlws.FILTER(
        'Individual data from NASA'!O:O,
        ('Individual data from NASA'!$C:$C=$F69) *
        ('Individual data from NASA'!$B:$B=$B69) *
        ('Individual data from NASA'!$K:$K=$L69)
    )
)</f>
        <v>813879905145716.38</v>
      </c>
      <c r="AA69">
        <f t="shared" si="27"/>
        <v>-0.93577981651376152</v>
      </c>
      <c r="AB69">
        <f t="shared" si="28"/>
        <v>-1</v>
      </c>
      <c r="AC69">
        <f t="shared" si="29"/>
        <v>-0.97872340425531912</v>
      </c>
      <c r="AD69">
        <f t="shared" si="30"/>
        <v>0.1111111111111111</v>
      </c>
      <c r="AE69">
        <f t="shared" si="43"/>
        <v>6.5</v>
      </c>
      <c r="AF69">
        <f t="shared" si="44"/>
        <v>1.6929133858267722</v>
      </c>
      <c r="AG69">
        <f t="shared" si="45"/>
        <v>-0.99411692433705334</v>
      </c>
      <c r="AH69">
        <f t="shared" si="46"/>
        <v>-0.91898948674292935</v>
      </c>
      <c r="AI69">
        <f t="shared" si="47"/>
        <v>-0.9271864937777391</v>
      </c>
      <c r="AJ69">
        <f t="shared" si="47"/>
        <v>-0.83482335379001482</v>
      </c>
      <c r="AK69">
        <f t="shared" si="47"/>
        <v>-0.13232176726542438</v>
      </c>
      <c r="AL69">
        <f t="shared" si="47"/>
        <v>0.58222876779577792</v>
      </c>
      <c r="AM69">
        <f t="shared" si="47"/>
        <v>-0.94190206313941505</v>
      </c>
      <c r="AN69">
        <f t="shared" si="47"/>
        <v>-0.88208395580916787</v>
      </c>
      <c r="AO69">
        <f t="shared" si="47"/>
        <v>0.41739263803680954</v>
      </c>
      <c r="AP69">
        <f t="shared" si="47"/>
        <v>-0.31710156808224266</v>
      </c>
    </row>
    <row r="70" spans="1:42" x14ac:dyDescent="0.2">
      <c r="A70" t="s">
        <v>32</v>
      </c>
      <c r="B70" t="s">
        <v>3</v>
      </c>
      <c r="C70" t="s">
        <v>110</v>
      </c>
      <c r="D70" t="s">
        <v>112</v>
      </c>
      <c r="E70">
        <v>30</v>
      </c>
      <c r="F70" t="s">
        <v>17</v>
      </c>
      <c r="G70">
        <v>1.4</v>
      </c>
      <c r="H70">
        <v>0</v>
      </c>
      <c r="I70">
        <v>4</v>
      </c>
      <c r="J70">
        <v>15</v>
      </c>
      <c r="K70" s="2">
        <f>AVERAGEIFS('Individual data from NASA'!J:J, 'Individual data from NASA'!$C:$C, $F70, 'Individual data from NASA'!$B:$B, $B70, 'Individual data from NASA'!$K:$K, $L70) + 273.15</f>
        <v>286.2</v>
      </c>
      <c r="L70">
        <v>65</v>
      </c>
      <c r="M70">
        <f>0.602*60*60</f>
        <v>2167.1999999999998</v>
      </c>
      <c r="N70" s="3">
        <f>AVERAGEIFS('Individual data from NASA'!M:M, 'Individual data from NASA'!$C:$C, $F70, 'Individual data from NASA'!$B:$B, $B70, 'Individual data from NASA'!$K:$K, $L70)</f>
        <v>98800000000000</v>
      </c>
      <c r="O70" s="3">
        <f>AVERAGEIFS('Individual data from NASA'!N:N, 'Individual data from NASA'!$C:$C, $F70, 'Individual data from NASA'!$B:$B, $B70, 'Individual data from NASA'!$K:$K, $L70)</f>
        <v>203250000000000</v>
      </c>
      <c r="P70" s="3">
        <f>AVERAGEIFS('Individual data from NASA'!O:O, 'Individual data from NASA'!$C:$C, $F70, 'Individual data from NASA'!$B:$B, $B70, 'Individual data from NASA'!$K:$K, $L70)</f>
        <v>301500000000000</v>
      </c>
      <c r="Q70" s="3">
        <f>AVERAGEIFS('Individual data from NASA'!P:P, 'Individual data from NASA'!$C:$C, $F70, 'Individual data from NASA'!$B:$B, $B70, 'Individual data from NASA'!$K:$K, $L70)</f>
        <v>5.87</v>
      </c>
      <c r="R70" s="3">
        <f>AVERAGEIFS('Individual data from NASA'!Q:Q, 'Individual data from NASA'!$C:$C, $F70, 'Individual data from NASA'!$B:$B, $B70, 'Individual data from NASA'!$K:$K, $L70)</f>
        <v>0.72449999999999992</v>
      </c>
      <c r="S70" s="3">
        <f>AVERAGEIFS('Individual data from NASA'!R:R, 'Individual data from NASA'!$C:$C, $F70, 'Individual data from NASA'!$B:$B, $B70, 'Individual data from NASA'!$K:$K, $L70)</f>
        <v>0.27549999999999997</v>
      </c>
      <c r="T70" s="3">
        <f>AVERAGEIFS('Individual data from NASA'!S:S, 'Individual data from NASA'!$C:$C, $F70, 'Individual data from NASA'!$B:$B, $B70, 'Individual data from NASA'!$K:$K, $L70)</f>
        <v>2.3886771104999998</v>
      </c>
      <c r="U70" s="3">
        <f>AVERAGEIFS('Individual data from NASA'!T:T, 'Individual data from NASA'!$C:$C, $F70, 'Individual data from NASA'!$B:$B, $B70, 'Individual data from NASA'!$K:$K, $L70)</f>
        <v>0.88351888950000002</v>
      </c>
      <c r="V70" s="3">
        <f>AVERAGEIFS('Individual data from NASA'!W:W, 'Individual data from NASA'!$C:$C, $F70, 'Individual data from NASA'!$B:$B, $B70, 'Individual data from NASA'!$K:$K, $L70)</f>
        <v>22.04</v>
      </c>
      <c r="W70" s="3">
        <f>AVERAGEIFS('Individual data from NASA'!U:U, 'Individual data from NASA'!$C:$C, $F70, 'Individual data from NASA'!$B:$B, $B70, 'Individual data from NASA'!$K:$K, $L70)</f>
        <v>18.593649999999997</v>
      </c>
      <c r="X70" cm="1">
        <f t="array" ref="X70">_xlfn.STDEV.S(
    _xlfn._xlws.FILTER(
        'Individual data from NASA'!M:M,
        ('Individual data from NASA'!$C:$C=$F70) *
        ('Individual data from NASA'!$B:$B=$B70) *
        ('Individual data from NASA'!$K:$K=$L70)
    )
)</f>
        <v>24324473272817.23</v>
      </c>
      <c r="Y70" cm="1">
        <f t="array" ref="Y70">_xlfn.STDEV.S(
    _xlfn._xlws.FILTER(
        'Individual data from NASA'!N:N,
        ('Individual data from NASA'!$C:$C=$F70) *
        ('Individual data from NASA'!$B:$B=$B70) *
        ('Individual data from NASA'!$K:$K=$L70)
    )
)</f>
        <v>169352074094178.09</v>
      </c>
      <c r="Z70" cm="1">
        <f t="array" ref="Z70">_xlfn.STDEV.S(
    _xlfn._xlws.FILTER(
        'Individual data from NASA'!O:O,
        ('Individual data from NASA'!$C:$C=$F70) *
        ('Individual data from NASA'!$B:$B=$B70) *
        ('Individual data from NASA'!$K:$K=$L70)
    )
)</f>
        <v>193040151263927.47</v>
      </c>
      <c r="AA70">
        <f t="shared" si="27"/>
        <v>-0.93577981651376152</v>
      </c>
      <c r="AB70">
        <f t="shared" si="28"/>
        <v>-1</v>
      </c>
      <c r="AC70">
        <f t="shared" si="29"/>
        <v>-0.97872340425531912</v>
      </c>
      <c r="AD70">
        <f t="shared" si="30"/>
        <v>0.1111111111111111</v>
      </c>
      <c r="AE70">
        <f t="shared" si="43"/>
        <v>15.25</v>
      </c>
      <c r="AF70">
        <f t="shared" si="44"/>
        <v>3.7401574803149602</v>
      </c>
      <c r="AG70">
        <f t="shared" si="45"/>
        <v>-0.97369919115388548</v>
      </c>
      <c r="AH70">
        <f t="shared" si="46"/>
        <v>-0.98800336115154852</v>
      </c>
      <c r="AI70">
        <f t="shared" si="47"/>
        <v>-0.98425724480027843</v>
      </c>
      <c r="AJ70">
        <f t="shared" si="47"/>
        <v>-0.70791175982750043</v>
      </c>
      <c r="AK70">
        <f t="shared" si="47"/>
        <v>-0.11084458328684597</v>
      </c>
      <c r="AL70">
        <f t="shared" si="47"/>
        <v>0.48772704958271917</v>
      </c>
      <c r="AM70">
        <f t="shared" si="47"/>
        <v>-0.96694237207694544</v>
      </c>
      <c r="AN70">
        <f t="shared" si="47"/>
        <v>-0.9381081424298553</v>
      </c>
      <c r="AO70">
        <f t="shared" si="47"/>
        <v>0.69018404907975439</v>
      </c>
      <c r="AP70">
        <f t="shared" si="47"/>
        <v>0.23587590492912874</v>
      </c>
    </row>
    <row r="71" spans="1:42" x14ac:dyDescent="0.2">
      <c r="A71" t="s">
        <v>32</v>
      </c>
      <c r="B71" t="s">
        <v>3</v>
      </c>
      <c r="C71" t="s">
        <v>110</v>
      </c>
      <c r="D71" t="s">
        <v>112</v>
      </c>
      <c r="E71">
        <v>30</v>
      </c>
      <c r="F71" t="s">
        <v>17</v>
      </c>
      <c r="G71">
        <v>1.4</v>
      </c>
      <c r="H71">
        <v>0</v>
      </c>
      <c r="I71">
        <v>4</v>
      </c>
      <c r="J71">
        <v>15</v>
      </c>
      <c r="K71" s="2">
        <f>AVERAGEIFS('Individual data from NASA'!J:J, 'Individual data from NASA'!$C:$C, $F71, 'Individual data from NASA'!$B:$B, $B71, 'Individual data from NASA'!$K:$K, $L71) + 273.15</f>
        <v>287.14999999999998</v>
      </c>
      <c r="L71">
        <v>85</v>
      </c>
      <c r="M71">
        <f>0.845*60*60</f>
        <v>3041.9999999999995</v>
      </c>
      <c r="N71" s="3">
        <f>AVERAGEIFS('Individual data from NASA'!M:M, 'Individual data from NASA'!$C:$C, $F71, 'Individual data from NASA'!$B:$B, $B71, 'Individual data from NASA'!$K:$K, $L71)</f>
        <v>240000000000000</v>
      </c>
      <c r="O71" s="3">
        <f>AVERAGEIFS('Individual data from NASA'!N:N, 'Individual data from NASA'!$C:$C, $F71, 'Individual data from NASA'!$B:$B, $B71, 'Individual data from NASA'!$K:$K, $L71)</f>
        <v>234000000000000</v>
      </c>
      <c r="P71" s="3">
        <f>AVERAGEIFS('Individual data from NASA'!O:O, 'Individual data from NASA'!$C:$C, $F71, 'Individual data from NASA'!$B:$B, $B71, 'Individual data from NASA'!$K:$K, $L71)</f>
        <v>474000000000000</v>
      </c>
      <c r="Q71" s="3">
        <f>AVERAGEIFS('Individual data from NASA'!P:P, 'Individual data from NASA'!$C:$C, $F71, 'Individual data from NASA'!$B:$B, $B71, 'Individual data from NASA'!$K:$K, $L71)</f>
        <v>17.25</v>
      </c>
      <c r="R71" s="3">
        <f>AVERAGEIFS('Individual data from NASA'!Q:Q, 'Individual data from NASA'!$C:$C, $F71, 'Individual data from NASA'!$B:$B, $B71, 'Individual data from NASA'!$K:$K, $L71)</f>
        <v>0.74213850650000002</v>
      </c>
      <c r="S71" s="3">
        <f>AVERAGEIFS('Individual data from NASA'!R:R, 'Individual data from NASA'!$C:$C, $F71, 'Individual data from NASA'!$B:$B, $B71, 'Individual data from NASA'!$K:$K, $L71)</f>
        <v>0.25786149349999998</v>
      </c>
      <c r="T71" s="3">
        <f>AVERAGEIFS('Individual data from NASA'!S:S, 'Individual data from NASA'!$C:$C, $F71, 'Individual data from NASA'!$B:$B, $B71, 'Individual data from NASA'!$K:$K, $L71)</f>
        <v>4.9009699644999998</v>
      </c>
      <c r="U71" s="3">
        <f>AVERAGEIFS('Individual data from NASA'!T:T, 'Individual data from NASA'!$C:$C, $F71, 'Individual data from NASA'!$B:$B, $B71, 'Individual data from NASA'!$K:$K, $L71)</f>
        <v>1.7052940355000001</v>
      </c>
      <c r="V71" s="3">
        <f>AVERAGEIFS('Individual data from NASA'!W:W, 'Individual data from NASA'!$C:$C, $F71, 'Individual data from NASA'!$B:$B, $B71, 'Individual data from NASA'!$K:$K, $L71)</f>
        <v>24.745950000000001</v>
      </c>
      <c r="W71" s="3">
        <f>AVERAGEIFS('Individual data from NASA'!U:U, 'Individual data from NASA'!$C:$C, $F71, 'Individual data from NASA'!$B:$B, $B71, 'Individual data from NASA'!$K:$K, $L71)</f>
        <v>23.478999999999999</v>
      </c>
      <c r="X71" cm="1">
        <f t="array" ref="X71">_xlfn.STDEV.S(
    _xlfn._xlws.FILTER(
        'Individual data from NASA'!M:M,
        ('Individual data from NASA'!$C:$C=$F71) *
        ('Individual data from NASA'!$B:$B=$B71) *
        ('Individual data from NASA'!$K:$K=$L71)
    )
)</f>
        <v>12727922061357.855</v>
      </c>
      <c r="Y71" cm="1">
        <f t="array" ref="Y71">_xlfn.STDEV.S(
    _xlfn._xlws.FILTER(
        'Individual data from NASA'!N:N,
        ('Individual data from NASA'!$C:$C=$F71) *
        ('Individual data from NASA'!$B:$B=$B71) *
        ('Individual data from NASA'!$K:$K=$L71)
    )
)</f>
        <v>2828427124746.1899</v>
      </c>
      <c r="Z71" cm="1">
        <f t="array" ref="Z71">_xlfn.STDEV.S(
    _xlfn._xlws.FILTER(
        'Individual data from NASA'!O:O,
        ('Individual data from NASA'!$C:$C=$F71) *
        ('Individual data from NASA'!$B:$B=$B71) *
        ('Individual data from NASA'!$K:$K=$L71)
    )
)</f>
        <v>15556349186104.045</v>
      </c>
      <c r="AA71">
        <f t="shared" si="27"/>
        <v>-0.93577981651376152</v>
      </c>
      <c r="AB71">
        <f t="shared" si="28"/>
        <v>-1</v>
      </c>
      <c r="AC71">
        <f t="shared" si="29"/>
        <v>-0.97872340425531912</v>
      </c>
      <c r="AD71">
        <f t="shared" si="30"/>
        <v>0.1111111111111111</v>
      </c>
      <c r="AE71">
        <f t="shared" si="43"/>
        <v>20.25</v>
      </c>
      <c r="AF71">
        <f t="shared" si="44"/>
        <v>5.6535433070866139</v>
      </c>
      <c r="AG71">
        <f t="shared" si="45"/>
        <v>-0.93611139551551137</v>
      </c>
      <c r="AH71">
        <f t="shared" si="46"/>
        <v>-0.98618837151026995</v>
      </c>
      <c r="AI71">
        <f t="shared" si="47"/>
        <v>-0.97525019580541294</v>
      </c>
      <c r="AJ71">
        <f t="shared" si="47"/>
        <v>-0.14164869795986071</v>
      </c>
      <c r="AK71">
        <f t="shared" si="47"/>
        <v>-8.9197414760682742E-2</v>
      </c>
      <c r="AL71">
        <f t="shared" si="47"/>
        <v>0.39247738267059357</v>
      </c>
      <c r="AM71">
        <f t="shared" si="47"/>
        <v>-0.9321739883401009</v>
      </c>
      <c r="AN71">
        <f t="shared" si="47"/>
        <v>-0.88054152908930716</v>
      </c>
      <c r="AO71">
        <f t="shared" si="47"/>
        <v>0.89769555214723917</v>
      </c>
      <c r="AP71">
        <f t="shared" si="47"/>
        <v>0.56059355596297755</v>
      </c>
    </row>
    <row r="72" spans="1:42" x14ac:dyDescent="0.2">
      <c r="A72" t="s">
        <v>32</v>
      </c>
      <c r="B72" t="s">
        <v>3</v>
      </c>
      <c r="C72" t="s">
        <v>110</v>
      </c>
      <c r="D72" t="s">
        <v>112</v>
      </c>
      <c r="E72">
        <v>30</v>
      </c>
      <c r="F72" t="s">
        <v>17</v>
      </c>
      <c r="G72">
        <v>1.4</v>
      </c>
      <c r="H72">
        <v>0</v>
      </c>
      <c r="I72">
        <v>4</v>
      </c>
      <c r="J72">
        <v>15</v>
      </c>
      <c r="K72" s="2">
        <f>AVERAGEIFS('Individual data from NASA'!J:J, 'Individual data from NASA'!$C:$C, $F72, 'Individual data from NASA'!$B:$B, $B72, 'Individual data from NASA'!$K:$K, $L72) + 273.15</f>
        <v>286.45</v>
      </c>
      <c r="L72">
        <v>100</v>
      </c>
      <c r="M72">
        <f>0.894*60*60</f>
        <v>3218.4</v>
      </c>
      <c r="N72" s="3">
        <f>AVERAGEIFS('Individual data from NASA'!M:M, 'Individual data from NASA'!$C:$C, $F72, 'Individual data from NASA'!$B:$B, $B72, 'Individual data from NASA'!$K:$K, $L72)</f>
        <v>314000000000000</v>
      </c>
      <c r="O72" s="3">
        <f>AVERAGEIFS('Individual data from NASA'!N:N, 'Individual data from NASA'!$C:$C, $F72, 'Individual data from NASA'!$B:$B, $B72, 'Individual data from NASA'!$K:$K, $L72)</f>
        <v>346000000000000</v>
      </c>
      <c r="P72" s="3">
        <f>AVERAGEIFS('Individual data from NASA'!O:O, 'Individual data from NASA'!$C:$C, $F72, 'Individual data from NASA'!$B:$B, $B72, 'Individual data from NASA'!$K:$K, $L72)</f>
        <v>660000000000000</v>
      </c>
      <c r="Q72" s="3">
        <f>AVERAGEIFS('Individual data from NASA'!P:P, 'Individual data from NASA'!$C:$C, $F72, 'Individual data from NASA'!$B:$B, $B72, 'Individual data from NASA'!$K:$K, $L72)</f>
        <v>32.700000000000003</v>
      </c>
      <c r="R72" s="3">
        <f>AVERAGEIFS('Individual data from NASA'!Q:Q, 'Individual data from NASA'!$C:$C, $F72, 'Individual data from NASA'!$B:$B, $B72, 'Individual data from NASA'!$K:$K, $L72)</f>
        <v>0.77900000000000003</v>
      </c>
      <c r="S72" s="3">
        <f>AVERAGEIFS('Individual data from NASA'!R:R, 'Individual data from NASA'!$C:$C, $F72, 'Individual data from NASA'!$B:$B, $B72, 'Individual data from NASA'!$K:$K, $L72)</f>
        <v>0.221</v>
      </c>
      <c r="T72" s="3">
        <f>AVERAGEIFS('Individual data from NASA'!S:S, 'Individual data from NASA'!$C:$C, $F72, 'Individual data from NASA'!$B:$B, $B72, 'Individual data from NASA'!$K:$K, $L72)</f>
        <v>7.7503348970000001</v>
      </c>
      <c r="U72" s="3">
        <f>AVERAGEIFS('Individual data from NASA'!T:T, 'Individual data from NASA'!$C:$C, $F72, 'Individual data from NASA'!$B:$B, $B72, 'Individual data from NASA'!$K:$K, $L72)</f>
        <v>2.1947851030000001</v>
      </c>
      <c r="V72" s="3">
        <f>AVERAGEIFS('Individual data from NASA'!W:W, 'Individual data from NASA'!$C:$C, $F72, 'Individual data from NASA'!$B:$B, $B72, 'Individual data from NASA'!$K:$K, $L72)</f>
        <v>26.936900000000001</v>
      </c>
      <c r="W72" s="3">
        <f>AVERAGEIFS('Individual data from NASA'!U:U, 'Individual data from NASA'!$C:$C, $F72, 'Individual data from NASA'!$B:$B, $B72, 'Individual data from NASA'!$K:$K, $L72)</f>
        <v>25.617899999999999</v>
      </c>
      <c r="X72" t="e" cm="1">
        <f t="array" ref="X72">_xlfn.STDEV.S(
    _xlfn._xlws.FILTER(
        'Individual data from NASA'!M:M,
        ('Individual data from NASA'!$C:$C=$F72) *
        ('Individual data from NASA'!$B:$B=$B72) *
        ('Individual data from NASA'!$K:$K=$L72)
    )
)</f>
        <v>#DIV/0!</v>
      </c>
      <c r="Y72" t="e" cm="1">
        <f t="array" ref="Y72">_xlfn.STDEV.S(
    _xlfn._xlws.FILTER(
        'Individual data from NASA'!N:N,
        ('Individual data from NASA'!$C:$C=$F72) *
        ('Individual data from NASA'!$B:$B=$B72) *
        ('Individual data from NASA'!$K:$K=$L72)
    )
)</f>
        <v>#DIV/0!</v>
      </c>
      <c r="Z72" t="e" cm="1">
        <f t="array" ref="Z72">_xlfn.STDEV.S(
    _xlfn._xlws.FILTER(
        'Individual data from NASA'!O:O,
        ('Individual data from NASA'!$C:$C=$F72) *
        ('Individual data from NASA'!$B:$B=$B72) *
        ('Individual data from NASA'!$K:$K=$L72)
    )
)</f>
        <v>#DIV/0!</v>
      </c>
      <c r="AA72">
        <f t="shared" si="27"/>
        <v>-0.93577981651376152</v>
      </c>
      <c r="AB72">
        <f t="shared" si="28"/>
        <v>-1</v>
      </c>
      <c r="AC72">
        <f t="shared" si="29"/>
        <v>-0.97872340425531912</v>
      </c>
      <c r="AD72">
        <f t="shared" si="30"/>
        <v>0.1111111111111111</v>
      </c>
      <c r="AE72">
        <f t="shared" ref="AE72:AP78" si="48">(L72-L$50)/L$50</f>
        <v>24</v>
      </c>
      <c r="AF72">
        <f t="shared" si="48"/>
        <v>6.0393700787401583</v>
      </c>
      <c r="AG72">
        <f t="shared" si="48"/>
        <v>-0.91641240913279409</v>
      </c>
      <c r="AH72">
        <f t="shared" si="48"/>
        <v>-0.97957767753227942</v>
      </c>
      <c r="AI72">
        <f t="shared" si="48"/>
        <v>-0.96553824732399274</v>
      </c>
      <c r="AJ72">
        <f t="shared" si="48"/>
        <v>0.62713551169348158</v>
      </c>
      <c r="AK72">
        <f t="shared" si="48"/>
        <v>-4.3958496039272481E-2</v>
      </c>
      <c r="AL72">
        <f t="shared" si="48"/>
        <v>0.19342169857633748</v>
      </c>
      <c r="AM72">
        <f t="shared" si="48"/>
        <v>-0.89274076174721584</v>
      </c>
      <c r="AN72">
        <f t="shared" si="48"/>
        <v>-0.84625192669188376</v>
      </c>
      <c r="AO72">
        <f t="shared" si="48"/>
        <v>1.0657131901840491</v>
      </c>
      <c r="AP72">
        <f t="shared" si="48"/>
        <v>0.70276117625554591</v>
      </c>
    </row>
    <row r="73" spans="1:42" x14ac:dyDescent="0.2">
      <c r="A73" t="s">
        <v>32</v>
      </c>
      <c r="B73" t="s">
        <v>3</v>
      </c>
      <c r="C73" t="s">
        <v>110</v>
      </c>
      <c r="D73" t="s">
        <v>112</v>
      </c>
      <c r="E73">
        <v>30</v>
      </c>
      <c r="F73" t="s">
        <v>16</v>
      </c>
      <c r="G73">
        <v>2.1</v>
      </c>
      <c r="H73">
        <v>0</v>
      </c>
      <c r="I73">
        <v>1083</v>
      </c>
      <c r="J73">
        <v>15</v>
      </c>
      <c r="K73" s="2">
        <f>AVERAGEIFS('Individual data from NASA'!J:J, 'Individual data from NASA'!$C:$C, $F73, 'Individual data from NASA'!$B:$B, $B73, 'Individual data from NASA'!$K:$K, $L73) + 273.15</f>
        <v>286.45</v>
      </c>
      <c r="L73">
        <v>4</v>
      </c>
      <c r="M73">
        <f>0.127*60*60</f>
        <v>457.2</v>
      </c>
      <c r="N73" s="3">
        <f>AVERAGEIFS('Individual data from NASA'!M:M, 'Individual data from NASA'!$C:$C, $F73, 'Individual data from NASA'!$B:$B, $B73, 'Individual data from NASA'!$K:$K, $L73)</f>
        <v>459000000000000</v>
      </c>
      <c r="O73" s="3">
        <f>AVERAGEIFS('Individual data from NASA'!N:N, 'Individual data from NASA'!$C:$C, $F73, 'Individual data from NASA'!$B:$B, $B73, 'Individual data from NASA'!$K:$K, $L73)</f>
        <v>1.985E+16</v>
      </c>
      <c r="P73" s="3">
        <f>AVERAGEIFS('Individual data from NASA'!O:O, 'Individual data from NASA'!$C:$C, $F73, 'Individual data from NASA'!$B:$B, $B73, 'Individual data from NASA'!$K:$K, $L73)</f>
        <v>2.035E+16</v>
      </c>
      <c r="Q73" s="3">
        <f>AVERAGEIFS('Individual data from NASA'!P:P, 'Individual data from NASA'!$C:$C, $F73, 'Individual data from NASA'!$B:$B, $B73, 'Individual data from NASA'!$K:$K, $L73)</f>
        <v>3.3649999999999998</v>
      </c>
      <c r="R73" s="3">
        <f>AVERAGEIFS('Individual data from NASA'!Q:Q, 'Individual data from NASA'!$C:$C, $F73, 'Individual data from NASA'!$B:$B, $B73, 'Individual data from NASA'!$K:$K, $L73)</f>
        <v>0.873</v>
      </c>
      <c r="S73" s="3">
        <f>AVERAGEIFS('Individual data from NASA'!R:R, 'Individual data from NASA'!$C:$C, $F73, 'Individual data from NASA'!$B:$B, $B73, 'Individual data from NASA'!$K:$K, $L73)</f>
        <v>0.127</v>
      </c>
      <c r="T73" s="3">
        <f>AVERAGEIFS('Individual data from NASA'!S:S, 'Individual data from NASA'!$C:$C, $F73, 'Individual data from NASA'!$B:$B, $B73, 'Individual data from NASA'!$K:$K, $L73)</f>
        <v>33.023258370000001</v>
      </c>
      <c r="U73" s="3">
        <f>AVERAGEIFS('Individual data from NASA'!T:T, 'Individual data from NASA'!$C:$C, $F73, 'Individual data from NASA'!$B:$B, $B73, 'Individual data from NASA'!$K:$K, $L73)</f>
        <v>4.8209136309999998</v>
      </c>
      <c r="V73" s="3">
        <f>AVERAGEIFS('Individual data from NASA'!W:W, 'Individual data from NASA'!$C:$C, $F73, 'Individual data from NASA'!$B:$B, $B73, 'Individual data from NASA'!$K:$K, $L73)</f>
        <v>12.55</v>
      </c>
      <c r="W73" s="3">
        <f>AVERAGEIFS('Individual data from NASA'!U:U, 'Individual data from NASA'!$C:$C, $F73, 'Individual data from NASA'!$B:$B, $B73, 'Individual data from NASA'!$K:$K, $L73)</f>
        <v>13.249749999999999</v>
      </c>
      <c r="X73" cm="1">
        <f t="array" ref="X73">_xlfn.STDEV.S(
    _xlfn._xlws.FILTER(
        'Individual data from NASA'!M:M,
        ('Individual data from NASA'!$C:$C=$F73) *
        ('Individual data from NASA'!$B:$B=$B73) *
        ('Individual data from NASA'!$K:$K=$L73)
    )
)</f>
        <v>171119841047144.5</v>
      </c>
      <c r="Y73" cm="1">
        <f t="array" ref="Y73">_xlfn.STDEV.S(
    _xlfn._xlws.FILTER(
        'Individual data from NASA'!N:N,
        ('Individual data from NASA'!$C:$C=$F73) *
        ('Individual data from NASA'!$B:$B=$B73) *
        ('Individual data from NASA'!$K:$K=$L73)
    )
)</f>
        <v>1343502884254440.2</v>
      </c>
      <c r="Z73" cm="1">
        <f t="array" ref="Z73">_xlfn.STDEV.S(
    _xlfn._xlws.FILTER(
        'Individual data from NASA'!O:O,
        ('Individual data from NASA'!$C:$C=$F73) *
        ('Individual data from NASA'!$B:$B=$B73) *
        ('Individual data from NASA'!$K:$K=$L73)
    )
)</f>
        <v>1484924240491749.8</v>
      </c>
      <c r="AA73">
        <f t="shared" si="27"/>
        <v>-0.90366972477064211</v>
      </c>
      <c r="AB73">
        <f t="shared" si="28"/>
        <v>-1</v>
      </c>
      <c r="AC73">
        <f t="shared" si="29"/>
        <v>4.7606382978723403</v>
      </c>
      <c r="AD73">
        <f t="shared" si="30"/>
        <v>0.1111111111111111</v>
      </c>
      <c r="AE73">
        <f t="shared" si="48"/>
        <v>0</v>
      </c>
      <c r="AF73">
        <f t="shared" si="48"/>
        <v>0</v>
      </c>
      <c r="AG73">
        <f t="shared" si="48"/>
        <v>-0.87781304392341564</v>
      </c>
      <c r="AH73">
        <f t="shared" si="48"/>
        <v>0.17162745949206049</v>
      </c>
      <c r="AI73">
        <f t="shared" si="48"/>
        <v>6.2570707510225324E-2</v>
      </c>
      <c r="AJ73">
        <f t="shared" si="48"/>
        <v>-0.83255929673245987</v>
      </c>
      <c r="AK73">
        <f t="shared" si="48"/>
        <v>7.1404663617092551E-2</v>
      </c>
      <c r="AL73">
        <f t="shared" si="48"/>
        <v>-0.3141875306823762</v>
      </c>
      <c r="AM73">
        <f t="shared" si="48"/>
        <v>-0.54298109895068747</v>
      </c>
      <c r="AN73">
        <f t="shared" si="48"/>
        <v>-0.66228758280801703</v>
      </c>
      <c r="AO73">
        <f t="shared" si="48"/>
        <v>-3.7576687116564429E-2</v>
      </c>
      <c r="AP73">
        <f t="shared" si="48"/>
        <v>-0.11932047923163418</v>
      </c>
    </row>
    <row r="74" spans="1:42" x14ac:dyDescent="0.2">
      <c r="A74" t="s">
        <v>32</v>
      </c>
      <c r="B74" t="s">
        <v>3</v>
      </c>
      <c r="C74" t="s">
        <v>110</v>
      </c>
      <c r="D74" t="s">
        <v>112</v>
      </c>
      <c r="E74">
        <v>30</v>
      </c>
      <c r="F74" t="s">
        <v>16</v>
      </c>
      <c r="G74">
        <v>2.1</v>
      </c>
      <c r="H74">
        <v>0</v>
      </c>
      <c r="I74">
        <v>1083</v>
      </c>
      <c r="J74">
        <v>15</v>
      </c>
      <c r="K74" s="2">
        <f>AVERAGEIFS('Individual data from NASA'!J:J, 'Individual data from NASA'!$C:$C, $F74, 'Individual data from NASA'!$B:$B, $B74, 'Individual data from NASA'!$K:$K, $L74) + 273.15</f>
        <v>287.01666666666665</v>
      </c>
      <c r="L74">
        <v>7</v>
      </c>
      <c r="M74">
        <f>0.15586*60*60</f>
        <v>561.096</v>
      </c>
      <c r="N74" s="3">
        <f>AVERAGEIFS('Individual data from NASA'!M:M, 'Individual data from NASA'!$C:$C, $F74, 'Individual data from NASA'!$B:$B, $B74, 'Individual data from NASA'!$K:$K, $L74)</f>
        <v>304333333333333.31</v>
      </c>
      <c r="O74" s="3">
        <f>AVERAGEIFS('Individual data from NASA'!N:N, 'Individual data from NASA'!$C:$C, $F74, 'Individual data from NASA'!$B:$B, $B74, 'Individual data from NASA'!$K:$K, $L74)</f>
        <v>2.02E+16</v>
      </c>
      <c r="P74" s="3">
        <f>AVERAGEIFS('Individual data from NASA'!O:O, 'Individual data from NASA'!$C:$C, $F74, 'Individual data from NASA'!$B:$B, $B74, 'Individual data from NASA'!$K:$K, $L74)</f>
        <v>2.05E+16</v>
      </c>
      <c r="Q74" s="3">
        <f>AVERAGEIFS('Individual data from NASA'!P:P, 'Individual data from NASA'!$C:$C, $F74, 'Individual data from NASA'!$B:$B, $B74, 'Individual data from NASA'!$K:$K, $L74)</f>
        <v>8.3633333333333333</v>
      </c>
      <c r="R74" s="3">
        <f>AVERAGEIFS('Individual data from NASA'!Q:Q, 'Individual data from NASA'!$C:$C, $F74, 'Individual data from NASA'!$B:$B, $B74, 'Individual data from NASA'!$K:$K, $L74)</f>
        <v>0.8613333333333334</v>
      </c>
      <c r="S74" s="3">
        <f>AVERAGEIFS('Individual data from NASA'!R:R, 'Individual data from NASA'!$C:$C, $F74, 'Individual data from NASA'!$B:$B, $B74, 'Individual data from NASA'!$K:$K, $L74)</f>
        <v>0.13866666666666669</v>
      </c>
      <c r="T74" s="3">
        <f>AVERAGEIFS('Individual data from NASA'!S:S, 'Individual data from NASA'!$C:$C, $F74, 'Individual data from NASA'!$B:$B, $B74, 'Individual data from NASA'!$K:$K, $L74)</f>
        <v>36.036477243333337</v>
      </c>
      <c r="U74" s="3">
        <f>AVERAGEIFS('Individual data from NASA'!T:T, 'Individual data from NASA'!$C:$C, $F74, 'Individual data from NASA'!$B:$B, $B74, 'Individual data from NASA'!$K:$K, $L74)</f>
        <v>5.8074827576666666</v>
      </c>
      <c r="V74" s="3">
        <f>AVERAGEIFS('Individual data from NASA'!W:W, 'Individual data from NASA'!$C:$C, $F74, 'Individual data from NASA'!$B:$B, $B74, 'Individual data from NASA'!$K:$K, $L74)</f>
        <v>15.176000000000002</v>
      </c>
      <c r="W74" s="3">
        <f>AVERAGEIFS('Individual data from NASA'!U:U, 'Individual data from NASA'!$C:$C, $F74, 'Individual data from NASA'!$B:$B, $B74, 'Individual data from NASA'!$K:$K, $L74)</f>
        <v>13.173933333333332</v>
      </c>
      <c r="X74" cm="1">
        <f t="array" ref="X74">_xlfn.STDEV.S(
    _xlfn._xlws.FILTER(
        'Individual data from NASA'!M:M,
        ('Individual data from NASA'!$C:$C=$F74) *
        ('Individual data from NASA'!$B:$B=$B74) *
        ('Individual data from NASA'!$K:$K=$L74)
    )
)</f>
        <v>51617180602327.969</v>
      </c>
      <c r="Y74" cm="1">
        <f t="array" ref="Y74">_xlfn.STDEV.S(
    _xlfn._xlws.FILTER(
        'Individual data from NASA'!N:N,
        ('Individual data from NASA'!$C:$C=$F74) *
        ('Individual data from NASA'!$B:$B=$B74) *
        ('Individual data from NASA'!$K:$K=$L74)
    )
)</f>
        <v>458257569495584</v>
      </c>
      <c r="Z74" cm="1">
        <f t="array" ref="Z74">_xlfn.STDEV.S(
    _xlfn._xlws.FILTER(
        'Individual data from NASA'!O:O,
        ('Individual data from NASA'!$C:$C=$F74) *
        ('Individual data from NASA'!$B:$B=$B74) *
        ('Individual data from NASA'!$K:$K=$L74)
    )
)</f>
        <v>360555127546398.94</v>
      </c>
      <c r="AA74">
        <f t="shared" si="27"/>
        <v>-0.90366972477064211</v>
      </c>
      <c r="AB74">
        <f t="shared" si="28"/>
        <v>-1</v>
      </c>
      <c r="AC74">
        <f t="shared" si="29"/>
        <v>4.7606382978723403</v>
      </c>
      <c r="AD74">
        <f t="shared" si="30"/>
        <v>0.1111111111111111</v>
      </c>
      <c r="AE74">
        <f t="shared" si="48"/>
        <v>0.75</v>
      </c>
      <c r="AF74">
        <f t="shared" si="48"/>
        <v>0.22724409448818902</v>
      </c>
      <c r="AG74">
        <f t="shared" si="48"/>
        <v>-0.91898570014675263</v>
      </c>
      <c r="AH74">
        <f t="shared" si="48"/>
        <v>0.19228587817328072</v>
      </c>
      <c r="AI74">
        <f t="shared" si="48"/>
        <v>7.0402924027499703E-2</v>
      </c>
      <c r="AJ74">
        <f t="shared" si="48"/>
        <v>-0.58384475037319628</v>
      </c>
      <c r="AK74">
        <f t="shared" si="48"/>
        <v>5.7086540964706889E-2</v>
      </c>
      <c r="AL74">
        <f t="shared" si="48"/>
        <v>-0.25118638520700382</v>
      </c>
      <c r="AM74">
        <f t="shared" si="48"/>
        <v>-0.50128024791162484</v>
      </c>
      <c r="AN74">
        <f t="shared" si="48"/>
        <v>-0.59317689757375924</v>
      </c>
      <c r="AO74">
        <f t="shared" si="48"/>
        <v>0.16380368098159515</v>
      </c>
      <c r="AP74">
        <f t="shared" si="48"/>
        <v>-0.12435983360935865</v>
      </c>
    </row>
    <row r="75" spans="1:42" x14ac:dyDescent="0.2">
      <c r="A75" t="s">
        <v>32</v>
      </c>
      <c r="B75" t="s">
        <v>3</v>
      </c>
      <c r="C75" t="s">
        <v>110</v>
      </c>
      <c r="D75" t="s">
        <v>112</v>
      </c>
      <c r="E75">
        <v>30</v>
      </c>
      <c r="F75" t="s">
        <v>16</v>
      </c>
      <c r="G75">
        <v>2.1</v>
      </c>
      <c r="H75">
        <v>0</v>
      </c>
      <c r="I75">
        <v>1083</v>
      </c>
      <c r="J75">
        <v>15</v>
      </c>
      <c r="K75" s="2">
        <f>AVERAGEIFS('Individual data from NASA'!J:J, 'Individual data from NASA'!$C:$C, $F75, 'Individual data from NASA'!$B:$B, $B75, 'Individual data from NASA'!$K:$K, $L75) + 273.15</f>
        <v>287.04999999999995</v>
      </c>
      <c r="L75">
        <v>30</v>
      </c>
      <c r="M75">
        <f>0.342*60*60</f>
        <v>1231.2000000000003</v>
      </c>
      <c r="N75" s="3">
        <f>AVERAGEIFS('Individual data from NASA'!M:M, 'Individual data from NASA'!$C:$C, $F75, 'Individual data from NASA'!$B:$B, $B75, 'Individual data from NASA'!$K:$K, $L75)</f>
        <v>64050000000000</v>
      </c>
      <c r="O75" s="3">
        <f>AVERAGEIFS('Individual data from NASA'!N:N, 'Individual data from NASA'!$C:$C, $F75, 'Individual data from NASA'!$B:$B, $B75, 'Individual data from NASA'!$K:$K, $L75)</f>
        <v>1.555E+16</v>
      </c>
      <c r="P75" s="3">
        <f>AVERAGEIFS('Individual data from NASA'!O:O, 'Individual data from NASA'!$C:$C, $F75, 'Individual data from NASA'!$B:$B, $B75, 'Individual data from NASA'!$K:$K, $L75)</f>
        <v>1.56E+16</v>
      </c>
      <c r="Q75" s="3">
        <f>AVERAGEIFS('Individual data from NASA'!P:P, 'Individual data from NASA'!$C:$C, $F75, 'Individual data from NASA'!$B:$B, $B75, 'Individual data from NASA'!$K:$K, $L75)</f>
        <v>5.4035000000000002</v>
      </c>
      <c r="R75" s="3">
        <f>AVERAGEIFS('Individual data from NASA'!Q:Q, 'Individual data from NASA'!$C:$C, $F75, 'Individual data from NASA'!$B:$B, $B75, 'Individual data from NASA'!$K:$K, $L75)</f>
        <v>0.78400000000000003</v>
      </c>
      <c r="S75" s="3">
        <f>AVERAGEIFS('Individual data from NASA'!R:R, 'Individual data from NASA'!$C:$C, $F75, 'Individual data from NASA'!$B:$B, $B75, 'Individual data from NASA'!$K:$K, $L75)</f>
        <v>0.216</v>
      </c>
      <c r="T75" s="3">
        <f>AVERAGEIFS('Individual data from NASA'!S:S, 'Individual data from NASA'!$C:$C, $F75, 'Individual data from NASA'!$B:$B, $B75, 'Individual data from NASA'!$K:$K, $L75)</f>
        <v>45.468815495000001</v>
      </c>
      <c r="U75" s="3">
        <f>AVERAGEIFS('Individual data from NASA'!T:T, 'Individual data from NASA'!$C:$C, $F75, 'Individual data from NASA'!$B:$B, $B75, 'Individual data from NASA'!$K:$K, $L75)</f>
        <v>12.348043104999999</v>
      </c>
      <c r="V75" s="3">
        <f>AVERAGEIFS('Individual data from NASA'!W:W, 'Individual data from NASA'!$C:$C, $F75, 'Individual data from NASA'!$B:$B, $B75, 'Individual data from NASA'!$K:$K, $L75)</f>
        <v>16.495249999999999</v>
      </c>
      <c r="W75" s="3">
        <f>AVERAGEIFS('Individual data from NASA'!U:U, 'Individual data from NASA'!$C:$C, $F75, 'Individual data from NASA'!$B:$B, $B75, 'Individual data from NASA'!$K:$K, $L75)</f>
        <v>13.766449999999999</v>
      </c>
      <c r="X75" cm="1">
        <f t="array" ref="X75">_xlfn.STDEV.S(
    _xlfn._xlws.FILTER(
        'Individual data from NASA'!M:M,
        ('Individual data from NASA'!$C:$C=$F75) *
        ('Individual data from NASA'!$B:$B=$B75) *
        ('Individual data from NASA'!$K:$K=$L75)
    )
)</f>
        <v>3889087296526.0112</v>
      </c>
      <c r="Y75" cm="1">
        <f t="array" ref="Y75">_xlfn.STDEV.S(
    _xlfn._xlws.FILTER(
        'Individual data from NASA'!N:N,
        ('Individual data from NASA'!$C:$C=$F75) *
        ('Individual data from NASA'!$B:$B=$B75) *
        ('Individual data from NASA'!$K:$K=$L75)
    )
)</f>
        <v>1767766952966368.8</v>
      </c>
      <c r="Z75" cm="1">
        <f t="array" ref="Z75">_xlfn.STDEV.S(
    _xlfn._xlws.FILTER(
        'Individual data from NASA'!O:O,
        ('Individual data from NASA'!$C:$C=$F75) *
        ('Individual data from NASA'!$B:$B=$B75) *
        ('Individual data from NASA'!$K:$K=$L75)
    )
)</f>
        <v>1697056274847714</v>
      </c>
      <c r="AA75">
        <f t="shared" si="27"/>
        <v>-0.90366972477064211</v>
      </c>
      <c r="AB75">
        <f t="shared" si="28"/>
        <v>-1</v>
      </c>
      <c r="AC75">
        <f t="shared" si="29"/>
        <v>4.7606382978723403</v>
      </c>
      <c r="AD75">
        <f t="shared" si="30"/>
        <v>0.1111111111111111</v>
      </c>
      <c r="AE75">
        <f t="shared" si="48"/>
        <v>6.5</v>
      </c>
      <c r="AF75">
        <f t="shared" si="48"/>
        <v>1.6929133858267722</v>
      </c>
      <c r="AG75">
        <f t="shared" si="48"/>
        <v>-0.98294972867820207</v>
      </c>
      <c r="AH75">
        <f t="shared" si="48"/>
        <v>-8.2175970020073513E-2</v>
      </c>
      <c r="AI75">
        <f t="shared" si="48"/>
        <v>-0.18544948220346363</v>
      </c>
      <c r="AJ75">
        <f t="shared" si="48"/>
        <v>-0.731124564604412</v>
      </c>
      <c r="AK75">
        <f t="shared" si="48"/>
        <v>-3.7822157759678593E-2</v>
      </c>
      <c r="AL75">
        <f t="shared" si="48"/>
        <v>0.16642120765832077</v>
      </c>
      <c r="AM75">
        <f t="shared" si="48"/>
        <v>-0.37074325444467482</v>
      </c>
      <c r="AN75">
        <f t="shared" si="48"/>
        <v>-0.13500058209602303</v>
      </c>
      <c r="AO75">
        <f t="shared" si="48"/>
        <v>0.26497315950920225</v>
      </c>
      <c r="AP75">
        <f t="shared" si="48"/>
        <v>-8.4976653243897443E-2</v>
      </c>
    </row>
    <row r="76" spans="1:42" x14ac:dyDescent="0.2">
      <c r="A76" t="s">
        <v>32</v>
      </c>
      <c r="B76" t="s">
        <v>3</v>
      </c>
      <c r="C76" t="s">
        <v>110</v>
      </c>
      <c r="D76" t="s">
        <v>112</v>
      </c>
      <c r="E76">
        <v>30</v>
      </c>
      <c r="F76" t="s">
        <v>16</v>
      </c>
      <c r="G76">
        <v>2.1</v>
      </c>
      <c r="H76">
        <v>0</v>
      </c>
      <c r="I76">
        <v>1083</v>
      </c>
      <c r="J76">
        <v>15</v>
      </c>
      <c r="K76" s="2">
        <f>AVERAGEIFS('Individual data from NASA'!J:J, 'Individual data from NASA'!$C:$C, $F76, 'Individual data from NASA'!$B:$B, $B76, 'Individual data from NASA'!$K:$K, $L76) + 273.15</f>
        <v>287.29999999999995</v>
      </c>
      <c r="L76">
        <v>65</v>
      </c>
      <c r="M76">
        <f>0.602*60*60</f>
        <v>2167.1999999999998</v>
      </c>
      <c r="N76" s="3">
        <f>AVERAGEIFS('Individual data from NASA'!M:M, 'Individual data from NASA'!$C:$C, $F76, 'Individual data from NASA'!$B:$B, $B76, 'Individual data from NASA'!$K:$K, $L76)</f>
        <v>127000000000000</v>
      </c>
      <c r="O76" s="3">
        <f>AVERAGEIFS('Individual data from NASA'!N:N, 'Individual data from NASA'!$C:$C, $F76, 'Individual data from NASA'!$B:$B, $B76, 'Individual data from NASA'!$K:$K, $L76)</f>
        <v>1.255E+16</v>
      </c>
      <c r="P76" s="3">
        <f>AVERAGEIFS('Individual data from NASA'!O:O, 'Individual data from NASA'!$C:$C, $F76, 'Individual data from NASA'!$B:$B, $B76, 'Individual data from NASA'!$K:$K, $L76)</f>
        <v>1.265E+16</v>
      </c>
      <c r="Q76" s="3">
        <f>AVERAGEIFS('Individual data from NASA'!P:P, 'Individual data from NASA'!$C:$C, $F76, 'Individual data from NASA'!$B:$B, $B76, 'Individual data from NASA'!$K:$K, $L76)</f>
        <v>6.4649999999999999</v>
      </c>
      <c r="R76" s="3">
        <f>AVERAGEIFS('Individual data from NASA'!Q:Q, 'Individual data from NASA'!$C:$C, $F76, 'Individual data from NASA'!$B:$B, $B76, 'Individual data from NASA'!$K:$K, $L76)</f>
        <v>0.73049999999999993</v>
      </c>
      <c r="S76" s="3">
        <f>AVERAGEIFS('Individual data from NASA'!R:R, 'Individual data from NASA'!$C:$C, $F76, 'Individual data from NASA'!$B:$B, $B76, 'Individual data from NASA'!$K:$K, $L76)</f>
        <v>0.26949999999999996</v>
      </c>
      <c r="T76" s="3">
        <f>AVERAGEIFS('Individual data from NASA'!S:S, 'Individual data from NASA'!$C:$C, $F76, 'Individual data from NASA'!$B:$B, $B76, 'Individual data from NASA'!$K:$K, $L76)</f>
        <v>62.390438204999995</v>
      </c>
      <c r="U76" s="3">
        <f>AVERAGEIFS('Individual data from NASA'!T:T, 'Individual data from NASA'!$C:$C, $F76, 'Individual data from NASA'!$B:$B, $B76, 'Individual data from NASA'!$K:$K, $L76)</f>
        <v>22.640589795</v>
      </c>
      <c r="V76" s="3">
        <f>AVERAGEIFS('Individual data from NASA'!W:W, 'Individual data from NASA'!$C:$C, $F76, 'Individual data from NASA'!$B:$B, $B76, 'Individual data from NASA'!$K:$K, $L76)</f>
        <v>17.8947</v>
      </c>
      <c r="W76" s="3">
        <f>AVERAGEIFS('Individual data from NASA'!U:U, 'Individual data from NASA'!$C:$C, $F76, 'Individual data from NASA'!$B:$B, $B76, 'Individual data from NASA'!$K:$K, $L76)</f>
        <v>15.579599999999999</v>
      </c>
      <c r="X76" cm="1">
        <f t="array" ref="X76">_xlfn.STDEV.S(
    _xlfn._xlws.FILTER(
        'Individual data from NASA'!M:M,
        ('Individual data from NASA'!$C:$C=$F76) *
        ('Individual data from NASA'!$B:$B=$B76) *
        ('Individual data from NASA'!$K:$K=$L76)
    )
)</f>
        <v>28284271247461.93</v>
      </c>
      <c r="Y76" cm="1">
        <f t="array" ref="Y76">_xlfn.STDEV.S(
    _xlfn._xlws.FILTER(
        'Individual data from NASA'!N:N,
        ('Individual data from NASA'!$C:$C=$F76) *
        ('Individual data from NASA'!$B:$B=$B76) *
        ('Individual data from NASA'!$K:$K=$L76)
    )
)</f>
        <v>353553390593273.75</v>
      </c>
      <c r="Z76" cm="1">
        <f t="array" ref="Z76">_xlfn.STDEV.S(
    _xlfn._xlws.FILTER(
        'Individual data from NASA'!O:O,
        ('Individual data from NASA'!$C:$C=$F76) *
        ('Individual data from NASA'!$B:$B=$B76) *
        ('Individual data from NASA'!$K:$K=$L76)
    )
)</f>
        <v>353553390593273.75</v>
      </c>
      <c r="AA76">
        <f t="shared" si="27"/>
        <v>-0.90366972477064211</v>
      </c>
      <c r="AB76">
        <f t="shared" si="28"/>
        <v>-1</v>
      </c>
      <c r="AC76">
        <f t="shared" si="29"/>
        <v>4.7606382978723403</v>
      </c>
      <c r="AD76">
        <f t="shared" si="30"/>
        <v>0.1111111111111111</v>
      </c>
      <c r="AE76">
        <f t="shared" si="48"/>
        <v>15.25</v>
      </c>
      <c r="AF76">
        <f t="shared" si="48"/>
        <v>3.7401574803149602</v>
      </c>
      <c r="AG76">
        <f t="shared" si="48"/>
        <v>-0.96619228012695813</v>
      </c>
      <c r="AH76">
        <f t="shared" si="48"/>
        <v>-0.25924813014481818</v>
      </c>
      <c r="AI76">
        <f t="shared" si="48"/>
        <v>-0.33948307370985992</v>
      </c>
      <c r="AJ76">
        <f t="shared" si="48"/>
        <v>-0.67830485984408695</v>
      </c>
      <c r="AK76">
        <f t="shared" si="48"/>
        <v>-0.1034809773513333</v>
      </c>
      <c r="AL76">
        <f t="shared" si="48"/>
        <v>0.45532646048109909</v>
      </c>
      <c r="AM76">
        <f t="shared" si="48"/>
        <v>-0.13655977902115962</v>
      </c>
      <c r="AN76">
        <f t="shared" si="48"/>
        <v>0.58600814940042467</v>
      </c>
      <c r="AO76">
        <f t="shared" si="48"/>
        <v>0.37229294478527597</v>
      </c>
      <c r="AP76">
        <f t="shared" si="48"/>
        <v>3.5539135588432441E-2</v>
      </c>
    </row>
    <row r="77" spans="1:42" x14ac:dyDescent="0.2">
      <c r="A77" t="s">
        <v>32</v>
      </c>
      <c r="B77" t="s">
        <v>3</v>
      </c>
      <c r="C77" t="s">
        <v>110</v>
      </c>
      <c r="D77" t="s">
        <v>112</v>
      </c>
      <c r="E77">
        <v>30</v>
      </c>
      <c r="F77" t="s">
        <v>16</v>
      </c>
      <c r="G77">
        <v>2.1</v>
      </c>
      <c r="H77">
        <v>0</v>
      </c>
      <c r="I77">
        <v>1083</v>
      </c>
      <c r="J77">
        <v>15</v>
      </c>
      <c r="K77" s="2">
        <f>AVERAGEIFS('Individual data from NASA'!J:J, 'Individual data from NASA'!$C:$C, $F77, 'Individual data from NASA'!$B:$B, $B77, 'Individual data from NASA'!$K:$K, $L77) + 273.15</f>
        <v>288.14999999999998</v>
      </c>
      <c r="L77">
        <v>85</v>
      </c>
      <c r="M77">
        <f>0.845*60*60</f>
        <v>3041.9999999999995</v>
      </c>
      <c r="N77" s="3">
        <f>AVERAGEIFS('Individual data from NASA'!M:M, 'Individual data from NASA'!$C:$C, $F77, 'Individual data from NASA'!$B:$B, $B77, 'Individual data from NASA'!$K:$K, $L77)</f>
        <v>253000000000000</v>
      </c>
      <c r="O77" s="3">
        <f>AVERAGEIFS('Individual data from NASA'!N:N, 'Individual data from NASA'!$C:$C, $F77, 'Individual data from NASA'!$B:$B, $B77, 'Individual data from NASA'!$K:$K, $L77)</f>
        <v>1.019E+16</v>
      </c>
      <c r="P77" s="3">
        <f>AVERAGEIFS('Individual data from NASA'!O:O, 'Individual data from NASA'!$C:$C, $F77, 'Individual data from NASA'!$B:$B, $B77, 'Individual data from NASA'!$K:$K, $L77)</f>
        <v>1.04E+16</v>
      </c>
      <c r="Q77" s="3">
        <f>AVERAGEIFS('Individual data from NASA'!P:P, 'Individual data from NASA'!$C:$C, $F77, 'Individual data from NASA'!$B:$B, $B77, 'Individual data from NASA'!$K:$K, $L77)</f>
        <v>16.3</v>
      </c>
      <c r="R77" s="3">
        <f>AVERAGEIFS('Individual data from NASA'!Q:Q, 'Individual data from NASA'!$C:$C, $F77, 'Individual data from NASA'!$B:$B, $B77, 'Individual data from NASA'!$K:$K, $L77)</f>
        <v>0.70021851300000004</v>
      </c>
      <c r="S77" s="3">
        <f>AVERAGEIFS('Individual data from NASA'!R:R, 'Individual data from NASA'!$C:$C, $F77, 'Individual data from NASA'!$B:$B, $B77, 'Individual data from NASA'!$K:$K, $L77)</f>
        <v>0.29978148699999996</v>
      </c>
      <c r="T77" s="3">
        <f>AVERAGEIFS('Individual data from NASA'!S:S, 'Individual data from NASA'!$C:$C, $F77, 'Individual data from NASA'!$B:$B, $B77, 'Individual data from NASA'!$K:$K, $L77)</f>
        <v>40.746954389999999</v>
      </c>
      <c r="U77" s="3">
        <f>AVERAGEIFS('Individual data from NASA'!T:T, 'Individual data from NASA'!$C:$C, $F77, 'Individual data from NASA'!$B:$B, $B77, 'Individual data from NASA'!$K:$K, $L77)</f>
        <v>17.406707609999998</v>
      </c>
      <c r="V77" s="3">
        <f>AVERAGEIFS('Individual data from NASA'!W:W, 'Individual data from NASA'!$C:$C, $F77, 'Individual data from NASA'!$B:$B, $B77, 'Individual data from NASA'!$K:$K, $L77)</f>
        <v>21.96105</v>
      </c>
      <c r="W77" s="3">
        <f>AVERAGEIFS('Individual data from NASA'!U:U, 'Individual data from NASA'!$C:$C, $F77, 'Individual data from NASA'!$B:$B, $B77, 'Individual data from NASA'!$K:$K, $L77)</f>
        <v>14.592449999999999</v>
      </c>
      <c r="X77" cm="1">
        <f t="array" ref="X77">_xlfn.STDEV.S(
    _xlfn._xlws.FILTER(
        'Individual data from NASA'!M:M,
        ('Individual data from NASA'!$C:$C=$F77) *
        ('Individual data from NASA'!$B:$B=$B77) *
        ('Individual data from NASA'!$K:$K=$L77)
    )
)</f>
        <v>1414213562373.095</v>
      </c>
      <c r="Y77" cm="1">
        <f t="array" ref="Y77">_xlfn.STDEV.S(
    _xlfn._xlws.FILTER(
        'Individual data from NASA'!N:N,
        ('Individual data from NASA'!$C:$C=$F77) *
        ('Individual data from NASA'!$B:$B=$B77) *
        ('Individual data from NASA'!$K:$K=$L77)
    )
)</f>
        <v>296984848098349.94</v>
      </c>
      <c r="Z77" cm="1">
        <f t="array" ref="Z77">_xlfn.STDEV.S(
    _xlfn._xlws.FILTER(
        'Individual data from NASA'!O:O,
        ('Individual data from NASA'!$C:$C=$F77) *
        ('Individual data from NASA'!$B:$B=$B77) *
        ('Individual data from NASA'!$K:$K=$L77)
    )
)</f>
        <v>282842712474619</v>
      </c>
      <c r="AA77">
        <f t="shared" si="27"/>
        <v>-0.90366972477064211</v>
      </c>
      <c r="AB77">
        <f t="shared" si="28"/>
        <v>-1</v>
      </c>
      <c r="AC77">
        <f t="shared" si="29"/>
        <v>4.7606382978723403</v>
      </c>
      <c r="AD77">
        <f t="shared" si="30"/>
        <v>0.1111111111111111</v>
      </c>
      <c r="AE77">
        <f t="shared" si="48"/>
        <v>20.25</v>
      </c>
      <c r="AF77">
        <f t="shared" si="48"/>
        <v>5.6535433070866139</v>
      </c>
      <c r="AG77">
        <f t="shared" si="48"/>
        <v>-0.93265076277260162</v>
      </c>
      <c r="AH77">
        <f t="shared" si="48"/>
        <v>-0.3985448961096173</v>
      </c>
      <c r="AI77">
        <f t="shared" si="48"/>
        <v>-0.45696632146897576</v>
      </c>
      <c r="AJ77">
        <f t="shared" si="48"/>
        <v>-0.1889202189417814</v>
      </c>
      <c r="AK77">
        <f t="shared" si="48"/>
        <v>-0.14064446691955809</v>
      </c>
      <c r="AL77">
        <f t="shared" si="48"/>
        <v>0.61884946342660718</v>
      </c>
      <c r="AM77">
        <f t="shared" si="48"/>
        <v>-0.43609052420637134</v>
      </c>
      <c r="AN77">
        <f t="shared" si="48"/>
        <v>0.21936664961737079</v>
      </c>
      <c r="AO77">
        <f t="shared" si="48"/>
        <v>0.68412960122699373</v>
      </c>
      <c r="AP77">
        <f t="shared" si="48"/>
        <v>-3.0074388359301835E-2</v>
      </c>
    </row>
    <row r="78" spans="1:42" x14ac:dyDescent="0.2">
      <c r="A78" t="s">
        <v>32</v>
      </c>
      <c r="B78" t="s">
        <v>3</v>
      </c>
      <c r="C78" t="s">
        <v>110</v>
      </c>
      <c r="D78" t="s">
        <v>112</v>
      </c>
      <c r="E78">
        <v>30</v>
      </c>
      <c r="F78" t="s">
        <v>16</v>
      </c>
      <c r="G78">
        <v>2.1</v>
      </c>
      <c r="H78">
        <v>0</v>
      </c>
      <c r="I78">
        <v>1083</v>
      </c>
      <c r="J78">
        <v>15</v>
      </c>
      <c r="K78" s="2">
        <f>AVERAGEIFS('Individual data from NASA'!J:J, 'Individual data from NASA'!$C:$C, $F78, 'Individual data from NASA'!$B:$B, $B78, 'Individual data from NASA'!$K:$K, $L78) + 273.15</f>
        <v>287.04999999999995</v>
      </c>
      <c r="L78">
        <v>100</v>
      </c>
      <c r="M78">
        <f>0.894*60*60</f>
        <v>3218.4</v>
      </c>
      <c r="N78" s="3">
        <f>AVERAGEIFS('Individual data from NASA'!M:M, 'Individual data from NASA'!$C:$C, $F78, 'Individual data from NASA'!$B:$B, $B78, 'Individual data from NASA'!$K:$K, $L78)</f>
        <v>332000000000000</v>
      </c>
      <c r="O78" s="3">
        <f>AVERAGEIFS('Individual data from NASA'!N:N, 'Individual data from NASA'!$C:$C, $F78, 'Individual data from NASA'!$B:$B, $B78, 'Individual data from NASA'!$K:$K, $L78)</f>
        <v>9010000000000000</v>
      </c>
      <c r="P78" s="3">
        <f>AVERAGEIFS('Individual data from NASA'!O:O, 'Individual data from NASA'!$C:$C, $F78, 'Individual data from NASA'!$B:$B, $B78, 'Individual data from NASA'!$K:$K, $L78)</f>
        <v>9340000000000000</v>
      </c>
      <c r="Q78" s="3">
        <f>AVERAGEIFS('Individual data from NASA'!P:P, 'Individual data from NASA'!$C:$C, $F78, 'Individual data from NASA'!$B:$B, $B78, 'Individual data from NASA'!$K:$K, $L78)</f>
        <v>27.6</v>
      </c>
      <c r="R78" s="3">
        <f>AVERAGEIFS('Individual data from NASA'!Q:Q, 'Individual data from NASA'!$C:$C, $F78, 'Individual data from NASA'!$B:$B, $B78, 'Individual data from NASA'!$K:$K, $L78)</f>
        <v>0.66700000000000004</v>
      </c>
      <c r="S78" s="3">
        <f>AVERAGEIFS('Individual data from NASA'!R:R, 'Individual data from NASA'!$C:$C, $F78, 'Individual data from NASA'!$B:$B, $B78, 'Individual data from NASA'!$K:$K, $L78)</f>
        <v>0.33300000000000002</v>
      </c>
      <c r="T78" s="3">
        <f>AVERAGEIFS('Individual data from NASA'!S:S, 'Individual data from NASA'!$C:$C, $F78, 'Individual data from NASA'!$B:$B, $B78, 'Individual data from NASA'!$K:$K, $L78)</f>
        <v>44.713039999999999</v>
      </c>
      <c r="U78" s="3">
        <f>AVERAGEIFS('Individual data from NASA'!T:T, 'Individual data from NASA'!$C:$C, $F78, 'Individual data from NASA'!$B:$B, $B78, 'Individual data from NASA'!$K:$K, $L78)</f>
        <v>22.35652</v>
      </c>
      <c r="V78" s="3">
        <f>AVERAGEIFS('Individual data from NASA'!W:W, 'Individual data from NASA'!$C:$C, $F78, 'Individual data from NASA'!$B:$B, $B78, 'Individual data from NASA'!$K:$K, $L78)</f>
        <v>24.279399999999999</v>
      </c>
      <c r="W78" s="3">
        <f>AVERAGEIFS('Individual data from NASA'!U:U, 'Individual data from NASA'!$C:$C, $F78, 'Individual data from NASA'!$B:$B, $B78, 'Individual data from NASA'!$K:$K, $L78)</f>
        <v>15.1591</v>
      </c>
      <c r="X78" t="e" cm="1">
        <f t="array" ref="X78">_xlfn.STDEV.S(
    _xlfn._xlws.FILTER(
        'Individual data from NASA'!M:M,
        ('Individual data from NASA'!$C:$C=$F78) *
        ('Individual data from NASA'!$B:$B=$B78) *
        ('Individual data from NASA'!$K:$K=$L78)
    )
)</f>
        <v>#DIV/0!</v>
      </c>
      <c r="Y78" t="e" cm="1">
        <f t="array" ref="Y78">_xlfn.STDEV.S(
    _xlfn._xlws.FILTER(
        'Individual data from NASA'!N:N,
        ('Individual data from NASA'!$C:$C=$F78) *
        ('Individual data from NASA'!$B:$B=$B78) *
        ('Individual data from NASA'!$K:$K=$L78)
    )
)</f>
        <v>#DIV/0!</v>
      </c>
      <c r="Z78" t="e" cm="1">
        <f t="array" ref="Z78">_xlfn.STDEV.S(
    _xlfn._xlws.FILTER(
        'Individual data from NASA'!O:O,
        ('Individual data from NASA'!$C:$C=$F78) *
        ('Individual data from NASA'!$B:$B=$B78) *
        ('Individual data from NASA'!$K:$K=$L78)
    )
)</f>
        <v>#DIV/0!</v>
      </c>
      <c r="AA78">
        <f t="shared" si="27"/>
        <v>-0.90366972477064211</v>
      </c>
      <c r="AB78">
        <f t="shared" si="28"/>
        <v>-1</v>
      </c>
      <c r="AC78">
        <f t="shared" si="29"/>
        <v>4.7606382978723403</v>
      </c>
      <c r="AD78">
        <f t="shared" si="30"/>
        <v>0.1111111111111111</v>
      </c>
      <c r="AE78">
        <f t="shared" si="48"/>
        <v>24</v>
      </c>
      <c r="AF78">
        <f t="shared" si="48"/>
        <v>6.0393700787401583</v>
      </c>
      <c r="AG78">
        <f t="shared" si="48"/>
        <v>-0.91162076379645751</v>
      </c>
      <c r="AH78">
        <f t="shared" si="48"/>
        <v>-0.46819327909201686</v>
      </c>
      <c r="AI78">
        <f t="shared" si="48"/>
        <v>-0.51231398485771473</v>
      </c>
      <c r="AJ78">
        <f t="shared" si="48"/>
        <v>0.37336208326422293</v>
      </c>
      <c r="AK78">
        <f t="shared" si="48"/>
        <v>-0.18141247350217551</v>
      </c>
      <c r="AL78">
        <f t="shared" si="48"/>
        <v>0.79823269513991135</v>
      </c>
      <c r="AM78">
        <f t="shared" si="48"/>
        <v>-0.38120266103305323</v>
      </c>
      <c r="AN78">
        <f t="shared" si="48"/>
        <v>0.56610862319779875</v>
      </c>
      <c r="AO78">
        <f t="shared" si="48"/>
        <v>0.86191717791411027</v>
      </c>
      <c r="AP78">
        <f t="shared" si="48"/>
        <v>7.5894958983932469E-3</v>
      </c>
    </row>
    <row r="79" spans="1:42" x14ac:dyDescent="0.2">
      <c r="A79" t="s">
        <v>32</v>
      </c>
      <c r="B79" t="s">
        <v>4</v>
      </c>
      <c r="C79" t="s">
        <v>36</v>
      </c>
      <c r="D79" t="s">
        <v>112</v>
      </c>
      <c r="E79">
        <v>30</v>
      </c>
      <c r="F79" t="s">
        <v>8</v>
      </c>
      <c r="G79">
        <v>16</v>
      </c>
      <c r="H79">
        <v>1.4</v>
      </c>
      <c r="I79">
        <v>800</v>
      </c>
      <c r="J79">
        <v>13.9</v>
      </c>
      <c r="K79" s="2">
        <f>AVERAGEIFS('Individual data from NASA'!J:J, 'Individual data from NASA'!$C:$C, $F79, 'Individual data from NASA'!$B:$B, $B79, 'Individual data from NASA'!$K:$K, $L79) + 273.15</f>
        <v>286.54999999999995</v>
      </c>
      <c r="L79">
        <v>4</v>
      </c>
      <c r="M79">
        <f>0.127*60*60</f>
        <v>457.2</v>
      </c>
      <c r="N79" s="3">
        <f>AVERAGEIFS('Individual data from NASA'!M:M, 'Individual data from NASA'!$C:$C, $F79, 'Individual data from NASA'!$B:$B, $B79, 'Individual data from NASA'!$K:$K, $L79)</f>
        <v>1.46E+16</v>
      </c>
      <c r="O79" s="3">
        <f>AVERAGEIFS('Individual data from NASA'!N:N, 'Individual data from NASA'!$C:$C, $F79, 'Individual data from NASA'!$B:$B, $B79, 'Individual data from NASA'!$K:$K, $L79)</f>
        <v>7.54E+16</v>
      </c>
      <c r="P79" s="3">
        <f>AVERAGEIFS('Individual data from NASA'!O:O, 'Individual data from NASA'!$C:$C, $F79, 'Individual data from NASA'!$B:$B, $B79, 'Individual data from NASA'!$K:$K, $L79)</f>
        <v>9.01E+16</v>
      </c>
      <c r="Q79" s="3">
        <f>AVERAGEIFS('Individual data from NASA'!P:P, 'Individual data from NASA'!$C:$C, $F79, 'Individual data from NASA'!$B:$B, $B79, 'Individual data from NASA'!$K:$K, $L79)</f>
        <v>15.45</v>
      </c>
      <c r="R79" s="3">
        <f>AVERAGEIFS('Individual data from NASA'!Q:Q, 'Individual data from NASA'!$C:$C, $F79, 'Individual data from NASA'!$B:$B, $B79, 'Individual data from NASA'!$K:$K, $L79)</f>
        <v>0.78100000000000003</v>
      </c>
      <c r="S79" s="3">
        <f>AVERAGEIFS('Individual data from NASA'!R:R, 'Individual data from NASA'!$C:$C, $F79, 'Individual data from NASA'!$B:$B, $B79, 'Individual data from NASA'!$K:$K, $L79)</f>
        <v>0.219</v>
      </c>
      <c r="T79" s="3">
        <f>AVERAGEIFS('Individual data from NASA'!S:S, 'Individual data from NASA'!$C:$C, $F79, 'Individual data from NASA'!$B:$B, $B79, 'Individual data from NASA'!$K:$K, $L79)</f>
        <v>92.479600840000003</v>
      </c>
      <c r="U79" s="3">
        <f>AVERAGEIFS('Individual data from NASA'!T:T, 'Individual data from NASA'!$C:$C, $F79, 'Individual data from NASA'!$B:$B, $B79, 'Individual data from NASA'!$K:$K, $L79)</f>
        <v>25.90891916</v>
      </c>
      <c r="V79" s="3">
        <f>AVERAGEIFS('Individual data from NASA'!W:W, 'Individual data from NASA'!$C:$C, $F79, 'Individual data from NASA'!$B:$B, $B79, 'Individual data from NASA'!$K:$K, $L79)</f>
        <v>13.622</v>
      </c>
      <c r="W79" s="3">
        <f>AVERAGEIFS('Individual data from NASA'!U:U, 'Individual data from NASA'!$C:$C, $F79, 'Individual data from NASA'!$B:$B, $B79, 'Individual data from NASA'!$K:$K, $L79)</f>
        <v>15.7691</v>
      </c>
      <c r="X79" t="e" cm="1">
        <f t="array" ref="X79">_xlfn.STDEV.S(
    _xlfn._xlws.FILTER(
        'Individual data from NASA'!M:M,
        ('Individual data from NASA'!$C:$C=$F79) *
        ('Individual data from NASA'!$B:$B=$B79) *
        ('Individual data from NASA'!$K:$K=$L79)
    )
)</f>
        <v>#DIV/0!</v>
      </c>
      <c r="Y79" t="e" cm="1">
        <f t="array" ref="Y79">_xlfn.STDEV.S(
    _xlfn._xlws.FILTER(
        'Individual data from NASA'!N:N,
        ('Individual data from NASA'!$C:$C=$F79) *
        ('Individual data from NASA'!$B:$B=$B79) *
        ('Individual data from NASA'!$K:$K=$L79)
    )
)</f>
        <v>#DIV/0!</v>
      </c>
      <c r="Z79" t="e" cm="1">
        <f t="array" ref="Z79">_xlfn.STDEV.S(
    _xlfn._xlws.FILTER(
        'Individual data from NASA'!O:O,
        ('Individual data from NASA'!$C:$C=$F79) *
        ('Individual data from NASA'!$B:$B=$B79) *
        ('Individual data from NASA'!$K:$K=$L79)
    )
)</f>
        <v>#DIV/0!</v>
      </c>
    </row>
    <row r="80" spans="1:42" x14ac:dyDescent="0.2">
      <c r="A80" t="s">
        <v>32</v>
      </c>
      <c r="B80" t="s">
        <v>4</v>
      </c>
      <c r="C80" t="s">
        <v>36</v>
      </c>
      <c r="D80" t="s">
        <v>112</v>
      </c>
      <c r="E80">
        <v>30</v>
      </c>
      <c r="F80" t="s">
        <v>8</v>
      </c>
      <c r="G80">
        <v>16</v>
      </c>
      <c r="H80">
        <v>1.4</v>
      </c>
      <c r="I80">
        <v>800</v>
      </c>
      <c r="J80">
        <v>13.9</v>
      </c>
      <c r="K80" s="2">
        <f>AVERAGEIFS('Individual data from NASA'!J:J, 'Individual data from NASA'!$C:$C, $F80, 'Individual data from NASA'!$B:$B, $B80, 'Individual data from NASA'!$K:$K, $L80) + 273.15</f>
        <v>286.84999999999997</v>
      </c>
      <c r="L80">
        <v>7</v>
      </c>
      <c r="M80">
        <f>0.15586*60*60</f>
        <v>561.096</v>
      </c>
      <c r="N80" s="3">
        <f>AVERAGEIFS('Individual data from NASA'!M:M, 'Individual data from NASA'!$C:$C, $F80, 'Individual data from NASA'!$B:$B, $B80, 'Individual data from NASA'!$K:$K, $L80)</f>
        <v>1.19E+16</v>
      </c>
      <c r="O80" s="3">
        <f>AVERAGEIFS('Individual data from NASA'!N:N, 'Individual data from NASA'!$C:$C, $F80, 'Individual data from NASA'!$B:$B, $B80, 'Individual data from NASA'!$K:$K, $L80)</f>
        <v>8.53E+16</v>
      </c>
      <c r="P80" s="3">
        <f>AVERAGEIFS('Individual data from NASA'!O:O, 'Individual data from NASA'!$C:$C, $F80, 'Individual data from NASA'!$B:$B, $B80, 'Individual data from NASA'!$K:$K, $L80)</f>
        <v>9.71E+16</v>
      </c>
      <c r="Q80" s="3">
        <f>AVERAGEIFS('Individual data from NASA'!P:P, 'Individual data from NASA'!$C:$C, $F80, 'Individual data from NASA'!$B:$B, $B80, 'Individual data from NASA'!$K:$K, $L80)</f>
        <v>15.85</v>
      </c>
      <c r="R80" s="3">
        <f>AVERAGEIFS('Individual data from NASA'!Q:Q, 'Individual data from NASA'!$C:$C, $F80, 'Individual data from NASA'!$B:$B, $B80, 'Individual data from NASA'!$K:$K, $L80)</f>
        <v>0.86399999999999999</v>
      </c>
      <c r="S80" s="3">
        <f>AVERAGEIFS('Individual data from NASA'!R:R, 'Individual data from NASA'!$C:$C, $F80, 'Individual data from NASA'!$B:$B, $B80, 'Individual data from NASA'!$K:$K, $L80)</f>
        <v>0.13600000000000001</v>
      </c>
      <c r="T80" s="3">
        <f>AVERAGEIFS('Individual data from NASA'!S:S, 'Individual data from NASA'!$C:$C, $F80, 'Individual data from NASA'!$B:$B, $B80, 'Individual data from NASA'!$K:$K, $L80)</f>
        <v>73.406431299999994</v>
      </c>
      <c r="U80" s="3">
        <f>AVERAGEIFS('Individual data from NASA'!T:T, 'Individual data from NASA'!$C:$C, $F80, 'Individual data from NASA'!$B:$B, $B80, 'Individual data from NASA'!$K:$K, $L80)</f>
        <v>11.521288699999999</v>
      </c>
      <c r="V80" s="3">
        <f>AVERAGEIFS('Individual data from NASA'!W:W, 'Individual data from NASA'!$C:$C, $F80, 'Individual data from NASA'!$B:$B, $B80, 'Individual data from NASA'!$K:$K, $L80)</f>
        <v>14.345700000000001</v>
      </c>
      <c r="W80" s="3">
        <f>AVERAGEIFS('Individual data from NASA'!U:U, 'Individual data from NASA'!$C:$C, $F80, 'Individual data from NASA'!$B:$B, $B80, 'Individual data from NASA'!$K:$K, $L80)</f>
        <v>15.2432</v>
      </c>
      <c r="X80" t="e" cm="1">
        <f t="array" ref="X80">_xlfn.STDEV.S(
    _xlfn._xlws.FILTER(
        'Individual data from NASA'!M:M,
        ('Individual data from NASA'!$C:$C=$F80) *
        ('Individual data from NASA'!$B:$B=$B80) *
        ('Individual data from NASA'!$K:$K=$L80)
    )
)</f>
        <v>#DIV/0!</v>
      </c>
      <c r="Y80" t="e" cm="1">
        <f t="array" ref="Y80">_xlfn.STDEV.S(
    _xlfn._xlws.FILTER(
        'Individual data from NASA'!N:N,
        ('Individual data from NASA'!$C:$C=$F80) *
        ('Individual data from NASA'!$B:$B=$B80) *
        ('Individual data from NASA'!$K:$K=$L80)
    )
)</f>
        <v>#DIV/0!</v>
      </c>
      <c r="Z80" t="e" cm="1">
        <f t="array" ref="Z80">_xlfn.STDEV.S(
    _xlfn._xlws.FILTER(
        'Individual data from NASA'!O:O,
        ('Individual data from NASA'!$C:$C=$F80) *
        ('Individual data from NASA'!$B:$B=$B80) *
        ('Individual data from NASA'!$K:$K=$L80)
    )
)</f>
        <v>#DIV/0!</v>
      </c>
      <c r="AA80">
        <f t="shared" ref="AA80:AA88" si="49">(G80-G$79)/G$79</f>
        <v>0</v>
      </c>
      <c r="AB80">
        <f t="shared" ref="AB80:AB88" si="50">(H80-H$79)/H$79</f>
        <v>0</v>
      </c>
      <c r="AC80">
        <f t="shared" ref="AC80:AC88" si="51">(I80-I$79)/I$79</f>
        <v>0</v>
      </c>
      <c r="AD80">
        <f t="shared" ref="AD80:AD88" si="52">(J80-J$79)/J$79</f>
        <v>0</v>
      </c>
      <c r="AE80">
        <f t="shared" ref="AE80:AP80" si="53">(L80-L$79)/L$79</f>
        <v>0.75</v>
      </c>
      <c r="AF80">
        <f t="shared" si="53"/>
        <v>0.22724409448818902</v>
      </c>
      <c r="AG80">
        <f t="shared" si="53"/>
        <v>-0.18493150684931506</v>
      </c>
      <c r="AH80">
        <f t="shared" si="53"/>
        <v>0.1312997347480106</v>
      </c>
      <c r="AI80">
        <f t="shared" si="53"/>
        <v>7.7691453940066588E-2</v>
      </c>
      <c r="AJ80">
        <f t="shared" si="53"/>
        <v>2.5889967637540479E-2</v>
      </c>
      <c r="AK80">
        <f t="shared" si="53"/>
        <v>0.10627400768245833</v>
      </c>
      <c r="AL80">
        <f t="shared" si="53"/>
        <v>-0.37899543378995432</v>
      </c>
      <c r="AM80">
        <f t="shared" si="53"/>
        <v>-0.20624191028893729</v>
      </c>
      <c r="AN80">
        <f t="shared" si="53"/>
        <v>-0.55531573398139389</v>
      </c>
      <c r="AO80">
        <f t="shared" si="53"/>
        <v>5.3127294083100934E-2</v>
      </c>
      <c r="AP80">
        <f t="shared" si="53"/>
        <v>-3.335003265880742E-2</v>
      </c>
    </row>
    <row r="81" spans="1:42" x14ac:dyDescent="0.2">
      <c r="A81" t="s">
        <v>32</v>
      </c>
      <c r="B81" t="s">
        <v>4</v>
      </c>
      <c r="C81" t="s">
        <v>36</v>
      </c>
      <c r="D81" t="s">
        <v>112</v>
      </c>
      <c r="E81">
        <v>30</v>
      </c>
      <c r="F81" t="s">
        <v>8</v>
      </c>
      <c r="G81">
        <v>16</v>
      </c>
      <c r="H81">
        <v>1.4</v>
      </c>
      <c r="I81">
        <v>800</v>
      </c>
      <c r="J81">
        <v>13.9</v>
      </c>
      <c r="K81" s="2">
        <f>AVERAGEIFS('Individual data from NASA'!J:J, 'Individual data from NASA'!$C:$C, $F81, 'Individual data from NASA'!$B:$B, $B81, 'Individual data from NASA'!$K:$K, $L81) + 273.15</f>
        <v>287.84999999999997</v>
      </c>
      <c r="L81">
        <v>30</v>
      </c>
      <c r="M81">
        <f>0.342*60*60</f>
        <v>1231.2000000000003</v>
      </c>
      <c r="N81" s="3">
        <f>AVERAGEIFS('Individual data from NASA'!M:M, 'Individual data from NASA'!$C:$C, $F81, 'Individual data from NASA'!$B:$B, $B81, 'Individual data from NASA'!$K:$K, $L81)</f>
        <v>3180000000000000</v>
      </c>
      <c r="O81" s="3">
        <f>AVERAGEIFS('Individual data from NASA'!N:N, 'Individual data from NASA'!$C:$C, $F81, 'Individual data from NASA'!$B:$B, $B81, 'Individual data from NASA'!$K:$K, $L81)</f>
        <v>4.81E+16</v>
      </c>
      <c r="P81" s="3">
        <f>AVERAGEIFS('Individual data from NASA'!O:O, 'Individual data from NASA'!$C:$C, $F81, 'Individual data from NASA'!$B:$B, $B81, 'Individual data from NASA'!$K:$K, $L81)</f>
        <v>5.12E+16</v>
      </c>
      <c r="Q81" s="3">
        <f>AVERAGEIFS('Individual data from NASA'!P:P, 'Individual data from NASA'!$C:$C, $F81, 'Individual data from NASA'!$B:$B, $B81, 'Individual data from NASA'!$K:$K, $L81)</f>
        <v>15.41</v>
      </c>
      <c r="R81" s="3">
        <f>AVERAGEIFS('Individual data from NASA'!Q:Q, 'Individual data from NASA'!$C:$C, $F81, 'Individual data from NASA'!$B:$B, $B81, 'Individual data from NASA'!$K:$K, $L81)</f>
        <v>0.68799999999999994</v>
      </c>
      <c r="S81" s="3">
        <f>AVERAGEIFS('Individual data from NASA'!R:R, 'Individual data from NASA'!$C:$C, $F81, 'Individual data from NASA'!$B:$B, $B81, 'Individual data from NASA'!$K:$K, $L81)</f>
        <v>0.312</v>
      </c>
      <c r="T81" s="3">
        <f>AVERAGEIFS('Individual data from NASA'!S:S, 'Individual data from NASA'!$C:$C, $F81, 'Individual data from NASA'!$B:$B, $B81, 'Individual data from NASA'!$K:$K, $L81)</f>
        <v>16.076268859999999</v>
      </c>
      <c r="U81" s="3">
        <f>AVERAGEIFS('Individual data from NASA'!T:T, 'Individual data from NASA'!$C:$C, $F81, 'Individual data from NASA'!$B:$B, $B81, 'Individual data from NASA'!$K:$K, $L81)</f>
        <v>7.2823311359999998</v>
      </c>
      <c r="V81" s="3">
        <f>AVERAGEIFS('Individual data from NASA'!W:W, 'Individual data from NASA'!$C:$C, $F81, 'Individual data from NASA'!$B:$B, $B81, 'Individual data from NASA'!$K:$K, $L81)</f>
        <v>18.5304</v>
      </c>
      <c r="W81" s="3">
        <f>AVERAGEIFS('Individual data from NASA'!U:U, 'Individual data from NASA'!$C:$C, $F81, 'Individual data from NASA'!$B:$B, $B81, 'Individual data from NASA'!$K:$K, $L81)</f>
        <v>13.9773</v>
      </c>
      <c r="X81" t="e" cm="1">
        <f t="array" ref="X81">_xlfn.STDEV.S(
    _xlfn._xlws.FILTER(
        'Individual data from NASA'!M:M,
        ('Individual data from NASA'!$C:$C=$F81) *
        ('Individual data from NASA'!$B:$B=$B81) *
        ('Individual data from NASA'!$K:$K=$L81)
    )
)</f>
        <v>#DIV/0!</v>
      </c>
      <c r="Y81" t="e" cm="1">
        <f t="array" ref="Y81">_xlfn.STDEV.S(
    _xlfn._xlws.FILTER(
        'Individual data from NASA'!N:N,
        ('Individual data from NASA'!$C:$C=$F81) *
        ('Individual data from NASA'!$B:$B=$B81) *
        ('Individual data from NASA'!$K:$K=$L81)
    )
)</f>
        <v>#DIV/0!</v>
      </c>
      <c r="Z81" t="e" cm="1">
        <f t="array" ref="Z81">_xlfn.STDEV.S(
    _xlfn._xlws.FILTER(
        'Individual data from NASA'!O:O,
        ('Individual data from NASA'!$C:$C=$F81) *
        ('Individual data from NASA'!$B:$B=$B81) *
        ('Individual data from NASA'!$K:$K=$L81)
    )
)</f>
        <v>#DIV/0!</v>
      </c>
      <c r="AA81">
        <f t="shared" si="49"/>
        <v>0</v>
      </c>
      <c r="AB81">
        <f t="shared" si="50"/>
        <v>0</v>
      </c>
      <c r="AC81">
        <f t="shared" si="51"/>
        <v>0</v>
      </c>
      <c r="AD81">
        <f t="shared" si="52"/>
        <v>0</v>
      </c>
      <c r="AE81">
        <f t="shared" ref="AE81:AE88" si="54">(L81-L$79)/L$79</f>
        <v>6.5</v>
      </c>
      <c r="AF81">
        <f t="shared" ref="AF81:AF88" si="55">(M81-M$79)/M$79</f>
        <v>1.6929133858267722</v>
      </c>
      <c r="AG81">
        <f t="shared" ref="AG81:AG88" si="56">(N81-N$79)/N$79</f>
        <v>-0.78219178082191776</v>
      </c>
      <c r="AH81">
        <f t="shared" ref="AH81:AH88" si="57">(O81-O$79)/O$79</f>
        <v>-0.36206896551724138</v>
      </c>
      <c r="AI81">
        <f t="shared" ref="AI81:AP88" si="58">(P81-P$79)/P$79</f>
        <v>-0.43174250832408434</v>
      </c>
      <c r="AJ81">
        <f t="shared" si="58"/>
        <v>-2.5889967637539903E-3</v>
      </c>
      <c r="AK81">
        <f t="shared" si="58"/>
        <v>-0.11907810499359806</v>
      </c>
      <c r="AL81">
        <f t="shared" si="58"/>
        <v>0.42465753424657532</v>
      </c>
      <c r="AM81">
        <f t="shared" si="58"/>
        <v>-0.82616416253986935</v>
      </c>
      <c r="AN81">
        <f t="shared" si="58"/>
        <v>-0.7189257069726408</v>
      </c>
      <c r="AO81">
        <f t="shared" si="58"/>
        <v>0.36032887975334021</v>
      </c>
      <c r="AP81">
        <f t="shared" si="58"/>
        <v>-0.11362728373845053</v>
      </c>
    </row>
    <row r="82" spans="1:42" x14ac:dyDescent="0.2">
      <c r="A82" t="s">
        <v>32</v>
      </c>
      <c r="B82" t="s">
        <v>4</v>
      </c>
      <c r="C82" t="s">
        <v>36</v>
      </c>
      <c r="D82" t="s">
        <v>112</v>
      </c>
      <c r="E82">
        <v>30</v>
      </c>
      <c r="F82" t="s">
        <v>8</v>
      </c>
      <c r="G82">
        <v>16</v>
      </c>
      <c r="H82">
        <v>1.4</v>
      </c>
      <c r="I82">
        <v>800</v>
      </c>
      <c r="J82">
        <v>13.9</v>
      </c>
      <c r="K82" s="2">
        <f>AVERAGEIFS('Individual data from NASA'!J:J, 'Individual data from NASA'!$C:$C, $F82, 'Individual data from NASA'!$B:$B, $B82, 'Individual data from NASA'!$K:$K, $L82) + 273.15</f>
        <v>289.14999999999998</v>
      </c>
      <c r="L82">
        <v>65</v>
      </c>
      <c r="M82">
        <f>0.602*60*60</f>
        <v>2167.1999999999998</v>
      </c>
      <c r="N82" s="3">
        <f>AVERAGEIFS('Individual data from NASA'!M:M, 'Individual data from NASA'!$C:$C, $F82, 'Individual data from NASA'!$B:$B, $B82, 'Individual data from NASA'!$K:$K, $L82)</f>
        <v>534000000000000</v>
      </c>
      <c r="O82" s="3">
        <f>AVERAGEIFS('Individual data from NASA'!N:N, 'Individual data from NASA'!$C:$C, $F82, 'Individual data from NASA'!$B:$B, $B82, 'Individual data from NASA'!$K:$K, $L82)</f>
        <v>5020000000000000</v>
      </c>
      <c r="P82" s="3">
        <f>AVERAGEIFS('Individual data from NASA'!O:O, 'Individual data from NASA'!$C:$C, $F82, 'Individual data from NASA'!$B:$B, $B82, 'Individual data from NASA'!$K:$K, $L82)</f>
        <v>5560000000000000</v>
      </c>
      <c r="Q82" s="3">
        <f>AVERAGEIFS('Individual data from NASA'!P:P, 'Individual data from NASA'!$C:$C, $F82, 'Individual data from NASA'!$B:$B, $B82, 'Individual data from NASA'!$K:$K, $L82)</f>
        <v>65.930000000000007</v>
      </c>
      <c r="R82" s="3">
        <f>AVERAGEIFS('Individual data from NASA'!Q:Q, 'Individual data from NASA'!$C:$C, $F82, 'Individual data from NASA'!$B:$B, $B82, 'Individual data from NASA'!$K:$K, $L82)</f>
        <v>0.69</v>
      </c>
      <c r="S82" s="3">
        <f>AVERAGEIFS('Individual data from NASA'!R:R, 'Individual data from NASA'!$C:$C, $F82, 'Individual data from NASA'!$B:$B, $B82, 'Individual data from NASA'!$K:$K, $L82)</f>
        <v>0.31</v>
      </c>
      <c r="T82" s="3">
        <f>AVERAGEIFS('Individual data from NASA'!S:S, 'Individual data from NASA'!$C:$C, $F82, 'Individual data from NASA'!$B:$B, $B82, 'Individual data from NASA'!$K:$K, $L82)</f>
        <v>10.880950110000001</v>
      </c>
      <c r="U82" s="3">
        <f>AVERAGEIFS('Individual data from NASA'!T:T, 'Individual data from NASA'!$C:$C, $F82, 'Individual data from NASA'!$B:$B, $B82, 'Individual data from NASA'!$K:$K, $L82)</f>
        <v>4.8845298899999996</v>
      </c>
      <c r="V82" s="3">
        <f>AVERAGEIFS('Individual data from NASA'!W:W, 'Individual data from NASA'!$C:$C, $F82, 'Individual data from NASA'!$B:$B, $B82, 'Individual data from NASA'!$K:$K, $L82)</f>
        <v>23.221800000000002</v>
      </c>
      <c r="W82" s="3">
        <f>AVERAGEIFS('Individual data from NASA'!U:U, 'Individual data from NASA'!$C:$C, $F82, 'Individual data from NASA'!$B:$B, $B82, 'Individual data from NASA'!$K:$K, $L82)</f>
        <v>13.9634</v>
      </c>
      <c r="X82" t="e" cm="1">
        <f t="array" ref="X82">_xlfn.STDEV.S(
    _xlfn._xlws.FILTER(
        'Individual data from NASA'!M:M,
        ('Individual data from NASA'!$C:$C=$F82) *
        ('Individual data from NASA'!$B:$B=$B82) *
        ('Individual data from NASA'!$K:$K=$L82)
    )
)</f>
        <v>#DIV/0!</v>
      </c>
      <c r="Y82" t="e" cm="1">
        <f t="array" ref="Y82">_xlfn.STDEV.S(
    _xlfn._xlws.FILTER(
        'Individual data from NASA'!N:N,
        ('Individual data from NASA'!$C:$C=$F82) *
        ('Individual data from NASA'!$B:$B=$B82) *
        ('Individual data from NASA'!$K:$K=$L82)
    )
)</f>
        <v>#DIV/0!</v>
      </c>
      <c r="Z82" t="e" cm="1">
        <f t="array" ref="Z82">_xlfn.STDEV.S(
    _xlfn._xlws.FILTER(
        'Individual data from NASA'!O:O,
        ('Individual data from NASA'!$C:$C=$F82) *
        ('Individual data from NASA'!$B:$B=$B82) *
        ('Individual data from NASA'!$K:$K=$L82)
    )
)</f>
        <v>#DIV/0!</v>
      </c>
      <c r="AA82">
        <f t="shared" si="49"/>
        <v>0</v>
      </c>
      <c r="AB82">
        <f t="shared" si="50"/>
        <v>0</v>
      </c>
      <c r="AC82">
        <f t="shared" si="51"/>
        <v>0</v>
      </c>
      <c r="AD82">
        <f t="shared" si="52"/>
        <v>0</v>
      </c>
      <c r="AE82">
        <f t="shared" si="54"/>
        <v>15.25</v>
      </c>
      <c r="AF82">
        <f t="shared" si="55"/>
        <v>3.7401574803149602</v>
      </c>
      <c r="AG82">
        <f t="shared" si="56"/>
        <v>-0.96342465753424655</v>
      </c>
      <c r="AH82">
        <f t="shared" si="57"/>
        <v>-0.93342175066312993</v>
      </c>
      <c r="AI82">
        <f t="shared" si="58"/>
        <v>-0.93829078801331856</v>
      </c>
      <c r="AJ82">
        <f t="shared" si="58"/>
        <v>3.2673139158576054</v>
      </c>
      <c r="AK82">
        <f t="shared" si="58"/>
        <v>-0.11651728553137014</v>
      </c>
      <c r="AL82">
        <f t="shared" si="58"/>
        <v>0.41552511415525112</v>
      </c>
      <c r="AM82">
        <f t="shared" si="58"/>
        <v>-0.88234215966367269</v>
      </c>
      <c r="AN82">
        <f t="shared" si="58"/>
        <v>-0.81147303521865632</v>
      </c>
      <c r="AO82">
        <f t="shared" si="58"/>
        <v>0.70472764645426533</v>
      </c>
      <c r="AP82">
        <f t="shared" si="58"/>
        <v>-0.11450875446284188</v>
      </c>
    </row>
    <row r="83" spans="1:42" x14ac:dyDescent="0.2">
      <c r="A83" t="s">
        <v>32</v>
      </c>
      <c r="B83" t="s">
        <v>4</v>
      </c>
      <c r="C83" t="s">
        <v>36</v>
      </c>
      <c r="D83" t="s">
        <v>112</v>
      </c>
      <c r="E83">
        <v>30</v>
      </c>
      <c r="F83" t="s">
        <v>8</v>
      </c>
      <c r="G83">
        <v>16</v>
      </c>
      <c r="H83">
        <v>1.4</v>
      </c>
      <c r="I83">
        <v>800</v>
      </c>
      <c r="J83">
        <v>13.9</v>
      </c>
      <c r="K83" s="2">
        <f>AVERAGEIFS('Individual data from NASA'!J:J, 'Individual data from NASA'!$C:$C, $F83, 'Individual data from NASA'!$B:$B, $B83, 'Individual data from NASA'!$K:$K, $L83) + 273.15</f>
        <v>289.95999999999998</v>
      </c>
      <c r="L83">
        <v>85</v>
      </c>
      <c r="M83">
        <f>0.845*60*60</f>
        <v>3041.9999999999995</v>
      </c>
      <c r="N83" s="3">
        <f>AVERAGEIFS('Individual data from NASA'!M:M, 'Individual data from NASA'!$C:$C, $F83, 'Individual data from NASA'!$B:$B, $B83, 'Individual data from NASA'!$K:$K, $L83)</f>
        <v>1210000000000000</v>
      </c>
      <c r="O83" s="3">
        <f>AVERAGEIFS('Individual data from NASA'!N:N, 'Individual data from NASA'!$C:$C, $F83, 'Individual data from NASA'!$B:$B, $B83, 'Individual data from NASA'!$K:$K, $L83)</f>
        <v>1.06E+16</v>
      </c>
      <c r="P83" s="3">
        <f>AVERAGEIFS('Individual data from NASA'!O:O, 'Individual data from NASA'!$C:$C, $F83, 'Individual data from NASA'!$B:$B, $B83, 'Individual data from NASA'!$K:$K, $L83)</f>
        <v>1.18E+16</v>
      </c>
      <c r="Q83" s="3">
        <f>AVERAGEIFS('Individual data from NASA'!P:P, 'Individual data from NASA'!$C:$C, $F83, 'Individual data from NASA'!$B:$B, $B83, 'Individual data from NASA'!$K:$K, $L83)</f>
        <v>117.71</v>
      </c>
      <c r="R83" s="3">
        <f>AVERAGEIFS('Individual data from NASA'!Q:Q, 'Individual data from NASA'!$C:$C, $F83, 'Individual data from NASA'!$B:$B, $B83, 'Individual data from NASA'!$K:$K, $L83)</f>
        <v>0.71199727300000004</v>
      </c>
      <c r="S83" s="3">
        <f>AVERAGEIFS('Individual data from NASA'!R:R, 'Individual data from NASA'!$C:$C, $F83, 'Individual data from NASA'!$B:$B, $B83, 'Individual data from NASA'!$K:$K, $L83)</f>
        <v>0.28800272700000001</v>
      </c>
      <c r="T83" s="3">
        <f>AVERAGEIFS('Individual data from NASA'!S:S, 'Individual data from NASA'!$C:$C, $F83, 'Individual data from NASA'!$B:$B, $B83, 'Individual data from NASA'!$K:$K, $L83)</f>
        <v>44.458790059999998</v>
      </c>
      <c r="U83" s="3">
        <f>AVERAGEIFS('Individual data from NASA'!T:T, 'Individual data from NASA'!$C:$C, $F83, 'Individual data from NASA'!$B:$B, $B83, 'Individual data from NASA'!$K:$K, $L83)</f>
        <v>17.983569939999999</v>
      </c>
      <c r="V83" s="3">
        <f>AVERAGEIFS('Individual data from NASA'!W:W, 'Individual data from NASA'!$C:$C, $F83, 'Individual data from NASA'!$B:$B, $B83, 'Individual data from NASA'!$K:$K, $L83)</f>
        <v>21.003299999999999</v>
      </c>
      <c r="W83" s="3">
        <f>AVERAGEIFS('Individual data from NASA'!U:U, 'Individual data from NASA'!$C:$C, $F83, 'Individual data from NASA'!$B:$B, $B83, 'Individual data from NASA'!$K:$K, $L83)</f>
        <v>13.6364</v>
      </c>
      <c r="X83" t="e" cm="1">
        <f t="array" ref="X83">_xlfn.STDEV.S(
    _xlfn._xlws.FILTER(
        'Individual data from NASA'!M:M,
        ('Individual data from NASA'!$C:$C=$F83) *
        ('Individual data from NASA'!$B:$B=$B83) *
        ('Individual data from NASA'!$K:$K=$L83)
    )
)</f>
        <v>#DIV/0!</v>
      </c>
      <c r="Y83" t="e" cm="1">
        <f t="array" ref="Y83">_xlfn.STDEV.S(
    _xlfn._xlws.FILTER(
        'Individual data from NASA'!N:N,
        ('Individual data from NASA'!$C:$C=$F83) *
        ('Individual data from NASA'!$B:$B=$B83) *
        ('Individual data from NASA'!$K:$K=$L83)
    )
)</f>
        <v>#DIV/0!</v>
      </c>
      <c r="Z83" t="e" cm="1">
        <f t="array" ref="Z83">_xlfn.STDEV.S(
    _xlfn._xlws.FILTER(
        'Individual data from NASA'!O:O,
        ('Individual data from NASA'!$C:$C=$F83) *
        ('Individual data from NASA'!$B:$B=$B83) *
        ('Individual data from NASA'!$K:$K=$L83)
    )
)</f>
        <v>#DIV/0!</v>
      </c>
      <c r="AA83">
        <f t="shared" si="49"/>
        <v>0</v>
      </c>
      <c r="AB83">
        <f t="shared" si="50"/>
        <v>0</v>
      </c>
      <c r="AC83">
        <f t="shared" si="51"/>
        <v>0</v>
      </c>
      <c r="AD83">
        <f t="shared" si="52"/>
        <v>0</v>
      </c>
      <c r="AE83">
        <f t="shared" si="54"/>
        <v>20.25</v>
      </c>
      <c r="AF83">
        <f t="shared" si="55"/>
        <v>5.6535433070866139</v>
      </c>
      <c r="AG83">
        <f t="shared" si="56"/>
        <v>-0.91712328767123286</v>
      </c>
      <c r="AH83">
        <f t="shared" si="57"/>
        <v>-0.85941644562334218</v>
      </c>
      <c r="AI83">
        <f t="shared" si="58"/>
        <v>-0.86903440621531636</v>
      </c>
      <c r="AJ83">
        <f t="shared" si="58"/>
        <v>6.6187702265372161</v>
      </c>
      <c r="AK83">
        <f t="shared" si="58"/>
        <v>-8.835176312419972E-2</v>
      </c>
      <c r="AL83">
        <f t="shared" si="58"/>
        <v>0.31508094520547952</v>
      </c>
      <c r="AM83">
        <f t="shared" si="58"/>
        <v>-0.51925841314001075</v>
      </c>
      <c r="AN83">
        <f t="shared" si="58"/>
        <v>-0.30589269938499436</v>
      </c>
      <c r="AO83">
        <f t="shared" si="58"/>
        <v>0.54186609895756865</v>
      </c>
      <c r="AP83">
        <f t="shared" si="58"/>
        <v>-0.13524551179204899</v>
      </c>
    </row>
    <row r="84" spans="1:42" x14ac:dyDescent="0.2">
      <c r="A84" t="s">
        <v>32</v>
      </c>
      <c r="B84" t="s">
        <v>4</v>
      </c>
      <c r="C84" t="s">
        <v>36</v>
      </c>
      <c r="D84" t="s">
        <v>112</v>
      </c>
      <c r="E84">
        <v>30</v>
      </c>
      <c r="F84" t="s">
        <v>19</v>
      </c>
      <c r="G84">
        <v>8</v>
      </c>
      <c r="H84">
        <v>0.9</v>
      </c>
      <c r="I84">
        <v>500</v>
      </c>
      <c r="J84">
        <v>14.4</v>
      </c>
      <c r="K84" s="2">
        <f>AVERAGEIFS('Individual data from NASA'!J:J, 'Individual data from NASA'!$C:$C, $F84, 'Individual data from NASA'!$B:$B, $B84, 'Individual data from NASA'!$K:$K, $L84) + 273.15</f>
        <v>289.04999999999995</v>
      </c>
      <c r="L84">
        <v>4</v>
      </c>
      <c r="M84">
        <f>0.127*60*60</f>
        <v>457.2</v>
      </c>
      <c r="N84" s="3">
        <f>AVERAGEIFS('Individual data from NASA'!M:M, 'Individual data from NASA'!$C:$C, $F84, 'Individual data from NASA'!$B:$B, $B84, 'Individual data from NASA'!$K:$K, $L84)</f>
        <v>9470000000000000</v>
      </c>
      <c r="O84" s="3">
        <f>AVERAGEIFS('Individual data from NASA'!N:N, 'Individual data from NASA'!$C:$C, $F84, 'Individual data from NASA'!$B:$B, $B84, 'Individual data from NASA'!$K:$K, $L84)</f>
        <v>5.86E+16</v>
      </c>
      <c r="P84" s="3">
        <f>AVERAGEIFS('Individual data from NASA'!O:O, 'Individual data from NASA'!$C:$C, $F84, 'Individual data from NASA'!$B:$B, $B84, 'Individual data from NASA'!$K:$K, $L84)</f>
        <v>5.055E+16</v>
      </c>
      <c r="Q84" s="3">
        <f>AVERAGEIFS('Individual data from NASA'!P:P, 'Individual data from NASA'!$C:$C, $F84, 'Individual data from NASA'!$B:$B, $B84, 'Individual data from NASA'!$K:$K, $L84)</f>
        <v>5.87</v>
      </c>
      <c r="R84" s="3">
        <f>AVERAGEIFS('Individual data from NASA'!Q:Q, 'Individual data from NASA'!$C:$C, $F84, 'Individual data from NASA'!$B:$B, $B84, 'Individual data from NASA'!$K:$K, $L84)</f>
        <v>0.90100000000000002</v>
      </c>
      <c r="S84" s="3">
        <f>AVERAGEIFS('Individual data from NASA'!R:R, 'Individual data from NASA'!$C:$C, $F84, 'Individual data from NASA'!$B:$B, $B84, 'Individual data from NASA'!$K:$K, $L84)</f>
        <v>9.9000000000000005E-2</v>
      </c>
      <c r="T84" s="3">
        <f>AVERAGEIFS('Individual data from NASA'!S:S, 'Individual data from NASA'!$C:$C, $F84, 'Individual data from NASA'!$B:$B, $B84, 'Individual data from NASA'!$K:$K, $L84)</f>
        <v>72.394689439999993</v>
      </c>
      <c r="U84" s="3">
        <f>AVERAGEIFS('Individual data from NASA'!T:T, 'Individual data from NASA'!$C:$C, $F84, 'Individual data from NASA'!$B:$B, $B84, 'Individual data from NASA'!$K:$K, $L84)</f>
        <v>7.9112425579999996</v>
      </c>
      <c r="V84" s="3">
        <f>AVERAGEIFS('Individual data from NASA'!W:W, 'Individual data from NASA'!$C:$C, $F84, 'Individual data from NASA'!$B:$B, $B84, 'Individual data from NASA'!$K:$K, $L84)</f>
        <v>16.089199999999998</v>
      </c>
      <c r="W84" s="3">
        <f>AVERAGEIFS('Individual data from NASA'!U:U, 'Individual data from NASA'!$C:$C, $F84, 'Individual data from NASA'!$B:$B, $B84, 'Individual data from NASA'!$K:$K, $L84)</f>
        <v>16.66085</v>
      </c>
      <c r="X84" t="e" cm="1">
        <f t="array" ref="X84">_xlfn.STDEV.S(
    _xlfn._xlws.FILTER(
        'Individual data from NASA'!M:M,
        ('Individual data from NASA'!$C:$C=$F84) *
        ('Individual data from NASA'!$B:$B=$B84) *
        ('Individual data from NASA'!$K:$K=$L84)
    )
)</f>
        <v>#DIV/0!</v>
      </c>
      <c r="Y84" t="e" cm="1">
        <f t="array" ref="Y84">_xlfn.STDEV.S(
    _xlfn._xlws.FILTER(
        'Individual data from NASA'!N:N,
        ('Individual data from NASA'!$C:$C=$F84) *
        ('Individual data from NASA'!$B:$B=$B84) *
        ('Individual data from NASA'!$K:$K=$L84)
    )
)</f>
        <v>#DIV/0!</v>
      </c>
      <c r="Z84" cm="1">
        <f t="array" ref="Z84">_xlfn.STDEV.S(
    _xlfn._xlws.FILTER(
        'Individual data from NASA'!O:O,
        ('Individual data from NASA'!$C:$C=$F84) *
        ('Individual data from NASA'!$B:$B=$B84) *
        ('Individual data from NASA'!$K:$K=$L84)
    )
)</f>
        <v>2.4819448019647828E+16</v>
      </c>
      <c r="AA84">
        <f t="shared" si="49"/>
        <v>-0.5</v>
      </c>
      <c r="AB84">
        <f t="shared" si="50"/>
        <v>-0.3571428571428571</v>
      </c>
      <c r="AC84">
        <f t="shared" si="51"/>
        <v>-0.375</v>
      </c>
      <c r="AD84">
        <f t="shared" si="52"/>
        <v>3.5971223021582732E-2</v>
      </c>
      <c r="AE84">
        <f t="shared" si="54"/>
        <v>0</v>
      </c>
      <c r="AF84">
        <f t="shared" si="55"/>
        <v>0</v>
      </c>
      <c r="AG84">
        <f t="shared" si="56"/>
        <v>-0.35136986301369866</v>
      </c>
      <c r="AH84">
        <f t="shared" si="57"/>
        <v>-0.22281167108753316</v>
      </c>
      <c r="AI84">
        <f t="shared" si="58"/>
        <v>-0.43895671476137627</v>
      </c>
      <c r="AJ84">
        <f t="shared" si="58"/>
        <v>-0.62006472491909381</v>
      </c>
      <c r="AK84">
        <f t="shared" si="58"/>
        <v>0.15364916773367476</v>
      </c>
      <c r="AL84">
        <f t="shared" si="58"/>
        <v>-0.54794520547945202</v>
      </c>
      <c r="AM84">
        <f t="shared" si="58"/>
        <v>-0.21718207277677529</v>
      </c>
      <c r="AN84">
        <f t="shared" si="58"/>
        <v>-0.69465177188039817</v>
      </c>
      <c r="AO84">
        <f t="shared" si="58"/>
        <v>0.18111877844663032</v>
      </c>
      <c r="AP84">
        <f t="shared" si="58"/>
        <v>5.6550468955108409E-2</v>
      </c>
    </row>
    <row r="85" spans="1:42" x14ac:dyDescent="0.2">
      <c r="A85" t="s">
        <v>32</v>
      </c>
      <c r="B85" t="s">
        <v>4</v>
      </c>
      <c r="C85" t="s">
        <v>36</v>
      </c>
      <c r="D85" t="s">
        <v>112</v>
      </c>
      <c r="E85">
        <v>30</v>
      </c>
      <c r="F85" t="s">
        <v>19</v>
      </c>
      <c r="G85">
        <v>8</v>
      </c>
      <c r="H85">
        <v>0.9</v>
      </c>
      <c r="I85">
        <v>500</v>
      </c>
      <c r="J85">
        <v>14.4</v>
      </c>
      <c r="K85" s="2">
        <f>AVERAGEIFS('Individual data from NASA'!J:J, 'Individual data from NASA'!$C:$C, $F85, 'Individual data from NASA'!$B:$B, $B85, 'Individual data from NASA'!$K:$K, $L85) + 273.15</f>
        <v>289.04999999999995</v>
      </c>
      <c r="L85">
        <v>7</v>
      </c>
      <c r="M85">
        <f>0.15586*60*60</f>
        <v>561.096</v>
      </c>
      <c r="N85" s="3">
        <f>AVERAGEIFS('Individual data from NASA'!M:M, 'Individual data from NASA'!$C:$C, $F85, 'Individual data from NASA'!$B:$B, $B85, 'Individual data from NASA'!$K:$K, $L85)</f>
        <v>9285000000000000</v>
      </c>
      <c r="O85" s="3">
        <f>AVERAGEIFS('Individual data from NASA'!N:N, 'Individual data from NASA'!$C:$C, $F85, 'Individual data from NASA'!$B:$B, $B85, 'Individual data from NASA'!$K:$K, $L85)</f>
        <v>4.965E+16</v>
      </c>
      <c r="P85" s="3">
        <f>AVERAGEIFS('Individual data from NASA'!O:O, 'Individual data from NASA'!$C:$C, $F85, 'Individual data from NASA'!$B:$B, $B85, 'Individual data from NASA'!$K:$K, $L85)</f>
        <v>5.89E+16</v>
      </c>
      <c r="Q85" s="3">
        <f>AVERAGEIFS('Individual data from NASA'!P:P, 'Individual data from NASA'!$C:$C, $F85, 'Individual data from NASA'!$B:$B, $B85, 'Individual data from NASA'!$K:$K, $L85)</f>
        <v>3.3450000000000002</v>
      </c>
      <c r="R85" s="3">
        <f>AVERAGEIFS('Individual data from NASA'!Q:Q, 'Individual data from NASA'!$C:$C, $F85, 'Individual data from NASA'!$B:$B, $B85, 'Individual data from NASA'!$K:$K, $L85)</f>
        <v>0.88850000000000007</v>
      </c>
      <c r="S85" s="3">
        <f>AVERAGEIFS('Individual data from NASA'!R:R, 'Individual data from NASA'!$C:$C, $F85, 'Individual data from NASA'!$B:$B, $B85, 'Individual data from NASA'!$K:$K, $L85)</f>
        <v>0.1115</v>
      </c>
      <c r="T85" s="3">
        <f>AVERAGEIFS('Individual data from NASA'!S:S, 'Individual data from NASA'!$C:$C, $F85, 'Individual data from NASA'!$B:$B, $B85, 'Individual data from NASA'!$K:$K, $L85)</f>
        <v>49.737285004999997</v>
      </c>
      <c r="U85" s="3">
        <f>AVERAGEIFS('Individual data from NASA'!T:T, 'Individual data from NASA'!$C:$C, $F85, 'Individual data from NASA'!$B:$B, $B85, 'Individual data from NASA'!$K:$K, $L85)</f>
        <v>6.5285549994999998</v>
      </c>
      <c r="V85" s="3">
        <f>AVERAGEIFS('Individual data from NASA'!W:W, 'Individual data from NASA'!$C:$C, $F85, 'Individual data from NASA'!$B:$B, $B85, 'Individual data from NASA'!$K:$K, $L85)</f>
        <v>13.885000000000002</v>
      </c>
      <c r="W85" s="3">
        <f>AVERAGEIFS('Individual data from NASA'!U:U, 'Individual data from NASA'!$C:$C, $F85, 'Individual data from NASA'!$B:$B, $B85, 'Individual data from NASA'!$K:$K, $L85)</f>
        <v>15.600850000000001</v>
      </c>
      <c r="X85" cm="1">
        <f t="array" ref="X85">_xlfn.STDEV.S(
    _xlfn._xlws.FILTER(
        'Individual data from NASA'!M:M,
        ('Individual data from NASA'!$C:$C=$F85) *
        ('Individual data from NASA'!$B:$B=$B85) *
        ('Individual data from NASA'!$K:$K=$L85)
    )
)</f>
        <v>2708218971944474</v>
      </c>
      <c r="Y85" cm="1">
        <f t="array" ref="Y85">_xlfn.STDEV.S(
    _xlfn._xlws.FILTER(
        'Individual data from NASA'!N:N,
        ('Individual data from NASA'!$C:$C=$F85) *
        ('Individual data from NASA'!$B:$B=$B85) *
        ('Individual data from NASA'!$K:$K=$L85)
    )
)</f>
        <v>2.496086937588514E+16</v>
      </c>
      <c r="Z85" cm="1">
        <f t="array" ref="Z85">_xlfn.STDEV.S(
    _xlfn._xlws.FILTER(
        'Individual data from NASA'!O:O,
        ('Individual data from NASA'!$C:$C=$F85) *
        ('Individual data from NASA'!$B:$B=$B85) *
        ('Individual data from NASA'!$K:$K=$L85)
    )
)</f>
        <v>2.771858582251268E+16</v>
      </c>
      <c r="AA85">
        <f t="shared" si="49"/>
        <v>-0.5</v>
      </c>
      <c r="AB85">
        <f t="shared" si="50"/>
        <v>-0.3571428571428571</v>
      </c>
      <c r="AC85">
        <f t="shared" si="51"/>
        <v>-0.375</v>
      </c>
      <c r="AD85">
        <f t="shared" si="52"/>
        <v>3.5971223021582732E-2</v>
      </c>
      <c r="AE85">
        <f t="shared" si="54"/>
        <v>0.75</v>
      </c>
      <c r="AF85">
        <f t="shared" si="55"/>
        <v>0.22724409448818902</v>
      </c>
      <c r="AG85">
        <f t="shared" si="56"/>
        <v>-0.36404109589041095</v>
      </c>
      <c r="AH85">
        <f t="shared" si="57"/>
        <v>-0.34151193633952254</v>
      </c>
      <c r="AI85">
        <f t="shared" si="58"/>
        <v>-0.3462819089900111</v>
      </c>
      <c r="AJ85">
        <f t="shared" si="58"/>
        <v>-0.78349514563106792</v>
      </c>
      <c r="AK85">
        <f t="shared" si="58"/>
        <v>0.13764404609475037</v>
      </c>
      <c r="AL85">
        <f t="shared" si="58"/>
        <v>-0.4908675799086758</v>
      </c>
      <c r="AM85">
        <f t="shared" si="58"/>
        <v>-0.46218101556200453</v>
      </c>
      <c r="AN85">
        <f t="shared" si="58"/>
        <v>-0.74801901386997116</v>
      </c>
      <c r="AO85">
        <f t="shared" si="58"/>
        <v>1.9307003376890449E-2</v>
      </c>
      <c r="AP85">
        <f t="shared" si="58"/>
        <v>-1.0669600674737219E-2</v>
      </c>
    </row>
    <row r="86" spans="1:42" x14ac:dyDescent="0.2">
      <c r="A86" t="s">
        <v>32</v>
      </c>
      <c r="B86" t="s">
        <v>4</v>
      </c>
      <c r="C86" t="s">
        <v>36</v>
      </c>
      <c r="D86" t="s">
        <v>112</v>
      </c>
      <c r="E86">
        <v>30</v>
      </c>
      <c r="F86" t="s">
        <v>19</v>
      </c>
      <c r="G86">
        <v>8</v>
      </c>
      <c r="H86">
        <v>0.9</v>
      </c>
      <c r="I86">
        <v>500</v>
      </c>
      <c r="J86">
        <v>14.4</v>
      </c>
      <c r="K86" s="2">
        <f>AVERAGEIFS('Individual data from NASA'!J:J, 'Individual data from NASA'!$C:$C, $F86, 'Individual data from NASA'!$B:$B, $B86, 'Individual data from NASA'!$K:$K, $L86) + 273.15</f>
        <v>290.2</v>
      </c>
      <c r="L86">
        <v>30</v>
      </c>
      <c r="M86">
        <f>0.342*60*60</f>
        <v>1231.2000000000003</v>
      </c>
      <c r="N86" s="3">
        <f>AVERAGEIFS('Individual data from NASA'!M:M, 'Individual data from NASA'!$C:$C, $F86, 'Individual data from NASA'!$B:$B, $B86, 'Individual data from NASA'!$K:$K, $L86)</f>
        <v>2250000000000000</v>
      </c>
      <c r="O86" s="3">
        <f>AVERAGEIFS('Individual data from NASA'!N:N, 'Individual data from NASA'!$C:$C, $F86, 'Individual data from NASA'!$B:$B, $B86, 'Individual data from NASA'!$K:$K, $L86)</f>
        <v>1.03E+16</v>
      </c>
      <c r="P86" s="3">
        <f>AVERAGEIFS('Individual data from NASA'!O:O, 'Individual data from NASA'!$C:$C, $F86, 'Individual data from NASA'!$B:$B, $B86, 'Individual data from NASA'!$K:$K, $L86)</f>
        <v>2.915E+16</v>
      </c>
      <c r="Q86" s="3">
        <f>AVERAGEIFS('Individual data from NASA'!P:P, 'Individual data from NASA'!$C:$C, $F86, 'Individual data from NASA'!$B:$B, $B86, 'Individual data from NASA'!$K:$K, $L86)</f>
        <v>3.4459249999999999</v>
      </c>
      <c r="R86" s="3">
        <f>AVERAGEIFS('Individual data from NASA'!Q:Q, 'Individual data from NASA'!$C:$C, $F86, 'Individual data from NASA'!$B:$B, $B86, 'Individual data from NASA'!$K:$K, $L86)</f>
        <v>0.80099999999999993</v>
      </c>
      <c r="S86" s="3">
        <f>AVERAGEIFS('Individual data from NASA'!R:R, 'Individual data from NASA'!$C:$C, $F86, 'Individual data from NASA'!$B:$B, $B86, 'Individual data from NASA'!$K:$K, $L86)</f>
        <v>0.19900000000000001</v>
      </c>
      <c r="T86" s="3">
        <f>AVERAGEIFS('Individual data from NASA'!S:S, 'Individual data from NASA'!$C:$C, $F86, 'Individual data from NASA'!$B:$B, $B86, 'Individual data from NASA'!$K:$K, $L86)</f>
        <v>11.679361426</v>
      </c>
      <c r="U86" s="3">
        <f>AVERAGEIFS('Individual data from NASA'!T:T, 'Individual data from NASA'!$C:$C, $F86, 'Individual data from NASA'!$B:$B, $B86, 'Individual data from NASA'!$K:$K, $L86)</f>
        <v>2.9857785720000001</v>
      </c>
      <c r="V86" s="3">
        <f>AVERAGEIFS('Individual data from NASA'!W:W, 'Individual data from NASA'!$C:$C, $F86, 'Individual data from NASA'!$B:$B, $B86, 'Individual data from NASA'!$K:$K, $L86)</f>
        <v>17.442299999999999</v>
      </c>
      <c r="W86" s="3">
        <f>AVERAGEIFS('Individual data from NASA'!U:U, 'Individual data from NASA'!$C:$C, $F86, 'Individual data from NASA'!$B:$B, $B86, 'Individual data from NASA'!$K:$K, $L86)</f>
        <v>14.9815</v>
      </c>
      <c r="X86" t="e" cm="1">
        <f t="array" ref="X86">_xlfn.STDEV.S(
    _xlfn._xlws.FILTER(
        'Individual data from NASA'!M:M,
        ('Individual data from NASA'!$C:$C=$F86) *
        ('Individual data from NASA'!$B:$B=$B86) *
        ('Individual data from NASA'!$K:$K=$L86)
    )
)</f>
        <v>#DIV/0!</v>
      </c>
      <c r="Y86" t="e" cm="1">
        <f t="array" ref="Y86">_xlfn.STDEV.S(
    _xlfn._xlws.FILTER(
        'Individual data from NASA'!N:N,
        ('Individual data from NASA'!$C:$C=$F86) *
        ('Individual data from NASA'!$B:$B=$B86) *
        ('Individual data from NASA'!$K:$K=$L86)
    )
)</f>
        <v>#DIV/0!</v>
      </c>
      <c r="Z86" cm="1">
        <f t="array" ref="Z86">_xlfn.STDEV.S(
    _xlfn._xlws.FILTER(
        'Individual data from NASA'!O:O,
        ('Individual data from NASA'!$C:$C=$F86) *
        ('Individual data from NASA'!$B:$B=$B86) *
        ('Individual data from NASA'!$K:$K=$L86)
    )
)</f>
        <v>2.3405234457274724E+16</v>
      </c>
      <c r="AA86">
        <f t="shared" si="49"/>
        <v>-0.5</v>
      </c>
      <c r="AB86">
        <f t="shared" si="50"/>
        <v>-0.3571428571428571</v>
      </c>
      <c r="AC86">
        <f t="shared" si="51"/>
        <v>-0.375</v>
      </c>
      <c r="AD86">
        <f t="shared" si="52"/>
        <v>3.5971223021582732E-2</v>
      </c>
      <c r="AE86">
        <f t="shared" si="54"/>
        <v>6.5</v>
      </c>
      <c r="AF86">
        <f t="shared" si="55"/>
        <v>1.6929133858267722</v>
      </c>
      <c r="AG86">
        <f t="shared" si="56"/>
        <v>-0.84589041095890416</v>
      </c>
      <c r="AH86">
        <f t="shared" si="57"/>
        <v>-0.86339522546419101</v>
      </c>
      <c r="AI86">
        <f t="shared" si="58"/>
        <v>-0.67647058823529416</v>
      </c>
      <c r="AJ86">
        <f t="shared" si="58"/>
        <v>-0.77696278317152112</v>
      </c>
      <c r="AK86">
        <f t="shared" si="58"/>
        <v>2.560819462227901E-2</v>
      </c>
      <c r="AL86">
        <f t="shared" si="58"/>
        <v>-9.1324200913241962E-2</v>
      </c>
      <c r="AM86">
        <f t="shared" si="58"/>
        <v>-0.87370878204582014</v>
      </c>
      <c r="AN86">
        <f t="shared" si="58"/>
        <v>-0.88475865961210554</v>
      </c>
      <c r="AO86">
        <f t="shared" si="58"/>
        <v>0.28045074144765819</v>
      </c>
      <c r="AP86">
        <f t="shared" si="58"/>
        <v>-4.9945780038175888E-2</v>
      </c>
    </row>
    <row r="87" spans="1:42" x14ac:dyDescent="0.2">
      <c r="A87" t="s">
        <v>32</v>
      </c>
      <c r="B87" t="s">
        <v>4</v>
      </c>
      <c r="C87" t="s">
        <v>36</v>
      </c>
      <c r="D87" t="s">
        <v>112</v>
      </c>
      <c r="E87">
        <v>30</v>
      </c>
      <c r="F87" t="s">
        <v>19</v>
      </c>
      <c r="G87">
        <v>8</v>
      </c>
      <c r="H87">
        <v>0.9</v>
      </c>
      <c r="I87">
        <v>500</v>
      </c>
      <c r="J87">
        <v>14.4</v>
      </c>
      <c r="K87" s="2">
        <f>AVERAGEIFS('Individual data from NASA'!J:J, 'Individual data from NASA'!$C:$C, $F87, 'Individual data from NASA'!$B:$B, $B87, 'Individual data from NASA'!$K:$K, $L87) + 273.15</f>
        <v>290.64999999999998</v>
      </c>
      <c r="L87">
        <v>65</v>
      </c>
      <c r="M87">
        <f>0.602*60*60</f>
        <v>2167.1999999999998</v>
      </c>
      <c r="N87" s="3">
        <f>AVERAGEIFS('Individual data from NASA'!M:M, 'Individual data from NASA'!$C:$C, $F87, 'Individual data from NASA'!$B:$B, $B87, 'Individual data from NASA'!$K:$K, $L87)</f>
        <v>1127000000000000</v>
      </c>
      <c r="O87" s="3">
        <f>AVERAGEIFS('Individual data from NASA'!N:N, 'Individual data from NASA'!$C:$C, $F87, 'Individual data from NASA'!$B:$B, $B87, 'Individual data from NASA'!$K:$K, $L87)</f>
        <v>4700000000000000</v>
      </c>
      <c r="P87" s="3">
        <f>AVERAGEIFS('Individual data from NASA'!O:O, 'Individual data from NASA'!$C:$C, $F87, 'Individual data from NASA'!$B:$B, $B87, 'Individual data from NASA'!$K:$K, $L87)</f>
        <v>5830000000000000</v>
      </c>
      <c r="Q87" s="3">
        <f>AVERAGEIFS('Individual data from NASA'!P:P, 'Individual data from NASA'!$C:$C, $F87, 'Individual data from NASA'!$B:$B, $B87, 'Individual data from NASA'!$K:$K, $L87)</f>
        <v>18.71</v>
      </c>
      <c r="R87" s="3">
        <f>AVERAGEIFS('Individual data from NASA'!Q:Q, 'Individual data from NASA'!$C:$C, $F87, 'Individual data from NASA'!$B:$B, $B87, 'Individual data from NASA'!$K:$K, $L87)</f>
        <v>0.84600000000000009</v>
      </c>
      <c r="S87" s="3">
        <f>AVERAGEIFS('Individual data from NASA'!R:R, 'Individual data from NASA'!$C:$C, $F87, 'Individual data from NASA'!$B:$B, $B87, 'Individual data from NASA'!$K:$K, $L87)</f>
        <v>0.154</v>
      </c>
      <c r="T87" s="3">
        <f>AVERAGEIFS('Individual data from NASA'!S:S, 'Individual data from NASA'!$C:$C, $F87, 'Individual data from NASA'!$B:$B, $B87, 'Individual data from NASA'!$K:$K, $L87)</f>
        <v>13.281674240000001</v>
      </c>
      <c r="U87" s="3">
        <f>AVERAGEIFS('Individual data from NASA'!T:T, 'Individual data from NASA'!$C:$C, $F87, 'Individual data from NASA'!$B:$B, $B87, 'Individual data from NASA'!$K:$K, $L87)</f>
        <v>2.4410737564999998</v>
      </c>
      <c r="V87" s="3">
        <f>AVERAGEIFS('Individual data from NASA'!W:W, 'Individual data from NASA'!$C:$C, $F87, 'Individual data from NASA'!$B:$B, $B87, 'Individual data from NASA'!$K:$K, $L87)</f>
        <v>18.178249999999998</v>
      </c>
      <c r="W87" s="3">
        <f>AVERAGEIFS('Individual data from NASA'!U:U, 'Individual data from NASA'!$C:$C, $F87, 'Individual data from NASA'!$B:$B, $B87, 'Individual data from NASA'!$K:$K, $L87)</f>
        <v>14.925599999999999</v>
      </c>
      <c r="X87" cm="1">
        <f t="array" ref="X87">_xlfn.STDEV.S(
    _xlfn._xlws.FILTER(
        'Individual data from NASA'!M:M,
        ('Individual data from NASA'!$C:$C=$F87) *
        ('Individual data from NASA'!$B:$B=$B87) *
        ('Individual data from NASA'!$K:$K=$L87)
    )
)</f>
        <v>937623591853362.25</v>
      </c>
      <c r="Y87" cm="1">
        <f t="array" ref="Y87">_xlfn.STDEV.S(
    _xlfn._xlws.FILTER(
        'Individual data from NASA'!N:N,
        ('Individual data from NASA'!$C:$C=$F87) *
        ('Individual data from NASA'!$B:$B=$B87) *
        ('Individual data from NASA'!$K:$K=$L87)
    )
)</f>
        <v>2149604614807103.8</v>
      </c>
      <c r="Z87" cm="1">
        <f t="array" ref="Z87">_xlfn.STDEV.S(
    _xlfn._xlws.FILTER(
        'Individual data from NASA'!O:O,
        ('Individual data from NASA'!$C:$C=$F87) *
        ('Individual data from NASA'!$B:$B=$B87) *
        ('Individual data from NASA'!$K:$K=$L87)
    )
)</f>
        <v>1216223663640861.2</v>
      </c>
      <c r="AA87">
        <f t="shared" si="49"/>
        <v>-0.5</v>
      </c>
      <c r="AB87">
        <f t="shared" si="50"/>
        <v>-0.3571428571428571</v>
      </c>
      <c r="AC87">
        <f t="shared" si="51"/>
        <v>-0.375</v>
      </c>
      <c r="AD87">
        <f t="shared" si="52"/>
        <v>3.5971223021582732E-2</v>
      </c>
      <c r="AE87">
        <f t="shared" si="54"/>
        <v>15.25</v>
      </c>
      <c r="AF87">
        <f t="shared" si="55"/>
        <v>3.7401574803149602</v>
      </c>
      <c r="AG87">
        <f t="shared" si="56"/>
        <v>-0.9228082191780822</v>
      </c>
      <c r="AH87">
        <f t="shared" si="57"/>
        <v>-0.93766578249336874</v>
      </c>
      <c r="AI87">
        <f t="shared" si="58"/>
        <v>-0.93529411764705883</v>
      </c>
      <c r="AJ87">
        <f t="shared" si="58"/>
        <v>0.21100323624595479</v>
      </c>
      <c r="AK87">
        <f t="shared" si="58"/>
        <v>8.3226632522407237E-2</v>
      </c>
      <c r="AL87">
        <f t="shared" si="58"/>
        <v>-0.29680365296803651</v>
      </c>
      <c r="AM87">
        <f t="shared" si="58"/>
        <v>-0.85638266039903466</v>
      </c>
      <c r="AN87">
        <f t="shared" si="58"/>
        <v>-0.90578249361059027</v>
      </c>
      <c r="AO87">
        <f t="shared" si="58"/>
        <v>0.33447731610629855</v>
      </c>
      <c r="AP87">
        <f t="shared" si="58"/>
        <v>-5.3490687483749903E-2</v>
      </c>
    </row>
    <row r="88" spans="1:42" x14ac:dyDescent="0.2">
      <c r="A88" t="s">
        <v>32</v>
      </c>
      <c r="B88" t="s">
        <v>4</v>
      </c>
      <c r="C88" t="s">
        <v>36</v>
      </c>
      <c r="D88" t="s">
        <v>112</v>
      </c>
      <c r="E88">
        <v>30</v>
      </c>
      <c r="F88" t="s">
        <v>19</v>
      </c>
      <c r="G88">
        <v>8</v>
      </c>
      <c r="H88">
        <v>0.9</v>
      </c>
      <c r="I88">
        <v>500</v>
      </c>
      <c r="J88">
        <v>14.4</v>
      </c>
      <c r="K88" s="2">
        <f>AVERAGEIFS('Individual data from NASA'!J:J, 'Individual data from NASA'!$C:$C, $F88, 'Individual data from NASA'!$B:$B, $B88, 'Individual data from NASA'!$K:$K, $L88) + 273.15</f>
        <v>290.73999999999995</v>
      </c>
      <c r="L88">
        <v>85</v>
      </c>
      <c r="M88">
        <f>0.845*60*60</f>
        <v>3041.9999999999995</v>
      </c>
      <c r="N88" s="3">
        <f>AVERAGEIFS('Individual data from NASA'!M:M, 'Individual data from NASA'!$C:$C, $F88, 'Individual data from NASA'!$B:$B, $B88, 'Individual data from NASA'!$K:$K, $L88)</f>
        <v>1365000000000000</v>
      </c>
      <c r="O88" s="3">
        <f>AVERAGEIFS('Individual data from NASA'!N:N, 'Individual data from NASA'!$C:$C, $F88, 'Individual data from NASA'!$B:$B, $B88, 'Individual data from NASA'!$K:$K, $L88)</f>
        <v>5215000000000000</v>
      </c>
      <c r="P88" s="3">
        <f>AVERAGEIFS('Individual data from NASA'!O:O, 'Individual data from NASA'!$C:$C, $F88, 'Individual data from NASA'!$B:$B, $B88, 'Individual data from NASA'!$K:$K, $L88)</f>
        <v>6580000000000000</v>
      </c>
      <c r="Q88" s="3">
        <f>AVERAGEIFS('Individual data from NASA'!P:P, 'Individual data from NASA'!$C:$C, $F88, 'Individual data from NASA'!$B:$B, $B88, 'Individual data from NASA'!$K:$K, $L88)</f>
        <v>60.757649999999998</v>
      </c>
      <c r="R88" s="3">
        <f>AVERAGEIFS('Individual data from NASA'!Q:Q, 'Individual data from NASA'!$C:$C, $F88, 'Individual data from NASA'!$B:$B, $B88, 'Individual data from NASA'!$K:$K, $L88)</f>
        <v>0.82989594450000004</v>
      </c>
      <c r="S88" s="3">
        <f>AVERAGEIFS('Individual data from NASA'!R:R, 'Individual data from NASA'!$C:$C, $F88, 'Individual data from NASA'!$B:$B, $B88, 'Individual data from NASA'!$K:$K, $L88)</f>
        <v>0.17010405550000002</v>
      </c>
      <c r="T88" s="3">
        <f>AVERAGEIFS('Individual data from NASA'!S:S, 'Individual data from NASA'!$C:$C, $F88, 'Individual data from NASA'!$B:$B, $B88, 'Individual data from NASA'!$K:$K, $L88)</f>
        <v>18.38690004</v>
      </c>
      <c r="U88" s="3">
        <f>AVERAGEIFS('Individual data from NASA'!T:T, 'Individual data from NASA'!$C:$C, $F88, 'Individual data from NASA'!$B:$B, $B88, 'Individual data from NASA'!$K:$K, $L88)</f>
        <v>4.0333479580000002</v>
      </c>
      <c r="V88" s="3">
        <f>AVERAGEIFS('Individual data from NASA'!W:W, 'Individual data from NASA'!$C:$C, $F88, 'Individual data from NASA'!$B:$B, $B88, 'Individual data from NASA'!$K:$K, $L88)</f>
        <v>18.854649999999999</v>
      </c>
      <c r="W88" s="3">
        <f>AVERAGEIFS('Individual data from NASA'!U:U, 'Individual data from NASA'!$C:$C, $F88, 'Individual data from NASA'!$B:$B, $B88, 'Individual data from NASA'!$K:$K, $L88)</f>
        <v>13.6105</v>
      </c>
      <c r="X88" cm="1">
        <f t="array" ref="X88">_xlfn.STDEV.S(
    _xlfn._xlws.FILTER(
        'Individual data from NASA'!M:M,
        ('Individual data from NASA'!$C:$C=$F88) *
        ('Individual data from NASA'!$B:$B=$B88) *
        ('Individual data from NASA'!$K:$K=$L88)
    )
)</f>
        <v>77781745930520.234</v>
      </c>
      <c r="Y88" cm="1">
        <f t="array" ref="Y88">_xlfn.STDEV.S(
    _xlfn._xlws.FILTER(
        'Individual data from NASA'!N:N,
        ('Individual data from NASA'!$C:$C=$F88) *
        ('Individual data from NASA'!$B:$B=$B88) *
        ('Individual data from NASA'!$K:$K=$L88)
    )
)</f>
        <v>3641599923110719</v>
      </c>
      <c r="Z88" cm="1">
        <f t="array" ref="Z88">_xlfn.STDEV.S(
    _xlfn._xlws.FILTER(
        'Individual data from NASA'!O:O,
        ('Individual data from NASA'!$C:$C=$F88) *
        ('Individual data from NASA'!$B:$B=$B88) *
        ('Individual data from NASA'!$K:$K=$L88)
    )
)</f>
        <v>3563818177180198.5</v>
      </c>
      <c r="AA88">
        <f t="shared" si="49"/>
        <v>-0.5</v>
      </c>
      <c r="AB88">
        <f t="shared" si="50"/>
        <v>-0.3571428571428571</v>
      </c>
      <c r="AC88">
        <f t="shared" si="51"/>
        <v>-0.375</v>
      </c>
      <c r="AD88">
        <f t="shared" si="52"/>
        <v>3.5971223021582732E-2</v>
      </c>
      <c r="AE88">
        <f t="shared" si="54"/>
        <v>20.25</v>
      </c>
      <c r="AF88">
        <f t="shared" si="55"/>
        <v>5.6535433070866139</v>
      </c>
      <c r="AG88">
        <f t="shared" si="56"/>
        <v>-0.90650684931506853</v>
      </c>
      <c r="AH88">
        <f t="shared" si="57"/>
        <v>-0.93083554376657829</v>
      </c>
      <c r="AI88">
        <f t="shared" si="58"/>
        <v>-0.92697003329633743</v>
      </c>
      <c r="AJ88">
        <f t="shared" si="58"/>
        <v>2.9325339805825239</v>
      </c>
      <c r="AK88">
        <f t="shared" si="58"/>
        <v>6.2606843149807953E-2</v>
      </c>
      <c r="AL88">
        <f t="shared" si="58"/>
        <v>-0.22326915296803646</v>
      </c>
      <c r="AM88">
        <f t="shared" si="58"/>
        <v>-0.80117885595320226</v>
      </c>
      <c r="AN88">
        <f t="shared" si="58"/>
        <v>-0.84432588896927185</v>
      </c>
      <c r="AO88">
        <f t="shared" si="58"/>
        <v>0.38413228600792831</v>
      </c>
      <c r="AP88">
        <f t="shared" si="58"/>
        <v>-0.13688796443677825</v>
      </c>
    </row>
    <row r="89" spans="1:42" x14ac:dyDescent="0.2">
      <c r="A89" t="s">
        <v>33</v>
      </c>
      <c r="B89" t="s">
        <v>34</v>
      </c>
      <c r="C89" t="s">
        <v>36</v>
      </c>
      <c r="D89" t="s">
        <v>35</v>
      </c>
      <c r="E89">
        <v>50</v>
      </c>
      <c r="F89" t="s">
        <v>40</v>
      </c>
      <c r="G89">
        <v>13.4</v>
      </c>
      <c r="H89">
        <v>0.35</v>
      </c>
      <c r="I89">
        <v>211</v>
      </c>
      <c r="J89">
        <v>14.08</v>
      </c>
      <c r="K89" s="2">
        <v>213.3</v>
      </c>
      <c r="L89" s="5">
        <v>57.5</v>
      </c>
      <c r="M89" s="6">
        <f>2700</f>
        <v>2700</v>
      </c>
      <c r="N89">
        <f>9.5*10^14</f>
        <v>950000000000000</v>
      </c>
      <c r="X89">
        <f>(0.3)*10^15</f>
        <v>300000000000000</v>
      </c>
    </row>
    <row r="90" spans="1:42" x14ac:dyDescent="0.2">
      <c r="A90" t="s">
        <v>33</v>
      </c>
      <c r="B90" t="s">
        <v>34</v>
      </c>
      <c r="C90" t="s">
        <v>36</v>
      </c>
      <c r="D90" t="s">
        <v>35</v>
      </c>
      <c r="E90">
        <v>50</v>
      </c>
      <c r="F90" t="s">
        <v>41</v>
      </c>
      <c r="G90">
        <v>0.41</v>
      </c>
      <c r="H90">
        <v>2E-3</v>
      </c>
      <c r="I90">
        <v>7</v>
      </c>
      <c r="J90">
        <v>15.11</v>
      </c>
      <c r="K90" s="2">
        <v>213.8</v>
      </c>
      <c r="L90" s="5">
        <v>57.5</v>
      </c>
      <c r="M90" s="6">
        <f>2751.3</f>
        <v>2751.3</v>
      </c>
      <c r="N90">
        <f>6.1*10^14</f>
        <v>610000000000000</v>
      </c>
      <c r="X90">
        <f>(0.07)*10^15</f>
        <v>70000000000000.008</v>
      </c>
      <c r="AA90">
        <f>(G90-G89)/G89</f>
        <v>-0.96940298507462686</v>
      </c>
      <c r="AB90">
        <f>(H90-H89)/H89</f>
        <v>-0.99428571428571433</v>
      </c>
      <c r="AC90">
        <f>(I90-I89)/I89</f>
        <v>-0.96682464454976302</v>
      </c>
      <c r="AD90">
        <f>(J90-J89)/J89</f>
        <v>7.3153409090909047E-2</v>
      </c>
      <c r="AE90">
        <f>(L90-L89)/L89</f>
        <v>0</v>
      </c>
      <c r="AF90">
        <f>(M90-M89)/M89</f>
        <v>1.9000000000000069E-2</v>
      </c>
      <c r="AG90">
        <f>(N90-N89)/N89</f>
        <v>-0.35789473684210527</v>
      </c>
      <c r="AH90" t="e">
        <f>(O90-O89)/O89</f>
        <v>#DIV/0!</v>
      </c>
      <c r="AI90" t="e">
        <f>(P90-P89)/P89</f>
        <v>#DIV/0!</v>
      </c>
    </row>
    <row r="91" spans="1:42" x14ac:dyDescent="0.2">
      <c r="A91" t="s">
        <v>37</v>
      </c>
      <c r="B91" t="s">
        <v>38</v>
      </c>
      <c r="C91" t="s">
        <v>36</v>
      </c>
      <c r="D91" t="s">
        <v>39</v>
      </c>
      <c r="E91">
        <v>24000</v>
      </c>
      <c r="F91" t="s">
        <v>42</v>
      </c>
      <c r="G91">
        <v>18.8</v>
      </c>
      <c r="H91">
        <v>1.51</v>
      </c>
      <c r="I91">
        <v>1170</v>
      </c>
      <c r="J91">
        <v>13.67</v>
      </c>
      <c r="K91" s="2"/>
      <c r="M91" s="6"/>
    </row>
    <row r="92" spans="1:42" x14ac:dyDescent="0.2">
      <c r="A92" t="s">
        <v>37</v>
      </c>
      <c r="B92" t="s">
        <v>38</v>
      </c>
      <c r="C92" t="s">
        <v>36</v>
      </c>
      <c r="D92" t="s">
        <v>39</v>
      </c>
      <c r="E92">
        <v>24000</v>
      </c>
      <c r="F92" t="s">
        <v>43</v>
      </c>
      <c r="G92">
        <v>17.2</v>
      </c>
      <c r="H92">
        <v>1.83</v>
      </c>
      <c r="I92">
        <v>1350</v>
      </c>
      <c r="J92">
        <v>13.73</v>
      </c>
      <c r="K92" s="2">
        <v>215</v>
      </c>
      <c r="L92">
        <f>81</f>
        <v>81</v>
      </c>
      <c r="M92" s="6">
        <v>1180</v>
      </c>
      <c r="N92">
        <f>4.9*10^15</f>
        <v>4900000000000000</v>
      </c>
      <c r="X92">
        <f>(0.6)*10^15</f>
        <v>600000000000000</v>
      </c>
    </row>
    <row r="93" spans="1:42" x14ac:dyDescent="0.2">
      <c r="A93" t="s">
        <v>37</v>
      </c>
      <c r="B93" t="s">
        <v>38</v>
      </c>
      <c r="C93" t="s">
        <v>36</v>
      </c>
      <c r="D93" t="s">
        <v>39</v>
      </c>
      <c r="E93">
        <v>24000</v>
      </c>
      <c r="F93" t="s">
        <v>44</v>
      </c>
      <c r="G93">
        <v>18.600000000000001</v>
      </c>
      <c r="H93">
        <v>1.17</v>
      </c>
      <c r="I93">
        <v>120</v>
      </c>
      <c r="J93">
        <v>13.65</v>
      </c>
      <c r="K93" s="2">
        <v>215</v>
      </c>
      <c r="M93" s="6"/>
      <c r="N93">
        <f>3.8*10^15</f>
        <v>3800000000000000</v>
      </c>
      <c r="X93">
        <f>(0.9)*10^15</f>
        <v>900000000000000</v>
      </c>
    </row>
    <row r="94" spans="1:42" x14ac:dyDescent="0.2">
      <c r="A94" t="s">
        <v>37</v>
      </c>
      <c r="B94" t="s">
        <v>38</v>
      </c>
      <c r="C94" t="s">
        <v>36</v>
      </c>
      <c r="D94" t="s">
        <v>39</v>
      </c>
      <c r="E94">
        <v>24000</v>
      </c>
      <c r="F94" t="s">
        <v>45</v>
      </c>
      <c r="G94">
        <v>16.5</v>
      </c>
      <c r="H94">
        <v>0.13</v>
      </c>
      <c r="I94">
        <v>10</v>
      </c>
      <c r="J94">
        <v>14.08</v>
      </c>
      <c r="K94" s="2"/>
      <c r="M94" s="6"/>
    </row>
    <row r="95" spans="1:42" x14ac:dyDescent="0.2">
      <c r="A95" t="s">
        <v>37</v>
      </c>
      <c r="B95" t="s">
        <v>38</v>
      </c>
      <c r="C95" t="s">
        <v>36</v>
      </c>
      <c r="D95" t="s">
        <v>39</v>
      </c>
      <c r="E95">
        <v>24000</v>
      </c>
      <c r="F95" t="s">
        <v>106</v>
      </c>
      <c r="G95">
        <v>11.4</v>
      </c>
      <c r="H95">
        <v>0.82</v>
      </c>
      <c r="I95">
        <v>570</v>
      </c>
      <c r="J95">
        <v>14.36</v>
      </c>
      <c r="K95" s="2">
        <v>220</v>
      </c>
      <c r="L95">
        <f>71</f>
        <v>71</v>
      </c>
      <c r="M95" s="6">
        <v>820</v>
      </c>
      <c r="N95">
        <f>2.5*10^15</f>
        <v>2500000000000000</v>
      </c>
      <c r="X95">
        <f>(0.2)*10^15</f>
        <v>200000000000000</v>
      </c>
      <c r="AA95">
        <f t="shared" ref="AA95:AD97" si="59">(G95-G$93)/G$93</f>
        <v>-0.38709677419354843</v>
      </c>
      <c r="AB95">
        <f t="shared" si="59"/>
        <v>-0.29914529914529914</v>
      </c>
      <c r="AC95">
        <f t="shared" si="59"/>
        <v>3.75</v>
      </c>
      <c r="AD95">
        <f t="shared" si="59"/>
        <v>5.2014652014651948E-2</v>
      </c>
      <c r="AE95" t="e">
        <f t="shared" ref="AE95:AG95" si="60">(L95-L$93)/L$93</f>
        <v>#DIV/0!</v>
      </c>
      <c r="AF95" t="e">
        <f t="shared" si="60"/>
        <v>#DIV/0!</v>
      </c>
      <c r="AG95">
        <f t="shared" si="60"/>
        <v>-0.34210526315789475</v>
      </c>
      <c r="AH95" t="e">
        <f>(O95-O$93)/O$93</f>
        <v>#DIV/0!</v>
      </c>
      <c r="AI95" t="e">
        <f t="shared" ref="AI95" si="61">(P95-P$93)/P$93</f>
        <v>#DIV/0!</v>
      </c>
    </row>
    <row r="96" spans="1:42" x14ac:dyDescent="0.2">
      <c r="A96" t="s">
        <v>37</v>
      </c>
      <c r="B96" t="s">
        <v>38</v>
      </c>
      <c r="C96" t="s">
        <v>36</v>
      </c>
      <c r="D96" t="s">
        <v>39</v>
      </c>
      <c r="E96">
        <v>24000</v>
      </c>
      <c r="F96" t="s">
        <v>107</v>
      </c>
      <c r="G96">
        <v>8.4</v>
      </c>
      <c r="H96">
        <v>0.61</v>
      </c>
      <c r="I96">
        <v>70</v>
      </c>
      <c r="J96">
        <v>14.4</v>
      </c>
      <c r="K96" s="2">
        <v>284</v>
      </c>
      <c r="L96">
        <f>77</f>
        <v>77</v>
      </c>
      <c r="M96" s="6">
        <f>1132</f>
        <v>1132</v>
      </c>
      <c r="N96">
        <f>2.7*10^15</f>
        <v>2700000000000000</v>
      </c>
      <c r="X96">
        <f>(0.6)*10^15</f>
        <v>600000000000000</v>
      </c>
      <c r="AA96">
        <f t="shared" si="59"/>
        <v>-0.54838709677419362</v>
      </c>
      <c r="AB96">
        <f t="shared" si="59"/>
        <v>-0.4786324786324786</v>
      </c>
      <c r="AC96">
        <f t="shared" si="59"/>
        <v>-0.41666666666666669</v>
      </c>
      <c r="AD96">
        <f t="shared" si="59"/>
        <v>5.4945054945054944E-2</v>
      </c>
      <c r="AE96" t="e">
        <f t="shared" ref="AE96:AE97" si="62">(L96-L$93)/L$93</f>
        <v>#DIV/0!</v>
      </c>
      <c r="AF96" t="e">
        <f t="shared" ref="AF96:AF97" si="63">(M96-M$93)/M$93</f>
        <v>#DIV/0!</v>
      </c>
      <c r="AG96">
        <f t="shared" ref="AG96:AG97" si="64">(N96-N$93)/N$93</f>
        <v>-0.28947368421052633</v>
      </c>
      <c r="AH96" t="e">
        <f t="shared" ref="AH96:AH97" si="65">(O96-O$93)/O$93</f>
        <v>#DIV/0!</v>
      </c>
      <c r="AI96" t="e">
        <f t="shared" ref="AI96:AI97" si="66">(P96-P$93)/P$93</f>
        <v>#DIV/0!</v>
      </c>
    </row>
    <row r="97" spans="1:41" x14ac:dyDescent="0.2">
      <c r="A97" t="s">
        <v>37</v>
      </c>
      <c r="B97" t="s">
        <v>38</v>
      </c>
      <c r="C97" t="s">
        <v>36</v>
      </c>
      <c r="D97" t="s">
        <v>39</v>
      </c>
      <c r="E97">
        <v>24000</v>
      </c>
      <c r="F97" t="s">
        <v>108</v>
      </c>
      <c r="G97">
        <v>9.5</v>
      </c>
      <c r="H97">
        <v>4.4999999999999998E-2</v>
      </c>
      <c r="I97">
        <v>10</v>
      </c>
      <c r="J97">
        <v>14.51</v>
      </c>
      <c r="K97" s="2">
        <v>218</v>
      </c>
      <c r="L97">
        <f>78</f>
        <v>78</v>
      </c>
      <c r="M97" s="6">
        <f>1091</f>
        <v>1091</v>
      </c>
      <c r="N97">
        <f>2.3*10^15</f>
        <v>2300000000000000</v>
      </c>
      <c r="X97">
        <f>(0.6)*10^15</f>
        <v>600000000000000</v>
      </c>
      <c r="AA97">
        <f t="shared" si="59"/>
        <v>-0.48924731182795705</v>
      </c>
      <c r="AB97">
        <f t="shared" si="59"/>
        <v>-0.96153846153846156</v>
      </c>
      <c r="AC97">
        <f t="shared" si="59"/>
        <v>-0.91666666666666663</v>
      </c>
      <c r="AD97">
        <f t="shared" si="59"/>
        <v>6.300366300366296E-2</v>
      </c>
      <c r="AE97" t="e">
        <f t="shared" si="62"/>
        <v>#DIV/0!</v>
      </c>
      <c r="AF97" t="e">
        <f t="shared" si="63"/>
        <v>#DIV/0!</v>
      </c>
      <c r="AG97">
        <f t="shared" si="64"/>
        <v>-0.39473684210526316</v>
      </c>
      <c r="AH97" t="e">
        <f t="shared" si="65"/>
        <v>#DIV/0!</v>
      </c>
      <c r="AI97" t="e">
        <f t="shared" si="66"/>
        <v>#DIV/0!</v>
      </c>
    </row>
    <row r="98" spans="1:41" x14ac:dyDescent="0.2">
      <c r="A98" s="1" t="s">
        <v>46</v>
      </c>
      <c r="B98" t="s">
        <v>47</v>
      </c>
      <c r="C98" t="s">
        <v>36</v>
      </c>
      <c r="D98" t="s">
        <v>39</v>
      </c>
      <c r="E98">
        <v>17000</v>
      </c>
      <c r="F98" s="1" t="s">
        <v>44</v>
      </c>
      <c r="G98" s="1">
        <v>18.600000000000001</v>
      </c>
      <c r="H98" s="1">
        <v>1.17</v>
      </c>
      <c r="I98">
        <v>120</v>
      </c>
      <c r="J98">
        <v>14</v>
      </c>
      <c r="K98" s="2">
        <v>218</v>
      </c>
      <c r="L98">
        <f>71</f>
        <v>71</v>
      </c>
      <c r="M98" s="6"/>
      <c r="N98">
        <f>25*10^14</f>
        <v>2500000000000000</v>
      </c>
      <c r="X98">
        <f>(7)*10^14</f>
        <v>700000000000000</v>
      </c>
    </row>
    <row r="99" spans="1:41" x14ac:dyDescent="0.2">
      <c r="A99" s="1" t="s">
        <v>46</v>
      </c>
      <c r="B99" t="s">
        <v>47</v>
      </c>
      <c r="C99" t="s">
        <v>36</v>
      </c>
      <c r="D99" t="s">
        <v>39</v>
      </c>
      <c r="E99">
        <v>17000</v>
      </c>
      <c r="F99" s="1" t="s">
        <v>107</v>
      </c>
      <c r="G99" s="1">
        <v>8.5</v>
      </c>
      <c r="H99" s="1">
        <v>0.61</v>
      </c>
      <c r="I99">
        <v>70</v>
      </c>
      <c r="J99">
        <v>14.8</v>
      </c>
      <c r="K99" s="2">
        <v>218</v>
      </c>
      <c r="L99">
        <f>77</f>
        <v>77</v>
      </c>
      <c r="M99" s="6">
        <f>1132</f>
        <v>1132</v>
      </c>
      <c r="N99">
        <f>20*10^14</f>
        <v>2000000000000000</v>
      </c>
      <c r="X99">
        <f>(4)*10^14</f>
        <v>400000000000000</v>
      </c>
      <c r="AA99">
        <f t="shared" ref="AA99:AD100" si="67">(G99-G$98)/G$98</f>
        <v>-0.54301075268817212</v>
      </c>
      <c r="AB99">
        <f t="shared" si="67"/>
        <v>-0.4786324786324786</v>
      </c>
      <c r="AC99">
        <f t="shared" si="67"/>
        <v>-0.41666666666666669</v>
      </c>
      <c r="AD99">
        <f t="shared" si="67"/>
        <v>5.7142857142857197E-2</v>
      </c>
      <c r="AE99">
        <f t="shared" ref="AE99:AI99" si="68">(L99-L$98)/L$98</f>
        <v>8.4507042253521125E-2</v>
      </c>
      <c r="AF99" t="e">
        <f t="shared" si="68"/>
        <v>#DIV/0!</v>
      </c>
      <c r="AG99">
        <f t="shared" si="68"/>
        <v>-0.2</v>
      </c>
      <c r="AH99" t="e">
        <f t="shared" si="68"/>
        <v>#DIV/0!</v>
      </c>
      <c r="AI99" t="e">
        <f t="shared" si="68"/>
        <v>#DIV/0!</v>
      </c>
    </row>
    <row r="100" spans="1:41" x14ac:dyDescent="0.2">
      <c r="A100" s="1" t="s">
        <v>46</v>
      </c>
      <c r="B100" t="s">
        <v>47</v>
      </c>
      <c r="C100" t="s">
        <v>36</v>
      </c>
      <c r="D100" t="s">
        <v>39</v>
      </c>
      <c r="E100">
        <v>17000</v>
      </c>
      <c r="F100" s="1" t="s">
        <v>108</v>
      </c>
      <c r="G100" s="1">
        <v>9.5</v>
      </c>
      <c r="H100" s="1">
        <v>4.4999999999999998E-2</v>
      </c>
      <c r="I100">
        <v>10</v>
      </c>
      <c r="J100">
        <v>15.6</v>
      </c>
      <c r="K100" s="2">
        <v>216</v>
      </c>
      <c r="L100">
        <f>78</f>
        <v>78</v>
      </c>
      <c r="M100" s="6">
        <f>1091</f>
        <v>1091</v>
      </c>
      <c r="N100">
        <f>17*10^14</f>
        <v>1700000000000000</v>
      </c>
      <c r="X100">
        <f>(4)*10^14</f>
        <v>400000000000000</v>
      </c>
      <c r="AA100">
        <f t="shared" si="67"/>
        <v>-0.48924731182795705</v>
      </c>
      <c r="AB100">
        <f t="shared" si="67"/>
        <v>-0.96153846153846156</v>
      </c>
      <c r="AC100">
        <f t="shared" si="67"/>
        <v>-0.91666666666666663</v>
      </c>
      <c r="AD100">
        <f t="shared" si="67"/>
        <v>0.11428571428571425</v>
      </c>
      <c r="AE100">
        <f t="shared" ref="AE100" si="69">(L100-L$98)/L$98</f>
        <v>9.8591549295774641E-2</v>
      </c>
      <c r="AF100" t="e">
        <f t="shared" ref="AF100" si="70">(M100-M$98)/M$98</f>
        <v>#DIV/0!</v>
      </c>
      <c r="AG100">
        <f t="shared" ref="AG100" si="71">(N100-N$98)/N$98</f>
        <v>-0.32</v>
      </c>
      <c r="AH100" t="e">
        <f t="shared" ref="AH100" si="72">(O100-O$98)/O$98</f>
        <v>#DIV/0!</v>
      </c>
      <c r="AI100" t="e">
        <f t="shared" ref="AI100" si="73">(P100-P$98)/P$98</f>
        <v>#DIV/0!</v>
      </c>
    </row>
    <row r="101" spans="1:41" x14ac:dyDescent="0.2">
      <c r="A101" t="s">
        <v>48</v>
      </c>
      <c r="B101" t="s">
        <v>49</v>
      </c>
      <c r="C101" t="s">
        <v>110</v>
      </c>
      <c r="D101" t="s">
        <v>55</v>
      </c>
      <c r="E101">
        <v>1</v>
      </c>
      <c r="F101" s="1" t="s">
        <v>50</v>
      </c>
      <c r="G101" s="1">
        <v>18.5</v>
      </c>
      <c r="H101" s="1">
        <v>0.5</v>
      </c>
      <c r="J101">
        <v>13.8</v>
      </c>
      <c r="K101" s="2">
        <f>4 + 273.15</f>
        <v>277.14999999999998</v>
      </c>
      <c r="L101">
        <v>3</v>
      </c>
      <c r="M101" s="6">
        <v>700</v>
      </c>
    </row>
    <row r="102" spans="1:41" x14ac:dyDescent="0.2">
      <c r="A102" t="s">
        <v>48</v>
      </c>
      <c r="B102" t="s">
        <v>49</v>
      </c>
      <c r="C102" t="s">
        <v>110</v>
      </c>
      <c r="D102" t="s">
        <v>55</v>
      </c>
      <c r="E102">
        <v>1</v>
      </c>
      <c r="F102" s="1" t="s">
        <v>51</v>
      </c>
      <c r="G102" s="1">
        <v>14.8</v>
      </c>
      <c r="H102" s="1">
        <f>0.5*0.8</f>
        <v>0.4</v>
      </c>
      <c r="J102">
        <v>13.91</v>
      </c>
      <c r="K102">
        <v>273.14999999999998</v>
      </c>
      <c r="L102">
        <v>3</v>
      </c>
      <c r="M102" s="6">
        <v>700</v>
      </c>
      <c r="AA102">
        <f t="shared" ref="AA102:AD105" si="74">(G102-G$101)/G$100</f>
        <v>-0.38947368421052625</v>
      </c>
      <c r="AB102">
        <f t="shared" si="74"/>
        <v>-2.2222222222222219</v>
      </c>
      <c r="AC102">
        <f t="shared" si="74"/>
        <v>0</v>
      </c>
      <c r="AD102">
        <f t="shared" si="74"/>
        <v>7.051282051282015E-3</v>
      </c>
      <c r="AE102">
        <f t="shared" ref="AE102:AE105" si="75">(L102-L$101)/L$100</f>
        <v>0</v>
      </c>
      <c r="AF102">
        <f>(M102-M$101)/M$100</f>
        <v>0</v>
      </c>
      <c r="AG102">
        <v>-0.51</v>
      </c>
    </row>
    <row r="103" spans="1:41" x14ac:dyDescent="0.2">
      <c r="A103" t="s">
        <v>48</v>
      </c>
      <c r="B103" t="s">
        <v>49</v>
      </c>
      <c r="C103" t="s">
        <v>110</v>
      </c>
      <c r="D103" t="s">
        <v>55</v>
      </c>
      <c r="E103">
        <v>1</v>
      </c>
      <c r="F103" s="1" t="s">
        <v>52</v>
      </c>
      <c r="G103" s="1">
        <v>11.1</v>
      </c>
      <c r="H103">
        <f>0.5*0.6</f>
        <v>0.3</v>
      </c>
      <c r="J103">
        <v>13.91</v>
      </c>
      <c r="K103">
        <v>273.14999999999998</v>
      </c>
      <c r="L103">
        <v>3</v>
      </c>
      <c r="M103" s="6">
        <v>700</v>
      </c>
      <c r="AA103">
        <f t="shared" si="74"/>
        <v>-0.77894736842105272</v>
      </c>
      <c r="AB103">
        <f t="shared" si="74"/>
        <v>-4.4444444444444446</v>
      </c>
      <c r="AC103">
        <f t="shared" si="74"/>
        <v>0</v>
      </c>
      <c r="AD103">
        <f t="shared" si="74"/>
        <v>7.051282051282015E-3</v>
      </c>
      <c r="AE103">
        <f t="shared" si="75"/>
        <v>0</v>
      </c>
      <c r="AF103">
        <f t="shared" ref="AF103:AF105" si="76">(M103-M$101)/M$100</f>
        <v>0</v>
      </c>
      <c r="AG103">
        <v>-0.65</v>
      </c>
    </row>
    <row r="104" spans="1:41" x14ac:dyDescent="0.2">
      <c r="A104" t="s">
        <v>48</v>
      </c>
      <c r="B104" t="s">
        <v>49</v>
      </c>
      <c r="C104" t="s">
        <v>110</v>
      </c>
      <c r="D104" t="s">
        <v>55</v>
      </c>
      <c r="E104">
        <v>1</v>
      </c>
      <c r="F104" s="1" t="s">
        <v>53</v>
      </c>
      <c r="G104" s="1">
        <v>9.25</v>
      </c>
      <c r="H104" s="1">
        <f>0.5*0.5 + 0.5 * 0.5</f>
        <v>0.5</v>
      </c>
      <c r="J104">
        <v>14.52</v>
      </c>
      <c r="K104">
        <v>273.14999999999998</v>
      </c>
      <c r="L104">
        <v>3</v>
      </c>
      <c r="M104" s="6">
        <v>700</v>
      </c>
      <c r="AA104">
        <f t="shared" si="74"/>
        <v>-0.97368421052631582</v>
      </c>
      <c r="AB104">
        <f t="shared" si="74"/>
        <v>0</v>
      </c>
      <c r="AC104">
        <f t="shared" si="74"/>
        <v>0</v>
      </c>
      <c r="AD104">
        <f t="shared" si="74"/>
        <v>4.615384615384608E-2</v>
      </c>
      <c r="AE104">
        <f t="shared" si="75"/>
        <v>0</v>
      </c>
      <c r="AF104">
        <f t="shared" si="76"/>
        <v>0</v>
      </c>
      <c r="AG104">
        <v>-0.85</v>
      </c>
    </row>
    <row r="105" spans="1:41" x14ac:dyDescent="0.2">
      <c r="A105" t="s">
        <v>48</v>
      </c>
      <c r="B105" t="s">
        <v>49</v>
      </c>
      <c r="C105" t="s">
        <v>110</v>
      </c>
      <c r="D105" t="s">
        <v>55</v>
      </c>
      <c r="E105">
        <v>1</v>
      </c>
      <c r="F105" s="1" t="s">
        <v>54</v>
      </c>
      <c r="G105">
        <v>0.2</v>
      </c>
      <c r="H105" s="1">
        <f>0.5*0.5 + 0.5 * 0.5</f>
        <v>0.5</v>
      </c>
      <c r="J105">
        <v>15.32</v>
      </c>
      <c r="K105">
        <v>273.14999999999998</v>
      </c>
      <c r="L105">
        <v>3</v>
      </c>
      <c r="M105" s="6">
        <v>700</v>
      </c>
      <c r="AA105">
        <f t="shared" si="74"/>
        <v>-1.9263157894736842</v>
      </c>
      <c r="AB105">
        <f t="shared" si="74"/>
        <v>0</v>
      </c>
      <c r="AC105">
        <f t="shared" si="74"/>
        <v>0</v>
      </c>
      <c r="AD105">
        <f t="shared" si="74"/>
        <v>9.7435897435897409E-2</v>
      </c>
      <c r="AE105">
        <f t="shared" si="75"/>
        <v>0</v>
      </c>
      <c r="AF105">
        <f t="shared" si="76"/>
        <v>0</v>
      </c>
      <c r="AG105">
        <v>-0.94</v>
      </c>
    </row>
    <row r="106" spans="1:41" x14ac:dyDescent="0.2">
      <c r="A106" t="s">
        <v>48</v>
      </c>
      <c r="B106" t="s">
        <v>49</v>
      </c>
      <c r="C106" t="s">
        <v>110</v>
      </c>
      <c r="D106" t="s">
        <v>55</v>
      </c>
      <c r="E106">
        <v>1</v>
      </c>
      <c r="F106" s="1" t="s">
        <v>50</v>
      </c>
      <c r="G106" s="1">
        <v>18.5</v>
      </c>
      <c r="H106" s="1">
        <v>0.5</v>
      </c>
      <c r="J106">
        <v>13.8</v>
      </c>
      <c r="K106">
        <f>4 + 273.15</f>
        <v>277.14999999999998</v>
      </c>
      <c r="L106">
        <v>7</v>
      </c>
      <c r="M106" s="6">
        <v>940</v>
      </c>
    </row>
    <row r="107" spans="1:41" x14ac:dyDescent="0.2">
      <c r="A107" t="s">
        <v>48</v>
      </c>
      <c r="B107" t="s">
        <v>49</v>
      </c>
      <c r="C107" t="s">
        <v>110</v>
      </c>
      <c r="D107" t="s">
        <v>55</v>
      </c>
      <c r="E107">
        <v>1</v>
      </c>
      <c r="F107" s="1" t="s">
        <v>51</v>
      </c>
      <c r="G107" s="1">
        <v>14.8</v>
      </c>
      <c r="H107" s="1">
        <f>0.5*0.8</f>
        <v>0.4</v>
      </c>
      <c r="J107">
        <v>13.91</v>
      </c>
      <c r="K107">
        <v>273.14999999999998</v>
      </c>
      <c r="L107">
        <v>7</v>
      </c>
      <c r="M107" s="6">
        <v>940</v>
      </c>
      <c r="AA107">
        <f t="shared" ref="AA107:AD110" si="77">(G107-G$106)/G$106</f>
        <v>-0.19999999999999996</v>
      </c>
      <c r="AB107">
        <f t="shared" si="77"/>
        <v>-0.19999999999999996</v>
      </c>
      <c r="AC107" t="e">
        <f t="shared" si="77"/>
        <v>#DIV/0!</v>
      </c>
      <c r="AD107">
        <f t="shared" si="77"/>
        <v>7.9710144927535812E-3</v>
      </c>
      <c r="AE107">
        <f t="shared" ref="AE107:AE110" si="78">(L107-L$106)/L$106</f>
        <v>0</v>
      </c>
      <c r="AF107">
        <f>(M107-M$106)/M$106</f>
        <v>0</v>
      </c>
      <c r="AG107">
        <v>-1.7000000000000001E-2</v>
      </c>
      <c r="AO107">
        <f>1.07-1</f>
        <v>7.0000000000000062E-2</v>
      </c>
    </row>
    <row r="108" spans="1:41" x14ac:dyDescent="0.2">
      <c r="A108" t="s">
        <v>48</v>
      </c>
      <c r="B108" t="s">
        <v>49</v>
      </c>
      <c r="C108" t="s">
        <v>110</v>
      </c>
      <c r="D108" t="s">
        <v>55</v>
      </c>
      <c r="E108">
        <v>1</v>
      </c>
      <c r="F108" s="1" t="s">
        <v>52</v>
      </c>
      <c r="G108" s="1">
        <v>11.1</v>
      </c>
      <c r="H108">
        <f>0.5*0.6</f>
        <v>0.3</v>
      </c>
      <c r="J108">
        <v>13.91</v>
      </c>
      <c r="K108">
        <v>273.14999999999998</v>
      </c>
      <c r="L108">
        <v>7</v>
      </c>
      <c r="M108" s="6">
        <v>940</v>
      </c>
      <c r="AA108">
        <f t="shared" si="77"/>
        <v>-0.4</v>
      </c>
      <c r="AB108">
        <f t="shared" si="77"/>
        <v>-0.4</v>
      </c>
      <c r="AC108" t="e">
        <f t="shared" si="77"/>
        <v>#DIV/0!</v>
      </c>
      <c r="AD108">
        <f t="shared" si="77"/>
        <v>7.9710144927535812E-3</v>
      </c>
      <c r="AE108">
        <f t="shared" si="78"/>
        <v>0</v>
      </c>
      <c r="AF108">
        <f t="shared" ref="AF108:AF110" si="79">(M108-M$106)/M$106</f>
        <v>0</v>
      </c>
      <c r="AG108">
        <v>-0.52</v>
      </c>
      <c r="AO108">
        <f>0.98-1</f>
        <v>-2.0000000000000018E-2</v>
      </c>
    </row>
    <row r="109" spans="1:41" x14ac:dyDescent="0.2">
      <c r="A109" t="s">
        <v>48</v>
      </c>
      <c r="B109" t="s">
        <v>49</v>
      </c>
      <c r="C109" t="s">
        <v>110</v>
      </c>
      <c r="D109" t="s">
        <v>55</v>
      </c>
      <c r="E109">
        <v>1</v>
      </c>
      <c r="F109" s="1" t="s">
        <v>53</v>
      </c>
      <c r="G109" s="1">
        <v>9.25</v>
      </c>
      <c r="H109" s="1">
        <f>0.5*0.5 + 0.5 * 0.5</f>
        <v>0.5</v>
      </c>
      <c r="J109">
        <v>14.52</v>
      </c>
      <c r="K109">
        <v>273.14999999999998</v>
      </c>
      <c r="L109">
        <v>7</v>
      </c>
      <c r="M109" s="6">
        <v>940</v>
      </c>
      <c r="AA109">
        <f t="shared" si="77"/>
        <v>-0.5</v>
      </c>
      <c r="AB109">
        <f t="shared" si="77"/>
        <v>0</v>
      </c>
      <c r="AC109" t="e">
        <f t="shared" si="77"/>
        <v>#DIV/0!</v>
      </c>
      <c r="AD109">
        <f t="shared" si="77"/>
        <v>5.2173913043478175E-2</v>
      </c>
      <c r="AE109">
        <f t="shared" si="78"/>
        <v>0</v>
      </c>
      <c r="AF109">
        <f t="shared" si="79"/>
        <v>0</v>
      </c>
      <c r="AG109">
        <v>-0.74</v>
      </c>
      <c r="AO109">
        <f>0.93-1</f>
        <v>-6.9999999999999951E-2</v>
      </c>
    </row>
    <row r="110" spans="1:41" x14ac:dyDescent="0.2">
      <c r="A110" t="s">
        <v>48</v>
      </c>
      <c r="B110" t="s">
        <v>49</v>
      </c>
      <c r="C110" t="s">
        <v>110</v>
      </c>
      <c r="D110" t="s">
        <v>55</v>
      </c>
      <c r="E110">
        <v>1</v>
      </c>
      <c r="F110" s="1" t="s">
        <v>54</v>
      </c>
      <c r="G110">
        <v>0.2</v>
      </c>
      <c r="H110" s="1">
        <f>0.5*0.5 + 0.5 * 0.5</f>
        <v>0.5</v>
      </c>
      <c r="J110">
        <v>15.32</v>
      </c>
      <c r="K110">
        <v>273.14999999999998</v>
      </c>
      <c r="L110">
        <v>7</v>
      </c>
      <c r="M110" s="6">
        <v>940</v>
      </c>
      <c r="AA110">
        <f t="shared" si="77"/>
        <v>-0.98918918918918919</v>
      </c>
      <c r="AB110">
        <f t="shared" si="77"/>
        <v>0</v>
      </c>
      <c r="AC110" t="e">
        <f t="shared" si="77"/>
        <v>#DIV/0!</v>
      </c>
      <c r="AD110">
        <f t="shared" si="77"/>
        <v>0.11014492753623185</v>
      </c>
      <c r="AE110">
        <f t="shared" si="78"/>
        <v>0</v>
      </c>
      <c r="AF110">
        <f t="shared" si="79"/>
        <v>0</v>
      </c>
      <c r="AG110">
        <v>-0.93</v>
      </c>
      <c r="AO110">
        <f>0.8-1</f>
        <v>-0.19999999999999996</v>
      </c>
    </row>
    <row r="111" spans="1:41" x14ac:dyDescent="0.2">
      <c r="A111" t="s">
        <v>48</v>
      </c>
      <c r="B111" t="s">
        <v>49</v>
      </c>
      <c r="C111" t="s">
        <v>110</v>
      </c>
      <c r="D111" t="s">
        <v>55</v>
      </c>
      <c r="E111">
        <v>1</v>
      </c>
      <c r="F111" s="1" t="s">
        <v>50</v>
      </c>
      <c r="G111" s="1">
        <v>18.5</v>
      </c>
      <c r="H111" s="1">
        <v>0.5</v>
      </c>
      <c r="J111">
        <v>13.8</v>
      </c>
      <c r="K111">
        <f>4 + 273.15</f>
        <v>277.14999999999998</v>
      </c>
      <c r="L111">
        <v>30</v>
      </c>
      <c r="M111" s="6">
        <v>2800</v>
      </c>
    </row>
    <row r="112" spans="1:41" x14ac:dyDescent="0.2">
      <c r="A112" t="s">
        <v>48</v>
      </c>
      <c r="B112" t="s">
        <v>49</v>
      </c>
      <c r="C112" t="s">
        <v>110</v>
      </c>
      <c r="D112" t="s">
        <v>55</v>
      </c>
      <c r="E112">
        <v>1</v>
      </c>
      <c r="F112" s="1" t="s">
        <v>51</v>
      </c>
      <c r="G112" s="1">
        <v>14.8</v>
      </c>
      <c r="H112" s="1">
        <f>0.5*0.8</f>
        <v>0.4</v>
      </c>
      <c r="J112">
        <v>13.91</v>
      </c>
      <c r="K112">
        <v>273.14999999999998</v>
      </c>
      <c r="L112">
        <v>30</v>
      </c>
      <c r="M112" s="6">
        <v>2800</v>
      </c>
      <c r="AA112">
        <f t="shared" ref="AA112:AD115" si="80">(G112-G$111)/G$111</f>
        <v>-0.19999999999999996</v>
      </c>
      <c r="AB112">
        <f t="shared" si="80"/>
        <v>-0.19999999999999996</v>
      </c>
      <c r="AC112" t="e">
        <f t="shared" si="80"/>
        <v>#DIV/0!</v>
      </c>
      <c r="AD112">
        <f t="shared" si="80"/>
        <v>7.9710144927535812E-3</v>
      </c>
      <c r="AE112">
        <f t="shared" ref="AE112:AE115" si="81">(L112-L$111)/L$111</f>
        <v>0</v>
      </c>
      <c r="AF112">
        <f>(M112-M$111)/M$111</f>
        <v>0</v>
      </c>
      <c r="AG112">
        <v>-0.14000000000000001</v>
      </c>
      <c r="AO112">
        <f>1.12-1</f>
        <v>0.12000000000000011</v>
      </c>
    </row>
    <row r="113" spans="1:41" x14ac:dyDescent="0.2">
      <c r="A113" t="s">
        <v>48</v>
      </c>
      <c r="B113" t="s">
        <v>49</v>
      </c>
      <c r="C113" t="s">
        <v>110</v>
      </c>
      <c r="D113" t="s">
        <v>55</v>
      </c>
      <c r="E113">
        <v>1</v>
      </c>
      <c r="F113" s="1" t="s">
        <v>52</v>
      </c>
      <c r="G113" s="1">
        <v>11.1</v>
      </c>
      <c r="H113">
        <f>0.5*0.6</f>
        <v>0.3</v>
      </c>
      <c r="J113">
        <v>13.91</v>
      </c>
      <c r="K113">
        <v>273.14999999999998</v>
      </c>
      <c r="L113">
        <v>30</v>
      </c>
      <c r="M113" s="6">
        <v>2800</v>
      </c>
      <c r="AA113">
        <f t="shared" si="80"/>
        <v>-0.4</v>
      </c>
      <c r="AB113">
        <f t="shared" si="80"/>
        <v>-0.4</v>
      </c>
      <c r="AC113" t="e">
        <f t="shared" si="80"/>
        <v>#DIV/0!</v>
      </c>
      <c r="AD113">
        <f t="shared" si="80"/>
        <v>7.9710144927535812E-3</v>
      </c>
      <c r="AE113">
        <f t="shared" si="81"/>
        <v>0</v>
      </c>
      <c r="AF113">
        <f t="shared" ref="AF113:AF115" si="82">(M113-M$111)/M$111</f>
        <v>0</v>
      </c>
      <c r="AG113">
        <v>-0.41</v>
      </c>
      <c r="AO113">
        <f>0.98-1</f>
        <v>-2.0000000000000018E-2</v>
      </c>
    </row>
    <row r="114" spans="1:41" x14ac:dyDescent="0.2">
      <c r="A114" t="s">
        <v>48</v>
      </c>
      <c r="B114" t="s">
        <v>49</v>
      </c>
      <c r="C114" t="s">
        <v>110</v>
      </c>
      <c r="D114" t="s">
        <v>55</v>
      </c>
      <c r="E114">
        <v>1</v>
      </c>
      <c r="F114" s="1" t="s">
        <v>53</v>
      </c>
      <c r="G114" s="1">
        <v>9.25</v>
      </c>
      <c r="H114" s="1">
        <f>0.5*0.5 + 0.5 * 0.5</f>
        <v>0.5</v>
      </c>
      <c r="J114">
        <v>14.52</v>
      </c>
      <c r="K114">
        <v>273.14999999999998</v>
      </c>
      <c r="L114">
        <v>30</v>
      </c>
      <c r="M114" s="6">
        <v>2800</v>
      </c>
      <c r="AA114">
        <f t="shared" si="80"/>
        <v>-0.5</v>
      </c>
      <c r="AB114">
        <f t="shared" si="80"/>
        <v>0</v>
      </c>
      <c r="AC114" t="e">
        <f t="shared" si="80"/>
        <v>#DIV/0!</v>
      </c>
      <c r="AD114">
        <f t="shared" si="80"/>
        <v>5.2173913043478175E-2</v>
      </c>
      <c r="AE114">
        <f t="shared" si="81"/>
        <v>0</v>
      </c>
      <c r="AF114">
        <f t="shared" si="82"/>
        <v>0</v>
      </c>
      <c r="AG114">
        <v>-0.48</v>
      </c>
      <c r="AO114">
        <f>0.94-1</f>
        <v>-6.0000000000000053E-2</v>
      </c>
    </row>
    <row r="115" spans="1:41" x14ac:dyDescent="0.2">
      <c r="A115" t="s">
        <v>48</v>
      </c>
      <c r="B115" t="s">
        <v>49</v>
      </c>
      <c r="C115" t="s">
        <v>110</v>
      </c>
      <c r="D115" t="s">
        <v>55</v>
      </c>
      <c r="E115">
        <v>1</v>
      </c>
      <c r="F115" s="1" t="s">
        <v>54</v>
      </c>
      <c r="G115">
        <v>0.2</v>
      </c>
      <c r="H115" s="1">
        <f>0.5*0.5 + 0.5 * 0.5</f>
        <v>0.5</v>
      </c>
      <c r="J115">
        <v>15.32</v>
      </c>
      <c r="K115">
        <v>273.14999999999998</v>
      </c>
      <c r="L115">
        <v>30</v>
      </c>
      <c r="M115" s="6">
        <v>2800</v>
      </c>
      <c r="AA115">
        <f t="shared" si="80"/>
        <v>-0.98918918918918919</v>
      </c>
      <c r="AB115">
        <f t="shared" si="80"/>
        <v>0</v>
      </c>
      <c r="AC115" t="e">
        <f t="shared" si="80"/>
        <v>#DIV/0!</v>
      </c>
      <c r="AD115">
        <f t="shared" si="80"/>
        <v>0.11014492753623185</v>
      </c>
      <c r="AE115">
        <f t="shared" si="81"/>
        <v>0</v>
      </c>
      <c r="AF115">
        <f t="shared" si="82"/>
        <v>0</v>
      </c>
      <c r="AG115">
        <v>-0.77</v>
      </c>
      <c r="AO115">
        <f>0.84-1</f>
        <v>-0.16000000000000003</v>
      </c>
    </row>
    <row r="116" spans="1:41" x14ac:dyDescent="0.2">
      <c r="A116" t="s">
        <v>48</v>
      </c>
      <c r="B116" t="s">
        <v>49</v>
      </c>
      <c r="C116" t="s">
        <v>110</v>
      </c>
      <c r="D116" t="s">
        <v>55</v>
      </c>
      <c r="E116">
        <v>1</v>
      </c>
      <c r="F116" s="1" t="s">
        <v>50</v>
      </c>
      <c r="G116" s="1">
        <v>18.5</v>
      </c>
      <c r="H116" s="1">
        <v>0.5</v>
      </c>
      <c r="J116">
        <v>13.8</v>
      </c>
      <c r="K116">
        <f>4 + 273.15</f>
        <v>277.14999999999998</v>
      </c>
      <c r="L116">
        <v>45</v>
      </c>
      <c r="M116" s="6">
        <v>4200</v>
      </c>
    </row>
    <row r="117" spans="1:41" x14ac:dyDescent="0.2">
      <c r="A117" t="s">
        <v>48</v>
      </c>
      <c r="B117" t="s">
        <v>49</v>
      </c>
      <c r="C117" t="s">
        <v>110</v>
      </c>
      <c r="D117" t="s">
        <v>55</v>
      </c>
      <c r="E117">
        <v>1</v>
      </c>
      <c r="F117" s="1" t="s">
        <v>51</v>
      </c>
      <c r="G117" s="1">
        <v>14.8</v>
      </c>
      <c r="H117" s="1">
        <f>0.5*0.8</f>
        <v>0.4</v>
      </c>
      <c r="J117">
        <v>13.91</v>
      </c>
      <c r="K117">
        <v>273.14999999999998</v>
      </c>
      <c r="L117">
        <v>45</v>
      </c>
      <c r="M117" s="6">
        <v>4200</v>
      </c>
      <c r="AA117">
        <f t="shared" ref="AA117:AD120" si="83">(G117-G$116)/G$116</f>
        <v>-0.19999999999999996</v>
      </c>
      <c r="AB117">
        <f t="shared" si="83"/>
        <v>-0.19999999999999996</v>
      </c>
      <c r="AC117" t="e">
        <f t="shared" si="83"/>
        <v>#DIV/0!</v>
      </c>
      <c r="AD117">
        <f t="shared" si="83"/>
        <v>7.9710144927535812E-3</v>
      </c>
      <c r="AE117">
        <f t="shared" ref="AE117:AE120" si="84">(L117-L$116)/L$116</f>
        <v>0</v>
      </c>
      <c r="AF117">
        <f>(M117-M$116)/M$116</f>
        <v>0</v>
      </c>
      <c r="AG117">
        <v>-0.34</v>
      </c>
    </row>
    <row r="118" spans="1:41" x14ac:dyDescent="0.2">
      <c r="A118" t="s">
        <v>48</v>
      </c>
      <c r="B118" t="s">
        <v>49</v>
      </c>
      <c r="C118" t="s">
        <v>110</v>
      </c>
      <c r="D118" t="s">
        <v>55</v>
      </c>
      <c r="E118">
        <v>1</v>
      </c>
      <c r="F118" s="1" t="s">
        <v>52</v>
      </c>
      <c r="G118" s="1">
        <v>11.1</v>
      </c>
      <c r="H118">
        <f>0.5*0.6</f>
        <v>0.3</v>
      </c>
      <c r="J118">
        <v>13.91</v>
      </c>
      <c r="K118">
        <v>273.14999999999998</v>
      </c>
      <c r="L118">
        <v>45</v>
      </c>
      <c r="M118" s="6">
        <v>4200</v>
      </c>
      <c r="AA118">
        <f t="shared" si="83"/>
        <v>-0.4</v>
      </c>
      <c r="AB118">
        <f t="shared" si="83"/>
        <v>-0.4</v>
      </c>
      <c r="AC118" t="e">
        <f t="shared" si="83"/>
        <v>#DIV/0!</v>
      </c>
      <c r="AD118">
        <f t="shared" si="83"/>
        <v>7.9710144927535812E-3</v>
      </c>
      <c r="AE118">
        <f t="shared" si="84"/>
        <v>0</v>
      </c>
      <c r="AF118">
        <f t="shared" ref="AF118:AF120" si="85">(M118-M$116)/M$116</f>
        <v>0</v>
      </c>
      <c r="AG118">
        <v>-0.46</v>
      </c>
    </row>
    <row r="119" spans="1:41" x14ac:dyDescent="0.2">
      <c r="A119" t="s">
        <v>48</v>
      </c>
      <c r="B119" t="s">
        <v>49</v>
      </c>
      <c r="C119" t="s">
        <v>110</v>
      </c>
      <c r="D119" t="s">
        <v>55</v>
      </c>
      <c r="E119">
        <v>1</v>
      </c>
      <c r="F119" s="1" t="s">
        <v>53</v>
      </c>
      <c r="G119" s="1">
        <v>9.25</v>
      </c>
      <c r="H119" s="1">
        <f>0.5*0.5 + 0.5 * 0.5</f>
        <v>0.5</v>
      </c>
      <c r="J119">
        <v>14.52</v>
      </c>
      <c r="K119">
        <v>273.14999999999998</v>
      </c>
      <c r="L119">
        <v>45</v>
      </c>
      <c r="M119" s="6">
        <v>4200</v>
      </c>
      <c r="AA119">
        <f t="shared" si="83"/>
        <v>-0.5</v>
      </c>
      <c r="AB119">
        <f t="shared" si="83"/>
        <v>0</v>
      </c>
      <c r="AC119" t="e">
        <f t="shared" si="83"/>
        <v>#DIV/0!</v>
      </c>
      <c r="AD119">
        <f t="shared" si="83"/>
        <v>5.2173913043478175E-2</v>
      </c>
      <c r="AE119">
        <f t="shared" si="84"/>
        <v>0</v>
      </c>
      <c r="AF119">
        <f t="shared" si="85"/>
        <v>0</v>
      </c>
      <c r="AG119">
        <v>-0.44</v>
      </c>
    </row>
    <row r="120" spans="1:41" x14ac:dyDescent="0.2">
      <c r="A120" t="s">
        <v>48</v>
      </c>
      <c r="B120" t="s">
        <v>49</v>
      </c>
      <c r="C120" t="s">
        <v>110</v>
      </c>
      <c r="D120" t="s">
        <v>55</v>
      </c>
      <c r="E120">
        <v>1</v>
      </c>
      <c r="F120" s="1" t="s">
        <v>54</v>
      </c>
      <c r="G120">
        <v>0.2</v>
      </c>
      <c r="H120" s="1">
        <f>0.5*0.5 + 0.5 * 0.5</f>
        <v>0.5</v>
      </c>
      <c r="J120">
        <v>15.32</v>
      </c>
      <c r="K120">
        <v>273.14999999999998</v>
      </c>
      <c r="L120">
        <v>45</v>
      </c>
      <c r="M120" s="6">
        <v>4200</v>
      </c>
      <c r="AA120">
        <f t="shared" si="83"/>
        <v>-0.98918918918918919</v>
      </c>
      <c r="AB120">
        <f t="shared" si="83"/>
        <v>0</v>
      </c>
      <c r="AC120" t="e">
        <f t="shared" si="83"/>
        <v>#DIV/0!</v>
      </c>
      <c r="AD120">
        <f t="shared" si="83"/>
        <v>0.11014492753623185</v>
      </c>
      <c r="AE120">
        <f t="shared" si="84"/>
        <v>0</v>
      </c>
      <c r="AF120">
        <f t="shared" si="85"/>
        <v>0</v>
      </c>
      <c r="AG120">
        <v>-0.67</v>
      </c>
    </row>
    <row r="121" spans="1:41" x14ac:dyDescent="0.2">
      <c r="A121" t="s">
        <v>48</v>
      </c>
      <c r="B121" t="s">
        <v>49</v>
      </c>
      <c r="C121" t="s">
        <v>110</v>
      </c>
      <c r="D121" t="s">
        <v>55</v>
      </c>
      <c r="E121">
        <v>1</v>
      </c>
      <c r="F121" s="1" t="s">
        <v>50</v>
      </c>
      <c r="G121" s="1">
        <v>18.5</v>
      </c>
      <c r="H121" s="1">
        <v>0.5</v>
      </c>
      <c r="J121">
        <v>13.8</v>
      </c>
      <c r="K121">
        <f>4 + 273.15</f>
        <v>277.14999999999998</v>
      </c>
      <c r="L121">
        <v>65</v>
      </c>
      <c r="M121" s="6">
        <v>6350</v>
      </c>
    </row>
    <row r="122" spans="1:41" x14ac:dyDescent="0.2">
      <c r="A122" t="s">
        <v>48</v>
      </c>
      <c r="B122" t="s">
        <v>49</v>
      </c>
      <c r="C122" t="s">
        <v>110</v>
      </c>
      <c r="D122" t="s">
        <v>55</v>
      </c>
      <c r="E122">
        <v>1</v>
      </c>
      <c r="F122" s="1" t="s">
        <v>51</v>
      </c>
      <c r="G122" s="1">
        <v>14.8</v>
      </c>
      <c r="H122" s="1">
        <f>0.5*0.8</f>
        <v>0.4</v>
      </c>
      <c r="J122">
        <v>13.91</v>
      </c>
      <c r="K122">
        <v>273.14999999999998</v>
      </c>
      <c r="L122">
        <v>65</v>
      </c>
      <c r="M122" s="6">
        <v>6350</v>
      </c>
      <c r="AA122">
        <f t="shared" ref="AA122:AD125" si="86">(G122-G$121)/G$121</f>
        <v>-0.19999999999999996</v>
      </c>
      <c r="AB122">
        <f t="shared" si="86"/>
        <v>-0.19999999999999996</v>
      </c>
      <c r="AC122" t="e">
        <f t="shared" si="86"/>
        <v>#DIV/0!</v>
      </c>
      <c r="AD122">
        <f t="shared" si="86"/>
        <v>7.9710144927535812E-3</v>
      </c>
      <c r="AE122">
        <f t="shared" ref="AE122:AE125" si="87">(L122-L$121)/L$121</f>
        <v>0</v>
      </c>
      <c r="AF122">
        <f>(M122-M$121)/M$121</f>
        <v>0</v>
      </c>
      <c r="AG122">
        <v>-0.2</v>
      </c>
    </row>
    <row r="123" spans="1:41" x14ac:dyDescent="0.2">
      <c r="A123" t="s">
        <v>48</v>
      </c>
      <c r="B123" t="s">
        <v>49</v>
      </c>
      <c r="C123" t="s">
        <v>110</v>
      </c>
      <c r="D123" t="s">
        <v>55</v>
      </c>
      <c r="E123">
        <v>1</v>
      </c>
      <c r="F123" s="1" t="s">
        <v>52</v>
      </c>
      <c r="G123" s="1">
        <v>11.1</v>
      </c>
      <c r="H123">
        <f>0.5*0.6</f>
        <v>0.3</v>
      </c>
      <c r="J123">
        <v>13.91</v>
      </c>
      <c r="K123">
        <v>273.14999999999998</v>
      </c>
      <c r="L123">
        <v>65</v>
      </c>
      <c r="M123" s="6">
        <v>6350</v>
      </c>
      <c r="AA123">
        <f t="shared" si="86"/>
        <v>-0.4</v>
      </c>
      <c r="AB123">
        <f t="shared" si="86"/>
        <v>-0.4</v>
      </c>
      <c r="AC123" t="e">
        <f t="shared" si="86"/>
        <v>#DIV/0!</v>
      </c>
      <c r="AD123">
        <f t="shared" si="86"/>
        <v>7.9710144927535812E-3</v>
      </c>
      <c r="AE123">
        <f t="shared" si="87"/>
        <v>0</v>
      </c>
      <c r="AF123">
        <f t="shared" ref="AF123:AF125" si="88">(M123-M$121)/M$121</f>
        <v>0</v>
      </c>
      <c r="AG123">
        <v>-0.3</v>
      </c>
    </row>
    <row r="124" spans="1:41" x14ac:dyDescent="0.2">
      <c r="A124" t="s">
        <v>48</v>
      </c>
      <c r="B124" t="s">
        <v>49</v>
      </c>
      <c r="C124" t="s">
        <v>110</v>
      </c>
      <c r="D124" t="s">
        <v>55</v>
      </c>
      <c r="E124">
        <v>1</v>
      </c>
      <c r="F124" s="1" t="s">
        <v>53</v>
      </c>
      <c r="G124" s="1">
        <v>9.25</v>
      </c>
      <c r="H124" s="1">
        <f>0.5*0.5 + 0.5 * 0.5</f>
        <v>0.5</v>
      </c>
      <c r="J124">
        <v>14.52</v>
      </c>
      <c r="K124">
        <v>273.14999999999998</v>
      </c>
      <c r="L124">
        <v>65</v>
      </c>
      <c r="M124" s="6">
        <v>6350</v>
      </c>
      <c r="AA124">
        <f t="shared" si="86"/>
        <v>-0.5</v>
      </c>
      <c r="AB124">
        <f t="shared" si="86"/>
        <v>0</v>
      </c>
      <c r="AC124" t="e">
        <f t="shared" si="86"/>
        <v>#DIV/0!</v>
      </c>
      <c r="AD124">
        <f t="shared" si="86"/>
        <v>5.2173913043478175E-2</v>
      </c>
      <c r="AE124">
        <f t="shared" si="87"/>
        <v>0</v>
      </c>
      <c r="AF124">
        <f t="shared" si="88"/>
        <v>0</v>
      </c>
      <c r="AG124">
        <v>-0.3</v>
      </c>
    </row>
    <row r="125" spans="1:41" x14ac:dyDescent="0.2">
      <c r="A125" t="s">
        <v>48</v>
      </c>
      <c r="B125" t="s">
        <v>49</v>
      </c>
      <c r="C125" t="s">
        <v>110</v>
      </c>
      <c r="D125" t="s">
        <v>55</v>
      </c>
      <c r="E125">
        <v>1</v>
      </c>
      <c r="F125" s="1" t="s">
        <v>54</v>
      </c>
      <c r="G125">
        <v>0.2</v>
      </c>
      <c r="H125" s="1">
        <f>0.5*0.5 + 0.5 * 0.5</f>
        <v>0.5</v>
      </c>
      <c r="J125">
        <v>15.32</v>
      </c>
      <c r="K125">
        <v>273.14999999999998</v>
      </c>
      <c r="L125">
        <v>65</v>
      </c>
      <c r="M125" s="6">
        <v>6350</v>
      </c>
      <c r="AA125">
        <f t="shared" si="86"/>
        <v>-0.98918918918918919</v>
      </c>
      <c r="AB125">
        <f t="shared" si="86"/>
        <v>0</v>
      </c>
      <c r="AC125" t="e">
        <f t="shared" si="86"/>
        <v>#DIV/0!</v>
      </c>
      <c r="AD125">
        <f t="shared" si="86"/>
        <v>0.11014492753623185</v>
      </c>
      <c r="AE125">
        <f t="shared" si="87"/>
        <v>0</v>
      </c>
      <c r="AF125">
        <f t="shared" si="88"/>
        <v>0</v>
      </c>
      <c r="AG125">
        <v>-0.49</v>
      </c>
    </row>
    <row r="126" spans="1:41" x14ac:dyDescent="0.2">
      <c r="A126" t="s">
        <v>48</v>
      </c>
      <c r="B126" t="s">
        <v>49</v>
      </c>
      <c r="C126" t="s">
        <v>110</v>
      </c>
      <c r="D126" t="s">
        <v>55</v>
      </c>
      <c r="E126">
        <v>1</v>
      </c>
      <c r="F126" s="1" t="s">
        <v>50</v>
      </c>
      <c r="G126" s="1">
        <v>18.5</v>
      </c>
      <c r="H126" s="1">
        <v>0.5</v>
      </c>
      <c r="J126">
        <v>13.8</v>
      </c>
      <c r="K126">
        <f>4 + 273.15</f>
        <v>277.14999999999998</v>
      </c>
      <c r="L126">
        <v>85</v>
      </c>
      <c r="M126" s="6">
        <v>8260</v>
      </c>
    </row>
    <row r="127" spans="1:41" x14ac:dyDescent="0.2">
      <c r="A127" t="s">
        <v>48</v>
      </c>
      <c r="B127" t="s">
        <v>49</v>
      </c>
      <c r="C127" t="s">
        <v>110</v>
      </c>
      <c r="D127" t="s">
        <v>55</v>
      </c>
      <c r="E127">
        <v>1</v>
      </c>
      <c r="F127" s="1" t="s">
        <v>51</v>
      </c>
      <c r="G127" s="1">
        <v>14.8</v>
      </c>
      <c r="H127" s="1">
        <f>0.5*0.8</f>
        <v>0.4</v>
      </c>
      <c r="J127">
        <v>13.91</v>
      </c>
      <c r="K127">
        <v>273.14999999999998</v>
      </c>
      <c r="L127">
        <v>85</v>
      </c>
      <c r="M127" s="6">
        <v>8260</v>
      </c>
      <c r="AA127">
        <f t="shared" ref="AA127:AD130" si="89">(G127-G$126)/G$126</f>
        <v>-0.19999999999999996</v>
      </c>
      <c r="AB127">
        <f t="shared" si="89"/>
        <v>-0.19999999999999996</v>
      </c>
      <c r="AC127" t="e">
        <f t="shared" si="89"/>
        <v>#DIV/0!</v>
      </c>
      <c r="AD127">
        <f t="shared" si="89"/>
        <v>7.9710144927535812E-3</v>
      </c>
      <c r="AE127">
        <f t="shared" ref="AE127:AE130" si="90">(L127-L$126)/L$126</f>
        <v>0</v>
      </c>
      <c r="AF127">
        <f>(M127-M$126)/M$126</f>
        <v>0</v>
      </c>
      <c r="AG127">
        <v>-0.26</v>
      </c>
      <c r="AO127">
        <f>1.16-1</f>
        <v>0.15999999999999992</v>
      </c>
    </row>
    <row r="128" spans="1:41" x14ac:dyDescent="0.2">
      <c r="A128" t="s">
        <v>48</v>
      </c>
      <c r="B128" t="s">
        <v>49</v>
      </c>
      <c r="C128" t="s">
        <v>110</v>
      </c>
      <c r="D128" t="s">
        <v>55</v>
      </c>
      <c r="E128">
        <v>1</v>
      </c>
      <c r="F128" s="1" t="s">
        <v>52</v>
      </c>
      <c r="G128" s="1">
        <v>11.1</v>
      </c>
      <c r="H128">
        <f>0.5*0.6</f>
        <v>0.3</v>
      </c>
      <c r="J128">
        <v>13.91</v>
      </c>
      <c r="K128">
        <v>273.14999999999998</v>
      </c>
      <c r="L128">
        <v>85</v>
      </c>
      <c r="M128" s="6">
        <v>8260</v>
      </c>
      <c r="AA128">
        <f t="shared" si="89"/>
        <v>-0.4</v>
      </c>
      <c r="AB128">
        <f t="shared" si="89"/>
        <v>-0.4</v>
      </c>
      <c r="AC128" t="e">
        <f t="shared" si="89"/>
        <v>#DIV/0!</v>
      </c>
      <c r="AD128">
        <f t="shared" si="89"/>
        <v>7.9710144927535812E-3</v>
      </c>
      <c r="AE128">
        <f t="shared" si="90"/>
        <v>0</v>
      </c>
      <c r="AF128">
        <f t="shared" ref="AF128:AF130" si="91">(M128-M$126)/M$126</f>
        <v>0</v>
      </c>
      <c r="AG128">
        <v>-0.26</v>
      </c>
      <c r="AO128">
        <f>1.02-1</f>
        <v>2.0000000000000018E-2</v>
      </c>
    </row>
    <row r="129" spans="1:41" x14ac:dyDescent="0.2">
      <c r="A129" t="s">
        <v>48</v>
      </c>
      <c r="B129" t="s">
        <v>49</v>
      </c>
      <c r="C129" t="s">
        <v>110</v>
      </c>
      <c r="D129" t="s">
        <v>55</v>
      </c>
      <c r="E129">
        <v>1</v>
      </c>
      <c r="F129" s="1" t="s">
        <v>53</v>
      </c>
      <c r="G129" s="1">
        <v>9.25</v>
      </c>
      <c r="H129" s="1">
        <f>0.5*0.5 + 0.5 * 0.5</f>
        <v>0.5</v>
      </c>
      <c r="J129">
        <v>14.52</v>
      </c>
      <c r="K129">
        <v>273.14999999999998</v>
      </c>
      <c r="L129">
        <v>85</v>
      </c>
      <c r="M129" s="6">
        <v>8260</v>
      </c>
      <c r="AA129">
        <f t="shared" si="89"/>
        <v>-0.5</v>
      </c>
      <c r="AB129">
        <f t="shared" si="89"/>
        <v>0</v>
      </c>
      <c r="AC129" t="e">
        <f t="shared" si="89"/>
        <v>#DIV/0!</v>
      </c>
      <c r="AD129">
        <f t="shared" si="89"/>
        <v>5.2173913043478175E-2</v>
      </c>
      <c r="AE129">
        <f t="shared" si="90"/>
        <v>0</v>
      </c>
      <c r="AF129">
        <f t="shared" si="91"/>
        <v>0</v>
      </c>
      <c r="AG129">
        <v>-0.28999999999999998</v>
      </c>
      <c r="AO129">
        <f>1.01-1</f>
        <v>1.0000000000000009E-2</v>
      </c>
    </row>
    <row r="130" spans="1:41" x14ac:dyDescent="0.2">
      <c r="A130" t="s">
        <v>48</v>
      </c>
      <c r="B130" t="s">
        <v>49</v>
      </c>
      <c r="C130" t="s">
        <v>110</v>
      </c>
      <c r="D130" t="s">
        <v>55</v>
      </c>
      <c r="E130">
        <v>1</v>
      </c>
      <c r="F130" s="1" t="s">
        <v>54</v>
      </c>
      <c r="G130">
        <v>0.2</v>
      </c>
      <c r="H130" s="1">
        <f>0.5*0.5 + 0.5 * 0.5</f>
        <v>0.5</v>
      </c>
      <c r="J130">
        <v>15.32</v>
      </c>
      <c r="K130">
        <v>273.14999999999998</v>
      </c>
      <c r="L130">
        <v>85</v>
      </c>
      <c r="M130" s="6">
        <v>8260</v>
      </c>
      <c r="AA130">
        <f t="shared" si="89"/>
        <v>-0.98918918918918919</v>
      </c>
      <c r="AB130">
        <f t="shared" si="89"/>
        <v>0</v>
      </c>
      <c r="AC130" t="e">
        <f t="shared" si="89"/>
        <v>#DIV/0!</v>
      </c>
      <c r="AD130">
        <f t="shared" si="89"/>
        <v>0.11014492753623185</v>
      </c>
      <c r="AE130">
        <f t="shared" si="90"/>
        <v>0</v>
      </c>
      <c r="AF130">
        <f t="shared" si="91"/>
        <v>0</v>
      </c>
      <c r="AG130">
        <v>-0.42</v>
      </c>
      <c r="AO130">
        <f>0.95-1</f>
        <v>-5.0000000000000044E-2</v>
      </c>
    </row>
    <row r="131" spans="1:41" x14ac:dyDescent="0.2">
      <c r="A131" t="s">
        <v>48</v>
      </c>
      <c r="B131" t="s">
        <v>49</v>
      </c>
      <c r="C131" t="s">
        <v>110</v>
      </c>
      <c r="D131" t="s">
        <v>55</v>
      </c>
      <c r="E131">
        <v>1</v>
      </c>
      <c r="F131" s="1" t="s">
        <v>50</v>
      </c>
      <c r="G131" s="1">
        <v>18.5</v>
      </c>
      <c r="H131" s="1">
        <v>0.5</v>
      </c>
      <c r="J131">
        <v>13.8</v>
      </c>
      <c r="K131">
        <f>4 + 273.15</f>
        <v>277.14999999999998</v>
      </c>
      <c r="L131" s="6">
        <v>100</v>
      </c>
      <c r="M131" s="6">
        <v>10520</v>
      </c>
    </row>
    <row r="132" spans="1:41" x14ac:dyDescent="0.2">
      <c r="A132" t="s">
        <v>48</v>
      </c>
      <c r="B132" t="s">
        <v>49</v>
      </c>
      <c r="C132" t="s">
        <v>110</v>
      </c>
      <c r="D132" t="s">
        <v>55</v>
      </c>
      <c r="E132">
        <v>1</v>
      </c>
      <c r="F132" s="1" t="s">
        <v>51</v>
      </c>
      <c r="G132" s="1">
        <v>14.8</v>
      </c>
      <c r="H132" s="1">
        <f>0.5*0.8</f>
        <v>0.4</v>
      </c>
      <c r="J132">
        <v>13.91</v>
      </c>
      <c r="K132">
        <v>273.14999999999998</v>
      </c>
      <c r="L132" s="6">
        <v>100</v>
      </c>
      <c r="M132" s="6">
        <v>10520</v>
      </c>
      <c r="AA132">
        <f t="shared" ref="AA132:AD134" si="92">(G132-G$131)/G$131</f>
        <v>-0.19999999999999996</v>
      </c>
      <c r="AB132">
        <f t="shared" si="92"/>
        <v>-0.19999999999999996</v>
      </c>
      <c r="AC132" t="e">
        <f t="shared" si="92"/>
        <v>#DIV/0!</v>
      </c>
      <c r="AD132">
        <f t="shared" si="92"/>
        <v>7.9710144927535812E-3</v>
      </c>
      <c r="AE132">
        <f t="shared" ref="AE132:AE134" si="93">(L132-L$131)/L$131</f>
        <v>0</v>
      </c>
      <c r="AF132">
        <f>(M132-M$131)/M$131</f>
        <v>0</v>
      </c>
      <c r="AG132">
        <v>-0.22</v>
      </c>
      <c r="AO132">
        <f>1.05-1</f>
        <v>5.0000000000000044E-2</v>
      </c>
    </row>
    <row r="133" spans="1:41" x14ac:dyDescent="0.2">
      <c r="A133" t="s">
        <v>48</v>
      </c>
      <c r="B133" t="s">
        <v>49</v>
      </c>
      <c r="C133" t="s">
        <v>110</v>
      </c>
      <c r="D133" t="s">
        <v>55</v>
      </c>
      <c r="E133">
        <v>1</v>
      </c>
      <c r="F133" s="1" t="s">
        <v>53</v>
      </c>
      <c r="G133" s="1">
        <v>9.25</v>
      </c>
      <c r="H133">
        <f>0.5*0.6</f>
        <v>0.3</v>
      </c>
      <c r="J133">
        <v>14.52</v>
      </c>
      <c r="K133">
        <v>273.14999999999998</v>
      </c>
      <c r="L133" s="6">
        <v>100</v>
      </c>
      <c r="M133" s="6">
        <v>10520</v>
      </c>
      <c r="AA133">
        <f t="shared" si="92"/>
        <v>-0.5</v>
      </c>
      <c r="AB133">
        <f t="shared" si="92"/>
        <v>-0.4</v>
      </c>
      <c r="AC133" t="e">
        <f t="shared" si="92"/>
        <v>#DIV/0!</v>
      </c>
      <c r="AD133">
        <f t="shared" si="92"/>
        <v>5.2173913043478175E-2</v>
      </c>
      <c r="AE133">
        <f t="shared" si="93"/>
        <v>0</v>
      </c>
      <c r="AF133">
        <f t="shared" ref="AF133:AF134" si="94">(M133-M$131)/M$131</f>
        <v>0</v>
      </c>
      <c r="AG133">
        <v>-0.22</v>
      </c>
      <c r="AO133">
        <f>0.92-1</f>
        <v>-7.999999999999996E-2</v>
      </c>
    </row>
    <row r="134" spans="1:41" x14ac:dyDescent="0.2">
      <c r="A134" t="s">
        <v>48</v>
      </c>
      <c r="B134" t="s">
        <v>49</v>
      </c>
      <c r="C134" t="s">
        <v>110</v>
      </c>
      <c r="D134" t="s">
        <v>55</v>
      </c>
      <c r="E134">
        <v>1</v>
      </c>
      <c r="F134" s="1" t="s">
        <v>54</v>
      </c>
      <c r="G134">
        <v>0.2</v>
      </c>
      <c r="H134" s="1">
        <f>0.5</f>
        <v>0.5</v>
      </c>
      <c r="J134">
        <v>15.32</v>
      </c>
      <c r="K134">
        <v>273.14999999999998</v>
      </c>
      <c r="L134" s="6">
        <v>100</v>
      </c>
      <c r="M134" s="6">
        <v>10520</v>
      </c>
      <c r="AA134">
        <f t="shared" si="92"/>
        <v>-0.98918918918918919</v>
      </c>
      <c r="AB134">
        <f t="shared" si="92"/>
        <v>0</v>
      </c>
      <c r="AC134" t="e">
        <f t="shared" si="92"/>
        <v>#DIV/0!</v>
      </c>
      <c r="AD134">
        <f t="shared" si="92"/>
        <v>0.11014492753623185</v>
      </c>
      <c r="AE134">
        <f t="shared" si="93"/>
        <v>0</v>
      </c>
      <c r="AF134">
        <f t="shared" si="94"/>
        <v>0</v>
      </c>
      <c r="AG134">
        <v>-0.38</v>
      </c>
      <c r="AO134">
        <f>0.93-1</f>
        <v>-6.9999999999999951E-2</v>
      </c>
    </row>
    <row r="135" spans="1:41" x14ac:dyDescent="0.2">
      <c r="A135" t="s">
        <v>57</v>
      </c>
      <c r="C135" t="s">
        <v>110</v>
      </c>
      <c r="D135" t="s">
        <v>58</v>
      </c>
      <c r="E135">
        <v>1</v>
      </c>
      <c r="F135" s="1" t="s">
        <v>8</v>
      </c>
      <c r="G135">
        <v>19</v>
      </c>
      <c r="H135" s="1">
        <f>1.4</f>
        <v>1.4</v>
      </c>
      <c r="I135">
        <v>1230</v>
      </c>
      <c r="J135">
        <v>14</v>
      </c>
      <c r="K135">
        <f>20.95+273.15</f>
        <v>294.09999999999997</v>
      </c>
      <c r="L135">
        <v>7</v>
      </c>
      <c r="AO135">
        <f>0.88-1</f>
        <v>-0.12</v>
      </c>
    </row>
    <row r="136" spans="1:41" x14ac:dyDescent="0.2">
      <c r="A136" t="s">
        <v>57</v>
      </c>
      <c r="C136" t="s">
        <v>110</v>
      </c>
      <c r="D136" t="s">
        <v>58</v>
      </c>
      <c r="E136">
        <v>1</v>
      </c>
      <c r="F136" s="1" t="s">
        <v>59</v>
      </c>
      <c r="G136" s="1">
        <v>9.5</v>
      </c>
      <c r="H136">
        <v>0.7</v>
      </c>
      <c r="I136">
        <v>650</v>
      </c>
      <c r="J136">
        <v>14.8</v>
      </c>
      <c r="K136">
        <f t="shared" ref="K136:K145" si="95">20.95+273.15</f>
        <v>294.09999999999997</v>
      </c>
      <c r="L136">
        <v>7</v>
      </c>
      <c r="AA136">
        <f t="shared" ref="AA136:AD137" si="96">(G136-G$135)/G$135</f>
        <v>-0.5</v>
      </c>
      <c r="AB136">
        <f t="shared" si="96"/>
        <v>-0.5</v>
      </c>
      <c r="AC136">
        <f t="shared" si="96"/>
        <v>-0.47154471544715448</v>
      </c>
      <c r="AD136">
        <f t="shared" si="96"/>
        <v>5.7142857142857197E-2</v>
      </c>
      <c r="AE136">
        <f>(L136-L$135)/L$135</f>
        <v>0</v>
      </c>
      <c r="AF136" t="e">
        <f t="shared" ref="AE136:AF137" si="97">(M136-M$135)/M$135</f>
        <v>#DIV/0!</v>
      </c>
      <c r="AG136">
        <f>0.59-1</f>
        <v>-0.41000000000000003</v>
      </c>
      <c r="AJ136">
        <f>0.78-1</f>
        <v>-0.21999999999999997</v>
      </c>
    </row>
    <row r="137" spans="1:41" x14ac:dyDescent="0.2">
      <c r="A137" t="s">
        <v>57</v>
      </c>
      <c r="C137" t="s">
        <v>110</v>
      </c>
      <c r="D137" t="s">
        <v>58</v>
      </c>
      <c r="E137">
        <v>1</v>
      </c>
      <c r="F137" s="1" t="s">
        <v>54</v>
      </c>
      <c r="G137" s="1">
        <v>0.2</v>
      </c>
      <c r="H137">
        <v>0</v>
      </c>
      <c r="I137">
        <f>AVERAGE(J137:J137)</f>
        <v>15.6</v>
      </c>
      <c r="J137">
        <v>15.6</v>
      </c>
      <c r="K137">
        <f t="shared" si="95"/>
        <v>294.09999999999997</v>
      </c>
      <c r="L137">
        <v>7</v>
      </c>
      <c r="AA137">
        <f t="shared" si="96"/>
        <v>-0.98947368421052639</v>
      </c>
      <c r="AB137">
        <f t="shared" si="96"/>
        <v>-1</v>
      </c>
      <c r="AC137">
        <f t="shared" si="96"/>
        <v>-0.98731707317073181</v>
      </c>
      <c r="AD137">
        <f t="shared" si="96"/>
        <v>0.11428571428571425</v>
      </c>
      <c r="AE137">
        <f t="shared" si="97"/>
        <v>0</v>
      </c>
      <c r="AF137" t="e">
        <f t="shared" si="97"/>
        <v>#DIV/0!</v>
      </c>
      <c r="AG137">
        <f>0.09-1</f>
        <v>-0.91</v>
      </c>
      <c r="AJ137">
        <f>0.02-1</f>
        <v>-0.98</v>
      </c>
    </row>
    <row r="138" spans="1:41" x14ac:dyDescent="0.2">
      <c r="A138" t="s">
        <v>57</v>
      </c>
      <c r="C138" t="s">
        <v>110</v>
      </c>
      <c r="D138" t="s">
        <v>58</v>
      </c>
      <c r="E138">
        <v>1</v>
      </c>
      <c r="F138" s="1" t="s">
        <v>8</v>
      </c>
      <c r="G138">
        <v>19</v>
      </c>
      <c r="H138" s="1">
        <f>1.4</f>
        <v>1.4</v>
      </c>
      <c r="I138">
        <v>1230</v>
      </c>
      <c r="J138">
        <v>14</v>
      </c>
      <c r="K138">
        <f t="shared" si="95"/>
        <v>294.09999999999997</v>
      </c>
      <c r="L138">
        <v>30</v>
      </c>
    </row>
    <row r="139" spans="1:41" x14ac:dyDescent="0.2">
      <c r="A139" t="s">
        <v>57</v>
      </c>
      <c r="C139" t="s">
        <v>110</v>
      </c>
      <c r="D139" t="s">
        <v>58</v>
      </c>
      <c r="E139">
        <v>1</v>
      </c>
      <c r="F139" s="1" t="s">
        <v>59</v>
      </c>
      <c r="G139" s="1">
        <v>9.5</v>
      </c>
      <c r="H139">
        <v>0.7</v>
      </c>
      <c r="I139">
        <v>650</v>
      </c>
      <c r="J139">
        <v>14.8</v>
      </c>
      <c r="K139">
        <f t="shared" si="95"/>
        <v>294.09999999999997</v>
      </c>
      <c r="L139">
        <v>30</v>
      </c>
      <c r="AA139">
        <f t="shared" ref="AA139:AD140" si="98">(G139-G$138)/G$138</f>
        <v>-0.5</v>
      </c>
      <c r="AB139">
        <f t="shared" si="98"/>
        <v>-0.5</v>
      </c>
      <c r="AC139">
        <f t="shared" si="98"/>
        <v>-0.47154471544715448</v>
      </c>
      <c r="AD139">
        <f t="shared" si="98"/>
        <v>5.7142857142857197E-2</v>
      </c>
      <c r="AE139">
        <f t="shared" ref="AE139:AF140" si="99">(L139-L$138)/L$138</f>
        <v>0</v>
      </c>
      <c r="AF139" t="e">
        <f t="shared" si="99"/>
        <v>#DIV/0!</v>
      </c>
      <c r="AG139">
        <f>0.57-1</f>
        <v>-0.43000000000000005</v>
      </c>
      <c r="AJ139">
        <f>0.51-1</f>
        <v>-0.49</v>
      </c>
    </row>
    <row r="140" spans="1:41" x14ac:dyDescent="0.2">
      <c r="A140" t="s">
        <v>57</v>
      </c>
      <c r="C140" t="s">
        <v>110</v>
      </c>
      <c r="D140" t="s">
        <v>58</v>
      </c>
      <c r="E140">
        <v>1</v>
      </c>
      <c r="F140" s="1" t="s">
        <v>54</v>
      </c>
      <c r="G140" s="1">
        <v>0.2</v>
      </c>
      <c r="H140">
        <v>0</v>
      </c>
      <c r="I140">
        <f>AVERAGE(J140:J140)</f>
        <v>15.6</v>
      </c>
      <c r="J140">
        <v>15.6</v>
      </c>
      <c r="K140">
        <f t="shared" si="95"/>
        <v>294.09999999999997</v>
      </c>
      <c r="L140">
        <v>30</v>
      </c>
      <c r="AA140">
        <f t="shared" si="98"/>
        <v>-0.98947368421052639</v>
      </c>
      <c r="AB140">
        <f t="shared" si="98"/>
        <v>-1</v>
      </c>
      <c r="AC140">
        <f t="shared" si="98"/>
        <v>-0.98731707317073181</v>
      </c>
      <c r="AD140">
        <f t="shared" si="98"/>
        <v>0.11428571428571425</v>
      </c>
      <c r="AE140">
        <f t="shared" si="99"/>
        <v>0</v>
      </c>
      <c r="AF140" t="e">
        <f t="shared" si="99"/>
        <v>#DIV/0!</v>
      </c>
      <c r="AG140">
        <f>0.23-1</f>
        <v>-0.77</v>
      </c>
      <c r="AJ140">
        <f>0.11-1</f>
        <v>-0.89</v>
      </c>
    </row>
    <row r="141" spans="1:41" x14ac:dyDescent="0.2">
      <c r="A141" t="s">
        <v>57</v>
      </c>
      <c r="C141" t="s">
        <v>110</v>
      </c>
      <c r="D141" t="s">
        <v>58</v>
      </c>
      <c r="E141">
        <v>1</v>
      </c>
      <c r="F141" s="1" t="s">
        <v>8</v>
      </c>
      <c r="G141">
        <v>19</v>
      </c>
      <c r="H141" s="1">
        <f>1.4</f>
        <v>1.4</v>
      </c>
      <c r="I141">
        <v>1230</v>
      </c>
      <c r="J141">
        <v>14</v>
      </c>
      <c r="K141">
        <f t="shared" si="95"/>
        <v>294.09999999999997</v>
      </c>
      <c r="L141">
        <v>65</v>
      </c>
    </row>
    <row r="142" spans="1:41" x14ac:dyDescent="0.2">
      <c r="A142" t="s">
        <v>57</v>
      </c>
      <c r="C142" t="s">
        <v>110</v>
      </c>
      <c r="D142" t="s">
        <v>58</v>
      </c>
      <c r="E142">
        <v>1</v>
      </c>
      <c r="F142" s="1" t="s">
        <v>59</v>
      </c>
      <c r="G142" s="1">
        <v>9.5</v>
      </c>
      <c r="H142">
        <v>0.7</v>
      </c>
      <c r="I142">
        <v>650</v>
      </c>
      <c r="J142">
        <v>14.8</v>
      </c>
      <c r="K142">
        <f t="shared" si="95"/>
        <v>294.09999999999997</v>
      </c>
      <c r="L142">
        <v>65</v>
      </c>
      <c r="AA142">
        <f t="shared" ref="AA142:AD143" si="100">(G142-G$141)/G$141</f>
        <v>-0.5</v>
      </c>
      <c r="AB142">
        <f t="shared" si="100"/>
        <v>-0.5</v>
      </c>
      <c r="AC142">
        <f t="shared" si="100"/>
        <v>-0.47154471544715448</v>
      </c>
      <c r="AD142">
        <f t="shared" si="100"/>
        <v>5.7142857142857197E-2</v>
      </c>
      <c r="AE142">
        <f t="shared" ref="AE142:AF143" si="101">(L142-L$141)/L$141</f>
        <v>0</v>
      </c>
      <c r="AF142" t="e">
        <f t="shared" si="101"/>
        <v>#DIV/0!</v>
      </c>
      <c r="AG142">
        <f>0.8-1</f>
        <v>-0.19999999999999996</v>
      </c>
      <c r="AJ142">
        <f>0.9-1</f>
        <v>-9.9999999999999978E-2</v>
      </c>
    </row>
    <row r="143" spans="1:41" x14ac:dyDescent="0.2">
      <c r="A143" t="s">
        <v>57</v>
      </c>
      <c r="C143" t="s">
        <v>110</v>
      </c>
      <c r="D143" t="s">
        <v>58</v>
      </c>
      <c r="E143">
        <v>1</v>
      </c>
      <c r="F143" s="1" t="s">
        <v>54</v>
      </c>
      <c r="G143" s="1">
        <v>0.2</v>
      </c>
      <c r="H143">
        <v>0</v>
      </c>
      <c r="I143">
        <f>AVERAGE(J143:J143)</f>
        <v>15.6</v>
      </c>
      <c r="J143">
        <v>15.6</v>
      </c>
      <c r="K143">
        <f t="shared" si="95"/>
        <v>294.09999999999997</v>
      </c>
      <c r="L143">
        <v>65</v>
      </c>
      <c r="AA143">
        <f t="shared" si="100"/>
        <v>-0.98947368421052639</v>
      </c>
      <c r="AB143">
        <f t="shared" si="100"/>
        <v>-1</v>
      </c>
      <c r="AC143">
        <f t="shared" si="100"/>
        <v>-0.98731707317073181</v>
      </c>
      <c r="AD143">
        <f t="shared" si="100"/>
        <v>0.11428571428571425</v>
      </c>
      <c r="AE143">
        <f t="shared" si="101"/>
        <v>0</v>
      </c>
      <c r="AF143" t="e">
        <f t="shared" si="101"/>
        <v>#DIV/0!</v>
      </c>
      <c r="AG143">
        <f>0.53-1</f>
        <v>-0.47</v>
      </c>
      <c r="AJ143">
        <f>0.42-1</f>
        <v>-0.58000000000000007</v>
      </c>
    </row>
    <row r="144" spans="1:41" x14ac:dyDescent="0.2">
      <c r="A144" t="s">
        <v>57</v>
      </c>
      <c r="C144" t="s">
        <v>110</v>
      </c>
      <c r="D144" t="s">
        <v>58</v>
      </c>
      <c r="E144">
        <v>1</v>
      </c>
      <c r="F144" s="1" t="s">
        <v>8</v>
      </c>
      <c r="G144">
        <v>19</v>
      </c>
      <c r="H144" s="1">
        <f>1.4</f>
        <v>1.4</v>
      </c>
      <c r="I144">
        <v>1230</v>
      </c>
      <c r="J144">
        <v>14</v>
      </c>
      <c r="K144">
        <f t="shared" si="95"/>
        <v>294.09999999999997</v>
      </c>
      <c r="L144">
        <v>85</v>
      </c>
      <c r="U144">
        <v>3.5</v>
      </c>
    </row>
    <row r="145" spans="1:40" x14ac:dyDescent="0.2">
      <c r="A145" t="s">
        <v>57</v>
      </c>
      <c r="C145" t="s">
        <v>110</v>
      </c>
      <c r="D145" t="s">
        <v>58</v>
      </c>
      <c r="E145">
        <v>1</v>
      </c>
      <c r="F145" s="1" t="s">
        <v>59</v>
      </c>
      <c r="G145" s="1">
        <v>9.5</v>
      </c>
      <c r="H145">
        <v>0.7</v>
      </c>
      <c r="I145">
        <v>650</v>
      </c>
      <c r="J145">
        <v>14.8</v>
      </c>
      <c r="K145">
        <f t="shared" si="95"/>
        <v>294.09999999999997</v>
      </c>
      <c r="L145">
        <v>85</v>
      </c>
      <c r="U145">
        <v>1.5</v>
      </c>
      <c r="AA145">
        <f t="shared" ref="AA145:AD146" si="102">(G145-G$144)/G$144</f>
        <v>-0.5</v>
      </c>
      <c r="AB145">
        <f t="shared" si="102"/>
        <v>-0.5</v>
      </c>
      <c r="AC145">
        <f t="shared" si="102"/>
        <v>-0.47154471544715448</v>
      </c>
      <c r="AD145">
        <f t="shared" si="102"/>
        <v>5.7142857142857197E-2</v>
      </c>
      <c r="AE145">
        <f t="shared" ref="AE145:AF146" si="103">(L145-L$144)/L$144</f>
        <v>0</v>
      </c>
      <c r="AF145" t="e">
        <f t="shared" si="103"/>
        <v>#DIV/0!</v>
      </c>
      <c r="AG145">
        <f>1.03-1</f>
        <v>3.0000000000000027E-2</v>
      </c>
      <c r="AJ145">
        <f>1.01-1</f>
        <v>1.0000000000000009E-2</v>
      </c>
      <c r="AN145">
        <f>(U145-U144)/U144</f>
        <v>-0.5714285714285714</v>
      </c>
    </row>
    <row r="146" spans="1:40" x14ac:dyDescent="0.2">
      <c r="A146" t="s">
        <v>57</v>
      </c>
      <c r="C146" t="s">
        <v>110</v>
      </c>
      <c r="D146" t="s">
        <v>58</v>
      </c>
      <c r="E146">
        <v>1</v>
      </c>
      <c r="F146" s="1" t="s">
        <v>54</v>
      </c>
      <c r="G146" s="1">
        <v>0.2</v>
      </c>
      <c r="H146">
        <v>0</v>
      </c>
      <c r="I146">
        <f>AVERAGE(J146:J146)</f>
        <v>15.6</v>
      </c>
      <c r="J146">
        <v>15.6</v>
      </c>
      <c r="K146">
        <f>20.95+273.15</f>
        <v>294.09999999999997</v>
      </c>
      <c r="L146">
        <v>85</v>
      </c>
      <c r="U146">
        <v>0</v>
      </c>
      <c r="AA146">
        <f t="shared" si="102"/>
        <v>-0.98947368421052639</v>
      </c>
      <c r="AB146">
        <f t="shared" si="102"/>
        <v>-1</v>
      </c>
      <c r="AC146">
        <f t="shared" si="102"/>
        <v>-0.98731707317073181</v>
      </c>
      <c r="AD146">
        <f t="shared" si="102"/>
        <v>0.11428571428571425</v>
      </c>
      <c r="AE146">
        <f t="shared" si="103"/>
        <v>0</v>
      </c>
      <c r="AF146" t="e">
        <f t="shared" si="103"/>
        <v>#DIV/0!</v>
      </c>
      <c r="AG146">
        <f>0.66-1</f>
        <v>-0.33999999999999997</v>
      </c>
      <c r="AJ146">
        <f>0.67-1</f>
        <v>-0.32999999999999996</v>
      </c>
      <c r="AN146">
        <f>(U146-U144)/U144</f>
        <v>-1</v>
      </c>
    </row>
    <row r="147" spans="1:40" x14ac:dyDescent="0.2">
      <c r="A147" t="s">
        <v>60</v>
      </c>
      <c r="C147" t="s">
        <v>110</v>
      </c>
      <c r="D147" t="s">
        <v>61</v>
      </c>
      <c r="E147">
        <v>1</v>
      </c>
      <c r="F147" s="1" t="s">
        <v>8</v>
      </c>
      <c r="G147" s="1">
        <v>19.100000000000001</v>
      </c>
      <c r="H147">
        <v>1.5</v>
      </c>
      <c r="I147">
        <v>800</v>
      </c>
      <c r="J147">
        <v>13.9</v>
      </c>
      <c r="K147">
        <f>37.1+273.15</f>
        <v>310.25</v>
      </c>
      <c r="L147">
        <v>4</v>
      </c>
    </row>
    <row r="148" spans="1:40" x14ac:dyDescent="0.2">
      <c r="A148" t="s">
        <v>60</v>
      </c>
      <c r="C148" t="s">
        <v>110</v>
      </c>
      <c r="D148" t="s">
        <v>61</v>
      </c>
      <c r="E148">
        <v>1</v>
      </c>
      <c r="F148" s="1" t="s">
        <v>62</v>
      </c>
      <c r="G148" s="1">
        <v>9.5</v>
      </c>
      <c r="H148">
        <v>0.7</v>
      </c>
      <c r="I148">
        <v>500</v>
      </c>
      <c r="J148">
        <v>14.4</v>
      </c>
      <c r="K148">
        <f t="shared" ref="K148:K158" si="104">37.1+273.15</f>
        <v>310.25</v>
      </c>
      <c r="L148">
        <v>4</v>
      </c>
      <c r="AA148">
        <f t="shared" ref="AA148:AD149" si="105">(G148-G$147)/G$147</f>
        <v>-0.5026178010471205</v>
      </c>
      <c r="AB148">
        <f t="shared" si="105"/>
        <v>-0.53333333333333333</v>
      </c>
      <c r="AC148">
        <f t="shared" si="105"/>
        <v>-0.375</v>
      </c>
      <c r="AD148">
        <f t="shared" si="105"/>
        <v>3.5971223021582732E-2</v>
      </c>
      <c r="AE148">
        <f t="shared" ref="AE148:AF149" si="106">(L148-L$147)/L$147</f>
        <v>0</v>
      </c>
      <c r="AF148" t="e">
        <f t="shared" si="106"/>
        <v>#DIV/0!</v>
      </c>
      <c r="AG148">
        <f>0.36-1</f>
        <v>-0.64</v>
      </c>
    </row>
    <row r="149" spans="1:40" x14ac:dyDescent="0.2">
      <c r="A149" t="s">
        <v>60</v>
      </c>
      <c r="C149" t="s">
        <v>110</v>
      </c>
      <c r="D149" t="s">
        <v>61</v>
      </c>
      <c r="E149">
        <v>1</v>
      </c>
      <c r="F149" s="1" t="s">
        <v>63</v>
      </c>
      <c r="G149" s="1">
        <v>10.6</v>
      </c>
      <c r="H149">
        <v>0.75</v>
      </c>
      <c r="I149">
        <v>500</v>
      </c>
      <c r="J149">
        <v>14.4</v>
      </c>
      <c r="K149">
        <f t="shared" si="104"/>
        <v>310.25</v>
      </c>
      <c r="L149">
        <v>4</v>
      </c>
      <c r="AA149">
        <f t="shared" si="105"/>
        <v>-0.44502617801047128</v>
      </c>
      <c r="AB149">
        <f t="shared" si="105"/>
        <v>-0.5</v>
      </c>
      <c r="AC149">
        <f t="shared" si="105"/>
        <v>-0.375</v>
      </c>
      <c r="AD149">
        <f t="shared" si="105"/>
        <v>3.5971223021582732E-2</v>
      </c>
      <c r="AE149">
        <f t="shared" si="106"/>
        <v>0</v>
      </c>
      <c r="AF149" t="e">
        <f t="shared" si="106"/>
        <v>#DIV/0!</v>
      </c>
      <c r="AG149">
        <f>0.27-1</f>
        <v>-0.73</v>
      </c>
    </row>
    <row r="150" spans="1:40" x14ac:dyDescent="0.2">
      <c r="A150" t="s">
        <v>60</v>
      </c>
      <c r="C150" t="s">
        <v>110</v>
      </c>
      <c r="D150" t="s">
        <v>61</v>
      </c>
      <c r="E150">
        <v>1</v>
      </c>
      <c r="F150" s="1" t="s">
        <v>8</v>
      </c>
      <c r="G150" s="1">
        <v>19.100000000000001</v>
      </c>
      <c r="H150">
        <v>1.5</v>
      </c>
      <c r="I150">
        <v>800</v>
      </c>
      <c r="J150">
        <v>13.9</v>
      </c>
      <c r="K150">
        <f t="shared" si="104"/>
        <v>310.25</v>
      </c>
      <c r="L150">
        <v>33</v>
      </c>
    </row>
    <row r="151" spans="1:40" x14ac:dyDescent="0.2">
      <c r="A151" t="s">
        <v>60</v>
      </c>
      <c r="C151" t="s">
        <v>110</v>
      </c>
      <c r="D151" t="s">
        <v>61</v>
      </c>
      <c r="E151">
        <v>1</v>
      </c>
      <c r="F151" s="1" t="s">
        <v>62</v>
      </c>
      <c r="G151" s="1">
        <v>9.5</v>
      </c>
      <c r="H151">
        <v>0.7</v>
      </c>
      <c r="I151">
        <v>500</v>
      </c>
      <c r="J151">
        <v>14.4</v>
      </c>
      <c r="K151">
        <f t="shared" si="104"/>
        <v>310.25</v>
      </c>
      <c r="L151">
        <v>33</v>
      </c>
      <c r="AA151">
        <f t="shared" ref="AA151:AD152" si="107">(G151-G$150)/G$150</f>
        <v>-0.5026178010471205</v>
      </c>
      <c r="AB151">
        <f t="shared" si="107"/>
        <v>-0.53333333333333333</v>
      </c>
      <c r="AC151">
        <f t="shared" si="107"/>
        <v>-0.375</v>
      </c>
      <c r="AD151">
        <f t="shared" si="107"/>
        <v>3.5971223021582732E-2</v>
      </c>
      <c r="AE151">
        <f t="shared" ref="AE151:AF152" si="108">(L151-L$150)/L$150</f>
        <v>0</v>
      </c>
      <c r="AF151" t="e">
        <f>(M151-M$150)/M$150</f>
        <v>#DIV/0!</v>
      </c>
      <c r="AG151">
        <f>0.7-1</f>
        <v>-0.30000000000000004</v>
      </c>
    </row>
    <row r="152" spans="1:40" x14ac:dyDescent="0.2">
      <c r="A152" t="s">
        <v>60</v>
      </c>
      <c r="C152" t="s">
        <v>110</v>
      </c>
      <c r="D152" t="s">
        <v>61</v>
      </c>
      <c r="E152">
        <v>1</v>
      </c>
      <c r="F152" s="1" t="s">
        <v>63</v>
      </c>
      <c r="G152" s="1">
        <v>10.6</v>
      </c>
      <c r="H152">
        <v>0.75</v>
      </c>
      <c r="I152">
        <v>500</v>
      </c>
      <c r="J152">
        <v>14.4</v>
      </c>
      <c r="K152">
        <f t="shared" si="104"/>
        <v>310.25</v>
      </c>
      <c r="L152">
        <v>33</v>
      </c>
      <c r="AA152">
        <f t="shared" si="107"/>
        <v>-0.44502617801047128</v>
      </c>
      <c r="AB152">
        <f t="shared" si="107"/>
        <v>-0.5</v>
      </c>
      <c r="AC152">
        <f t="shared" si="107"/>
        <v>-0.375</v>
      </c>
      <c r="AD152">
        <f t="shared" si="107"/>
        <v>3.5971223021582732E-2</v>
      </c>
      <c r="AE152">
        <f t="shared" si="108"/>
        <v>0</v>
      </c>
      <c r="AF152" t="e">
        <f t="shared" si="108"/>
        <v>#DIV/0!</v>
      </c>
      <c r="AG152">
        <f>0.45-1</f>
        <v>-0.55000000000000004</v>
      </c>
    </row>
    <row r="153" spans="1:40" x14ac:dyDescent="0.2">
      <c r="A153" t="s">
        <v>60</v>
      </c>
      <c r="C153" t="s">
        <v>110</v>
      </c>
      <c r="D153" t="s">
        <v>61</v>
      </c>
      <c r="E153">
        <v>1</v>
      </c>
      <c r="F153" s="1" t="s">
        <v>8</v>
      </c>
      <c r="G153" s="1">
        <v>19.100000000000001</v>
      </c>
      <c r="H153">
        <v>1.5</v>
      </c>
      <c r="I153">
        <v>800</v>
      </c>
      <c r="J153">
        <v>13.9</v>
      </c>
      <c r="K153">
        <f t="shared" si="104"/>
        <v>310.25</v>
      </c>
      <c r="L153">
        <v>54</v>
      </c>
    </row>
    <row r="154" spans="1:40" x14ac:dyDescent="0.2">
      <c r="A154" t="s">
        <v>60</v>
      </c>
      <c r="C154" t="s">
        <v>110</v>
      </c>
      <c r="D154" t="s">
        <v>61</v>
      </c>
      <c r="E154">
        <v>1</v>
      </c>
      <c r="F154" s="1" t="s">
        <v>62</v>
      </c>
      <c r="G154" s="1">
        <v>9.5</v>
      </c>
      <c r="H154">
        <v>0.7</v>
      </c>
      <c r="I154">
        <v>500</v>
      </c>
      <c r="J154">
        <v>14.4</v>
      </c>
      <c r="K154">
        <f t="shared" si="104"/>
        <v>310.25</v>
      </c>
      <c r="L154">
        <v>54</v>
      </c>
      <c r="AA154">
        <f t="shared" ref="AA154:AD155" si="109">(G154-G$153)/G$153</f>
        <v>-0.5026178010471205</v>
      </c>
      <c r="AB154">
        <f t="shared" si="109"/>
        <v>-0.53333333333333333</v>
      </c>
      <c r="AC154">
        <f t="shared" si="109"/>
        <v>-0.375</v>
      </c>
      <c r="AD154">
        <f t="shared" si="109"/>
        <v>3.5971223021582732E-2</v>
      </c>
      <c r="AE154">
        <f t="shared" ref="AE154:AF154" si="110">(L154-L$153)/L$153</f>
        <v>0</v>
      </c>
      <c r="AF154" t="e">
        <f t="shared" si="110"/>
        <v>#DIV/0!</v>
      </c>
      <c r="AG154">
        <f>0.96-1</f>
        <v>-4.0000000000000036E-2</v>
      </c>
    </row>
    <row r="155" spans="1:40" x14ac:dyDescent="0.2">
      <c r="A155" t="s">
        <v>60</v>
      </c>
      <c r="C155" t="s">
        <v>110</v>
      </c>
      <c r="D155" t="s">
        <v>61</v>
      </c>
      <c r="E155">
        <v>1</v>
      </c>
      <c r="F155" s="1" t="s">
        <v>63</v>
      </c>
      <c r="G155" s="1">
        <v>10.6</v>
      </c>
      <c r="H155">
        <v>0.75</v>
      </c>
      <c r="I155">
        <v>500</v>
      </c>
      <c r="J155">
        <v>14.4</v>
      </c>
      <c r="K155">
        <f t="shared" si="104"/>
        <v>310.25</v>
      </c>
      <c r="L155">
        <v>54</v>
      </c>
      <c r="AA155">
        <f t="shared" si="109"/>
        <v>-0.44502617801047128</v>
      </c>
      <c r="AB155">
        <f t="shared" si="109"/>
        <v>-0.5</v>
      </c>
      <c r="AC155">
        <f t="shared" si="109"/>
        <v>-0.375</v>
      </c>
      <c r="AD155">
        <f t="shared" si="109"/>
        <v>3.5971223021582732E-2</v>
      </c>
      <c r="AE155">
        <f t="shared" ref="AE155" si="111">(L155-L$153)/L$153</f>
        <v>0</v>
      </c>
      <c r="AF155" t="e">
        <f t="shared" ref="AF155" si="112">(M155-M$153)/M$153</f>
        <v>#DIV/0!</v>
      </c>
      <c r="AG155">
        <f>0.53-1</f>
        <v>-0.47</v>
      </c>
    </row>
    <row r="156" spans="1:40" x14ac:dyDescent="0.2">
      <c r="A156" t="s">
        <v>60</v>
      </c>
      <c r="C156" t="s">
        <v>110</v>
      </c>
      <c r="D156" t="s">
        <v>61</v>
      </c>
      <c r="E156">
        <v>1</v>
      </c>
      <c r="F156" s="1" t="s">
        <v>8</v>
      </c>
      <c r="G156" s="1">
        <v>19.100000000000001</v>
      </c>
      <c r="H156">
        <v>1.5</v>
      </c>
      <c r="I156">
        <v>800</v>
      </c>
      <c r="J156">
        <v>13.9</v>
      </c>
      <c r="K156">
        <f t="shared" si="104"/>
        <v>310.25</v>
      </c>
      <c r="L156">
        <v>63</v>
      </c>
    </row>
    <row r="157" spans="1:40" x14ac:dyDescent="0.2">
      <c r="A157" t="s">
        <v>60</v>
      </c>
      <c r="C157" t="s">
        <v>110</v>
      </c>
      <c r="D157" t="s">
        <v>61</v>
      </c>
      <c r="E157">
        <v>1</v>
      </c>
      <c r="F157" s="1" t="s">
        <v>62</v>
      </c>
      <c r="G157" s="1">
        <v>9.5</v>
      </c>
      <c r="H157">
        <v>0.7</v>
      </c>
      <c r="I157">
        <v>500</v>
      </c>
      <c r="J157">
        <v>14.4</v>
      </c>
      <c r="K157">
        <f t="shared" si="104"/>
        <v>310.25</v>
      </c>
      <c r="L157">
        <v>63</v>
      </c>
      <c r="AA157">
        <f t="shared" ref="AA157:AD158" si="113">(G157-G$156)/G$156</f>
        <v>-0.5026178010471205</v>
      </c>
      <c r="AB157">
        <f t="shared" si="113"/>
        <v>-0.53333333333333333</v>
      </c>
      <c r="AC157">
        <f t="shared" si="113"/>
        <v>-0.375</v>
      </c>
      <c r="AD157">
        <f t="shared" si="113"/>
        <v>3.5971223021582732E-2</v>
      </c>
      <c r="AE157">
        <f t="shared" ref="AE157:AF158" si="114">(L157-L$156)/L$156</f>
        <v>0</v>
      </c>
      <c r="AF157" t="e">
        <f t="shared" si="114"/>
        <v>#DIV/0!</v>
      </c>
      <c r="AG157">
        <f>1.04-1</f>
        <v>4.0000000000000036E-2</v>
      </c>
    </row>
    <row r="158" spans="1:40" x14ac:dyDescent="0.2">
      <c r="A158" t="s">
        <v>60</v>
      </c>
      <c r="C158" t="s">
        <v>110</v>
      </c>
      <c r="D158" t="s">
        <v>61</v>
      </c>
      <c r="E158">
        <v>1</v>
      </c>
      <c r="F158" s="1" t="s">
        <v>63</v>
      </c>
      <c r="G158" s="1">
        <v>10.6</v>
      </c>
      <c r="H158">
        <v>0.75</v>
      </c>
      <c r="I158">
        <v>500</v>
      </c>
      <c r="J158">
        <v>14.4</v>
      </c>
      <c r="K158">
        <f t="shared" si="104"/>
        <v>310.25</v>
      </c>
      <c r="L158">
        <v>63</v>
      </c>
      <c r="AA158">
        <f t="shared" si="113"/>
        <v>-0.44502617801047128</v>
      </c>
      <c r="AB158">
        <f t="shared" si="113"/>
        <v>-0.5</v>
      </c>
      <c r="AC158">
        <f t="shared" si="113"/>
        <v>-0.375</v>
      </c>
      <c r="AD158">
        <f t="shared" si="113"/>
        <v>3.5971223021582732E-2</v>
      </c>
      <c r="AE158">
        <f t="shared" si="114"/>
        <v>0</v>
      </c>
      <c r="AF158" t="e">
        <f t="shared" si="114"/>
        <v>#DIV/0!</v>
      </c>
      <c r="AG158">
        <f>0.63-1</f>
        <v>-0.37</v>
      </c>
    </row>
    <row r="159" spans="1:40" x14ac:dyDescent="0.2">
      <c r="A159" t="s">
        <v>64</v>
      </c>
      <c r="C159" t="s">
        <v>110</v>
      </c>
      <c r="D159" t="s">
        <v>70</v>
      </c>
      <c r="E159">
        <v>1</v>
      </c>
      <c r="F159" s="1" t="s">
        <v>50</v>
      </c>
      <c r="G159" s="1">
        <f>100-19.35-20.57-37.65</f>
        <v>22.430000000000007</v>
      </c>
      <c r="H159">
        <v>2.58</v>
      </c>
      <c r="I159">
        <v>330</v>
      </c>
      <c r="J159">
        <v>13.7</v>
      </c>
      <c r="K159">
        <f>273.15+17.3</f>
        <v>290.45</v>
      </c>
      <c r="M159">
        <f>17.7 * 60 *60 /1000</f>
        <v>63.72</v>
      </c>
      <c r="N159">
        <v>4720000000000000</v>
      </c>
      <c r="Q159">
        <v>745.81</v>
      </c>
      <c r="AA159">
        <f t="shared" ref="AA159:AD160" si="115">(G159-G$159)/G$159</f>
        <v>0</v>
      </c>
      <c r="AB159">
        <f t="shared" si="115"/>
        <v>0</v>
      </c>
      <c r="AC159">
        <f t="shared" si="115"/>
        <v>0</v>
      </c>
      <c r="AD159">
        <f t="shared" si="115"/>
        <v>0</v>
      </c>
      <c r="AE159">
        <v>0</v>
      </c>
      <c r="AF159">
        <f>(M159-M$159)/M$159</f>
        <v>0</v>
      </c>
      <c r="AG159">
        <f>(N159-N$159)/N$159</f>
        <v>0</v>
      </c>
      <c r="AJ159">
        <f>(Q159-Q$159)/Q$159</f>
        <v>0</v>
      </c>
    </row>
    <row r="160" spans="1:40" x14ac:dyDescent="0.2">
      <c r="A160" t="s">
        <v>64</v>
      </c>
      <c r="C160" t="s">
        <v>110</v>
      </c>
      <c r="D160" t="s">
        <v>70</v>
      </c>
      <c r="E160">
        <v>1</v>
      </c>
      <c r="F160" s="1" t="s">
        <v>69</v>
      </c>
      <c r="G160" s="1">
        <f>100-19.35-71.35-6.58</f>
        <v>2.7200000000000113</v>
      </c>
      <c r="H160">
        <v>7.0000000000000007E-2</v>
      </c>
      <c r="I160">
        <v>180</v>
      </c>
      <c r="J160">
        <v>15.2</v>
      </c>
      <c r="K160">
        <f t="shared" ref="K160:K164" si="116">273.15+17.3</f>
        <v>290.45</v>
      </c>
      <c r="M160">
        <f>17.7 * 60 *60 /1000</f>
        <v>63.72</v>
      </c>
      <c r="N160">
        <v>7599199999999999</v>
      </c>
      <c r="Q160">
        <f>Q159*(1-0.88)</f>
        <v>89.497199999999992</v>
      </c>
      <c r="X160">
        <f>0.24*10^15</f>
        <v>240000000000000</v>
      </c>
      <c r="AA160">
        <f t="shared" si="115"/>
        <v>-0.87873383860900522</v>
      </c>
      <c r="AB160">
        <f t="shared" si="115"/>
        <v>-0.97286821705426363</v>
      </c>
      <c r="AC160">
        <f t="shared" si="115"/>
        <v>-0.45454545454545453</v>
      </c>
      <c r="AD160">
        <f t="shared" si="115"/>
        <v>0.10948905109489052</v>
      </c>
      <c r="AE160">
        <v>0</v>
      </c>
      <c r="AF160">
        <f>(M160-M$159)/M$159</f>
        <v>0</v>
      </c>
      <c r="AG160">
        <f>(N160-N$159)/N$159</f>
        <v>0.60999999999999976</v>
      </c>
      <c r="AJ160">
        <f>(Q160-Q$159)/Q$159</f>
        <v>-0.88</v>
      </c>
    </row>
    <row r="161" spans="1:36" x14ac:dyDescent="0.2">
      <c r="A161" t="s">
        <v>64</v>
      </c>
      <c r="C161" t="s">
        <v>110</v>
      </c>
      <c r="D161" t="s">
        <v>70</v>
      </c>
      <c r="E161">
        <v>1</v>
      </c>
      <c r="F161" s="1" t="s">
        <v>50</v>
      </c>
      <c r="G161" s="1">
        <f>100-19.35-20.57-37.65</f>
        <v>22.430000000000007</v>
      </c>
      <c r="H161">
        <v>2.58</v>
      </c>
      <c r="I161">
        <v>330</v>
      </c>
      <c r="J161">
        <v>13.7</v>
      </c>
      <c r="K161">
        <f t="shared" si="116"/>
        <v>290.45</v>
      </c>
      <c r="M161">
        <f>25.8 * 60 *60 /1000</f>
        <v>92.88</v>
      </c>
      <c r="N161">
        <v>3270000000000000</v>
      </c>
      <c r="Q161">
        <v>468.79</v>
      </c>
      <c r="AA161">
        <f t="shared" ref="AA161:AD162" si="117">(G161-G$161)/G$161</f>
        <v>0</v>
      </c>
      <c r="AB161">
        <f t="shared" si="117"/>
        <v>0</v>
      </c>
      <c r="AC161">
        <f t="shared" si="117"/>
        <v>0</v>
      </c>
      <c r="AD161">
        <f t="shared" si="117"/>
        <v>0</v>
      </c>
      <c r="AE161">
        <v>0</v>
      </c>
      <c r="AF161">
        <f t="shared" ref="AF161" si="118">(M161-M$161)/M$161</f>
        <v>0</v>
      </c>
      <c r="AG161">
        <f>(N161-N$161)/N$161</f>
        <v>0</v>
      </c>
      <c r="AJ161">
        <f>(Q161-Q$161)/Q$161</f>
        <v>0</v>
      </c>
    </row>
    <row r="162" spans="1:36" x14ac:dyDescent="0.2">
      <c r="A162" t="s">
        <v>64</v>
      </c>
      <c r="C162" t="s">
        <v>110</v>
      </c>
      <c r="D162" t="s">
        <v>70</v>
      </c>
      <c r="E162">
        <v>1</v>
      </c>
      <c r="F162" s="1" t="s">
        <v>69</v>
      </c>
      <c r="G162" s="1">
        <f>100-19.35-71.35-6.58</f>
        <v>2.7200000000000113</v>
      </c>
      <c r="H162">
        <v>7.0000000000000007E-2</v>
      </c>
      <c r="I162">
        <v>180</v>
      </c>
      <c r="J162">
        <v>15.2</v>
      </c>
      <c r="K162">
        <f t="shared" si="116"/>
        <v>290.45</v>
      </c>
      <c r="M162">
        <f>25.8 * 60 *60 /1000</f>
        <v>92.88</v>
      </c>
      <c r="N162">
        <v>5428200000000000</v>
      </c>
      <c r="Q162">
        <f>Q161*(1-0.91)</f>
        <v>42.191099999999985</v>
      </c>
      <c r="X162">
        <f>0.19*10^15</f>
        <v>190000000000000</v>
      </c>
      <c r="AA162">
        <f t="shared" si="117"/>
        <v>-0.87873383860900522</v>
      </c>
      <c r="AB162">
        <f t="shared" si="117"/>
        <v>-0.97286821705426363</v>
      </c>
      <c r="AC162">
        <f t="shared" si="117"/>
        <v>-0.45454545454545453</v>
      </c>
      <c r="AD162">
        <f t="shared" si="117"/>
        <v>0.10948905109489052</v>
      </c>
      <c r="AE162">
        <v>0</v>
      </c>
      <c r="AF162">
        <f t="shared" ref="AF162" si="119">(M162-M$161)/M$161</f>
        <v>0</v>
      </c>
      <c r="AG162">
        <f>(N162-N$161)/N$161</f>
        <v>0.66</v>
      </c>
      <c r="AJ162">
        <f>(Q162-Q$161)/Q$161</f>
        <v>-0.91</v>
      </c>
    </row>
    <row r="163" spans="1:36" x14ac:dyDescent="0.2">
      <c r="A163" t="s">
        <v>64</v>
      </c>
      <c r="C163" t="s">
        <v>110</v>
      </c>
      <c r="D163" t="s">
        <v>70</v>
      </c>
      <c r="E163">
        <v>1</v>
      </c>
      <c r="F163" s="1" t="s">
        <v>50</v>
      </c>
      <c r="G163" s="1">
        <f>100-19.35-20.57-37.65</f>
        <v>22.430000000000007</v>
      </c>
      <c r="H163">
        <v>2.58</v>
      </c>
      <c r="I163">
        <v>330</v>
      </c>
      <c r="J163">
        <v>13.7</v>
      </c>
      <c r="K163">
        <f t="shared" si="116"/>
        <v>290.45</v>
      </c>
      <c r="M163">
        <f>31.1 * 60 *60 /1000</f>
        <v>111.96</v>
      </c>
      <c r="N163">
        <v>2330000000000000</v>
      </c>
      <c r="Q163">
        <v>271.73</v>
      </c>
      <c r="AA163">
        <f t="shared" ref="AA163:AD164" si="120">(G163-G$163)/G$163</f>
        <v>0</v>
      </c>
      <c r="AB163">
        <f t="shared" si="120"/>
        <v>0</v>
      </c>
      <c r="AC163">
        <f t="shared" si="120"/>
        <v>0</v>
      </c>
      <c r="AD163">
        <f t="shared" si="120"/>
        <v>0</v>
      </c>
      <c r="AE163">
        <v>0</v>
      </c>
      <c r="AF163">
        <f t="shared" ref="AF163" si="121">(M163-M$163)/M$163</f>
        <v>0</v>
      </c>
      <c r="AG163">
        <f>(N163-N$163)/N$163</f>
        <v>0</v>
      </c>
      <c r="AJ163">
        <f>(Q163-Q$163)/Q$163</f>
        <v>0</v>
      </c>
    </row>
    <row r="164" spans="1:36" x14ac:dyDescent="0.2">
      <c r="A164" t="s">
        <v>64</v>
      </c>
      <c r="C164" t="s">
        <v>110</v>
      </c>
      <c r="D164" t="s">
        <v>70</v>
      </c>
      <c r="E164">
        <v>1</v>
      </c>
      <c r="F164" s="1" t="s">
        <v>69</v>
      </c>
      <c r="G164" s="1">
        <f>100-19.35-71.35-6.58</f>
        <v>2.7200000000000113</v>
      </c>
      <c r="H164">
        <v>7.0000000000000007E-2</v>
      </c>
      <c r="I164">
        <v>180</v>
      </c>
      <c r="J164">
        <v>15.2</v>
      </c>
      <c r="K164">
        <f t="shared" si="116"/>
        <v>290.45</v>
      </c>
      <c r="M164">
        <f>31.1 * 60 *60 /1000</f>
        <v>111.96</v>
      </c>
      <c r="N164">
        <v>4054200000000000</v>
      </c>
      <c r="Q164">
        <f>Q163*(1-0.93)</f>
        <v>19.021099999999986</v>
      </c>
      <c r="X164">
        <f>0.15*10^15</f>
        <v>150000000000000</v>
      </c>
      <c r="AA164">
        <f t="shared" si="120"/>
        <v>-0.87873383860900522</v>
      </c>
      <c r="AB164">
        <f t="shared" si="120"/>
        <v>-0.97286821705426363</v>
      </c>
      <c r="AC164">
        <f t="shared" si="120"/>
        <v>-0.45454545454545453</v>
      </c>
      <c r="AD164">
        <f t="shared" si="120"/>
        <v>0.10948905109489052</v>
      </c>
      <c r="AE164">
        <v>0</v>
      </c>
      <c r="AF164">
        <f t="shared" ref="AF164" si="122">(M164-M$163)/M$163</f>
        <v>0</v>
      </c>
      <c r="AG164">
        <f>(N164-N$163)/N$163</f>
        <v>0.74</v>
      </c>
      <c r="AJ164">
        <f>(Q164-Q$163)/Q$163</f>
        <v>-0.93</v>
      </c>
    </row>
    <row r="165" spans="1:36" x14ac:dyDescent="0.2">
      <c r="A165" t="s">
        <v>65</v>
      </c>
      <c r="B165" t="s">
        <v>66</v>
      </c>
      <c r="C165" t="s">
        <v>110</v>
      </c>
      <c r="D165" t="s">
        <v>55</v>
      </c>
      <c r="E165">
        <v>1</v>
      </c>
      <c r="F165" s="1" t="s">
        <v>50</v>
      </c>
      <c r="G165">
        <v>17.8</v>
      </c>
      <c r="H165">
        <v>0.78</v>
      </c>
      <c r="I165">
        <v>440</v>
      </c>
      <c r="J165">
        <v>14.31</v>
      </c>
      <c r="K165">
        <v>288.14999999999998</v>
      </c>
      <c r="L165">
        <v>30</v>
      </c>
      <c r="M165" s="6">
        <v>2800</v>
      </c>
      <c r="AG165">
        <v>0</v>
      </c>
      <c r="AJ165">
        <v>0</v>
      </c>
    </row>
    <row r="166" spans="1:36" x14ac:dyDescent="0.2">
      <c r="A166" t="s">
        <v>65</v>
      </c>
      <c r="B166" t="s">
        <v>66</v>
      </c>
      <c r="C166" t="s">
        <v>110</v>
      </c>
      <c r="D166" t="s">
        <v>55</v>
      </c>
      <c r="E166">
        <v>1</v>
      </c>
      <c r="F166" s="1" t="s">
        <v>67</v>
      </c>
      <c r="G166">
        <v>21.1</v>
      </c>
      <c r="H166">
        <v>1</v>
      </c>
      <c r="I166">
        <f>G166*440 + (1-G166)*0</f>
        <v>9284</v>
      </c>
      <c r="J166">
        <v>14.153600000000001</v>
      </c>
      <c r="K166">
        <v>288.14999999999998</v>
      </c>
      <c r="L166">
        <v>30</v>
      </c>
      <c r="M166" s="6">
        <v>2800</v>
      </c>
      <c r="AA166">
        <f t="shared" ref="AA166:AB168" si="123">(G166-G$165)/G$165</f>
        <v>0.18539325842696633</v>
      </c>
      <c r="AB166">
        <f t="shared" si="123"/>
        <v>0.28205128205128199</v>
      </c>
      <c r="AD166">
        <f>(J166-J$165)/J$165</f>
        <v>-1.0929419986023734E-2</v>
      </c>
      <c r="AE166">
        <f t="shared" ref="AE166:AF168" si="124">(L166-L$165)/L$165</f>
        <v>0</v>
      </c>
      <c r="AF166">
        <f t="shared" si="124"/>
        <v>0</v>
      </c>
      <c r="AG166">
        <v>0.28000000000000003</v>
      </c>
      <c r="AJ166">
        <v>0.21999999999999997</v>
      </c>
    </row>
    <row r="167" spans="1:36" x14ac:dyDescent="0.2">
      <c r="A167" t="s">
        <v>65</v>
      </c>
      <c r="B167" t="s">
        <v>66</v>
      </c>
      <c r="C167" t="s">
        <v>110</v>
      </c>
      <c r="D167" t="s">
        <v>55</v>
      </c>
      <c r="E167">
        <v>1</v>
      </c>
      <c r="F167" s="1" t="s">
        <v>67</v>
      </c>
      <c r="G167">
        <v>22</v>
      </c>
      <c r="H167">
        <v>1.08</v>
      </c>
      <c r="I167">
        <f>G167*440 + (1-G167)*0</f>
        <v>9680</v>
      </c>
      <c r="J167">
        <v>14.11059</v>
      </c>
      <c r="K167">
        <v>288.14999999999998</v>
      </c>
      <c r="L167">
        <v>30</v>
      </c>
      <c r="M167" s="6">
        <v>2800</v>
      </c>
      <c r="AA167">
        <f t="shared" si="123"/>
        <v>0.23595505617977522</v>
      </c>
      <c r="AB167">
        <f t="shared" si="123"/>
        <v>0.38461538461538464</v>
      </c>
      <c r="AD167">
        <f>(J167-J$165)/J$165</f>
        <v>-1.3935010482180314E-2</v>
      </c>
      <c r="AE167">
        <f t="shared" si="124"/>
        <v>0</v>
      </c>
      <c r="AF167">
        <f t="shared" si="124"/>
        <v>0</v>
      </c>
      <c r="AG167">
        <v>0.37000000000000011</v>
      </c>
      <c r="AJ167">
        <v>0.33000000000000007</v>
      </c>
    </row>
    <row r="168" spans="1:36" x14ac:dyDescent="0.2">
      <c r="A168" t="s">
        <v>65</v>
      </c>
      <c r="B168" t="s">
        <v>66</v>
      </c>
      <c r="C168" t="s">
        <v>110</v>
      </c>
      <c r="D168" t="s">
        <v>55</v>
      </c>
      <c r="E168">
        <v>1</v>
      </c>
      <c r="F168" s="1" t="s">
        <v>67</v>
      </c>
      <c r="G168">
        <v>23.4</v>
      </c>
      <c r="H168">
        <v>1.1399999999999999</v>
      </c>
      <c r="I168">
        <f>G168*440 + (1-G168)*0</f>
        <v>10296</v>
      </c>
      <c r="J168">
        <v>14.044120000000001</v>
      </c>
      <c r="K168">
        <v>288.14999999999998</v>
      </c>
      <c r="L168">
        <v>30</v>
      </c>
      <c r="M168" s="6">
        <v>2800</v>
      </c>
      <c r="AA168">
        <f t="shared" si="123"/>
        <v>0.31460674157303359</v>
      </c>
      <c r="AB168">
        <f t="shared" si="123"/>
        <v>0.46153846153846134</v>
      </c>
      <c r="AD168">
        <f>(J168-J$165)/J$165</f>
        <v>-1.8580013976240338E-2</v>
      </c>
      <c r="AE168">
        <f t="shared" si="124"/>
        <v>0</v>
      </c>
      <c r="AF168">
        <f t="shared" si="124"/>
        <v>0</v>
      </c>
      <c r="AG168">
        <v>0.59000000000000008</v>
      </c>
      <c r="AJ168">
        <v>0.51</v>
      </c>
    </row>
    <row r="169" spans="1:36" x14ac:dyDescent="0.2">
      <c r="A169" t="s">
        <v>65</v>
      </c>
      <c r="B169" t="s">
        <v>66</v>
      </c>
      <c r="C169" t="s">
        <v>110</v>
      </c>
      <c r="D169" t="s">
        <v>55</v>
      </c>
      <c r="E169">
        <v>1</v>
      </c>
      <c r="F169" s="1" t="s">
        <v>50</v>
      </c>
      <c r="G169">
        <v>17.8</v>
      </c>
      <c r="H169">
        <v>0.78</v>
      </c>
      <c r="I169">
        <v>440</v>
      </c>
      <c r="J169">
        <v>14.31</v>
      </c>
      <c r="K169">
        <v>288.14999999999998</v>
      </c>
      <c r="L169">
        <v>65</v>
      </c>
      <c r="M169" s="6">
        <v>6350</v>
      </c>
      <c r="AG169">
        <v>0</v>
      </c>
      <c r="AJ169">
        <v>0</v>
      </c>
    </row>
    <row r="170" spans="1:36" x14ac:dyDescent="0.2">
      <c r="A170" t="s">
        <v>65</v>
      </c>
      <c r="B170" t="s">
        <v>66</v>
      </c>
      <c r="C170" t="s">
        <v>110</v>
      </c>
      <c r="D170" t="s">
        <v>55</v>
      </c>
      <c r="E170">
        <v>1</v>
      </c>
      <c r="F170" s="1" t="s">
        <v>67</v>
      </c>
      <c r="G170">
        <v>21.4</v>
      </c>
      <c r="H170">
        <v>1.01</v>
      </c>
      <c r="I170">
        <f>G170*440 + (1-G170)*0</f>
        <v>9416</v>
      </c>
      <c r="J170">
        <v>14.137960000000001</v>
      </c>
      <c r="K170">
        <v>288.14999999999998</v>
      </c>
      <c r="L170">
        <v>65</v>
      </c>
      <c r="M170" s="6">
        <v>6350</v>
      </c>
      <c r="AA170">
        <f t="shared" ref="AA170:AB172" si="125">(G170-G$169)/G$169</f>
        <v>0.20224719101123584</v>
      </c>
      <c r="AB170">
        <f t="shared" si="125"/>
        <v>0.29487179487179482</v>
      </c>
      <c r="AD170">
        <f>(J170-J$169)/J$169</f>
        <v>-1.202236198462607E-2</v>
      </c>
      <c r="AE170">
        <f t="shared" ref="AE170:AF172" si="126">(L170-L$169)/L$169</f>
        <v>0</v>
      </c>
      <c r="AF170">
        <f t="shared" si="126"/>
        <v>0</v>
      </c>
      <c r="AG170">
        <v>0.19999999999999996</v>
      </c>
      <c r="AJ170">
        <v>0.1100000000000001</v>
      </c>
    </row>
    <row r="171" spans="1:36" x14ac:dyDescent="0.2">
      <c r="A171" t="s">
        <v>65</v>
      </c>
      <c r="B171" t="s">
        <v>66</v>
      </c>
      <c r="C171" t="s">
        <v>110</v>
      </c>
      <c r="D171" t="s">
        <v>55</v>
      </c>
      <c r="E171">
        <v>1</v>
      </c>
      <c r="F171" s="1" t="s">
        <v>67</v>
      </c>
      <c r="G171">
        <v>22</v>
      </c>
      <c r="H171">
        <v>1.0900000000000001</v>
      </c>
      <c r="I171">
        <f>G171*440 + (1-G171)*0</f>
        <v>9680</v>
      </c>
      <c r="J171">
        <v>14.11059</v>
      </c>
      <c r="K171">
        <v>288.14999999999998</v>
      </c>
      <c r="L171">
        <v>65</v>
      </c>
      <c r="M171" s="6">
        <v>6350</v>
      </c>
      <c r="AA171">
        <f t="shared" si="125"/>
        <v>0.23595505617977522</v>
      </c>
      <c r="AB171">
        <f t="shared" si="125"/>
        <v>0.39743589743589747</v>
      </c>
      <c r="AD171">
        <f>(J171-J$169)/J$169</f>
        <v>-1.3935010482180314E-2</v>
      </c>
      <c r="AE171">
        <f t="shared" si="126"/>
        <v>0</v>
      </c>
      <c r="AF171">
        <f t="shared" si="126"/>
        <v>0</v>
      </c>
      <c r="AG171">
        <v>0.24</v>
      </c>
      <c r="AJ171">
        <v>0.14999999999999991</v>
      </c>
    </row>
    <row r="172" spans="1:36" x14ac:dyDescent="0.2">
      <c r="A172" t="s">
        <v>65</v>
      </c>
      <c r="B172" t="s">
        <v>66</v>
      </c>
      <c r="C172" t="s">
        <v>110</v>
      </c>
      <c r="D172" t="s">
        <v>55</v>
      </c>
      <c r="E172">
        <v>1</v>
      </c>
      <c r="F172" s="1" t="s">
        <v>67</v>
      </c>
      <c r="G172">
        <v>23.5</v>
      </c>
      <c r="H172">
        <v>1.1599999999999999</v>
      </c>
      <c r="I172">
        <f>G172*440 + (1-G172)*0</f>
        <v>10340</v>
      </c>
      <c r="J172">
        <v>14.04021</v>
      </c>
      <c r="K172">
        <v>288.14999999999998</v>
      </c>
      <c r="L172">
        <v>65</v>
      </c>
      <c r="M172" s="6">
        <v>6350</v>
      </c>
      <c r="AA172">
        <f t="shared" si="125"/>
        <v>0.32022471910112354</v>
      </c>
      <c r="AB172">
        <f t="shared" si="125"/>
        <v>0.487179487179487</v>
      </c>
      <c r="AD172">
        <f>(J172-J$169)/J$169</f>
        <v>-1.8853249475891013E-2</v>
      </c>
      <c r="AE172">
        <f t="shared" si="126"/>
        <v>0</v>
      </c>
      <c r="AF172">
        <f t="shared" si="126"/>
        <v>0</v>
      </c>
      <c r="AG172">
        <v>0.28000000000000003</v>
      </c>
      <c r="AJ172">
        <v>0.17999999999999994</v>
      </c>
    </row>
    <row r="173" spans="1:36" x14ac:dyDescent="0.2">
      <c r="A173" t="s">
        <v>65</v>
      </c>
      <c r="B173" t="s">
        <v>66</v>
      </c>
      <c r="C173" t="s">
        <v>110</v>
      </c>
      <c r="D173" t="s">
        <v>55</v>
      </c>
      <c r="E173">
        <v>1</v>
      </c>
      <c r="F173" s="1" t="s">
        <v>50</v>
      </c>
      <c r="G173">
        <v>17.8</v>
      </c>
      <c r="H173">
        <v>0.78</v>
      </c>
      <c r="I173">
        <v>440</v>
      </c>
      <c r="J173">
        <v>14.31</v>
      </c>
      <c r="K173">
        <v>288.14999999999998</v>
      </c>
      <c r="L173">
        <v>85</v>
      </c>
      <c r="M173" s="6">
        <v>8260</v>
      </c>
      <c r="AG173">
        <v>0</v>
      </c>
      <c r="AJ173">
        <v>0</v>
      </c>
    </row>
    <row r="174" spans="1:36" x14ac:dyDescent="0.2">
      <c r="A174" t="s">
        <v>65</v>
      </c>
      <c r="B174" t="s">
        <v>66</v>
      </c>
      <c r="C174" t="s">
        <v>110</v>
      </c>
      <c r="D174" t="s">
        <v>55</v>
      </c>
      <c r="E174">
        <v>1</v>
      </c>
      <c r="F174" s="1" t="s">
        <v>67</v>
      </c>
      <c r="G174">
        <v>21</v>
      </c>
      <c r="H174">
        <v>1.01</v>
      </c>
      <c r="I174">
        <f>G174*440 + (1-G174)*0</f>
        <v>9240</v>
      </c>
      <c r="J174">
        <v>14.15751</v>
      </c>
      <c r="K174">
        <v>288.14999999999998</v>
      </c>
      <c r="L174">
        <v>85</v>
      </c>
      <c r="M174" s="6">
        <v>8260</v>
      </c>
      <c r="AA174">
        <f t="shared" ref="AA174:AB176" si="127">(G174-G$173)/G$173</f>
        <v>0.17977528089887634</v>
      </c>
      <c r="AB174">
        <f t="shared" si="127"/>
        <v>0.29487179487179482</v>
      </c>
      <c r="AD174">
        <f>(J174-J$173)/J$173</f>
        <v>-1.0656184486373182E-2</v>
      </c>
      <c r="AE174">
        <f t="shared" ref="AE174:AF176" si="128">(L174-L$173)/L$173</f>
        <v>0</v>
      </c>
      <c r="AF174">
        <f t="shared" si="128"/>
        <v>0</v>
      </c>
      <c r="AG174">
        <v>9.000000000000008E-2</v>
      </c>
      <c r="AJ174">
        <v>5.0000000000000044E-2</v>
      </c>
    </row>
    <row r="175" spans="1:36" x14ac:dyDescent="0.2">
      <c r="A175" t="s">
        <v>65</v>
      </c>
      <c r="B175" t="s">
        <v>66</v>
      </c>
      <c r="C175" t="s">
        <v>110</v>
      </c>
      <c r="D175" t="s">
        <v>55</v>
      </c>
      <c r="E175">
        <v>1</v>
      </c>
      <c r="F175" s="1" t="s">
        <v>67</v>
      </c>
      <c r="G175">
        <v>22.1</v>
      </c>
      <c r="H175">
        <v>1.0900000000000001</v>
      </c>
      <c r="I175">
        <f>G175*440 + (1-G175)*0</f>
        <v>9724</v>
      </c>
      <c r="J175">
        <v>14.106680000000001</v>
      </c>
      <c r="K175">
        <v>288.14999999999998</v>
      </c>
      <c r="L175">
        <v>85</v>
      </c>
      <c r="M175" s="6">
        <v>8260</v>
      </c>
      <c r="AA175">
        <f t="shared" si="127"/>
        <v>0.2415730337078652</v>
      </c>
      <c r="AB175">
        <f t="shared" si="127"/>
        <v>0.39743589743589747</v>
      </c>
      <c r="AD175">
        <f>(J175-J$173)/J$173</f>
        <v>-1.4208245981830868E-2</v>
      </c>
      <c r="AE175">
        <f t="shared" si="128"/>
        <v>0</v>
      </c>
      <c r="AF175">
        <f t="shared" si="128"/>
        <v>0</v>
      </c>
      <c r="AG175">
        <v>0.12999999999999989</v>
      </c>
      <c r="AJ175">
        <v>8.0000000000000071E-2</v>
      </c>
    </row>
    <row r="176" spans="1:36" x14ac:dyDescent="0.2">
      <c r="A176" t="s">
        <v>65</v>
      </c>
      <c r="B176" t="s">
        <v>66</v>
      </c>
      <c r="C176" t="s">
        <v>110</v>
      </c>
      <c r="D176" t="s">
        <v>55</v>
      </c>
      <c r="E176">
        <v>1</v>
      </c>
      <c r="F176" s="1" t="s">
        <v>67</v>
      </c>
      <c r="G176">
        <v>23.5</v>
      </c>
      <c r="H176">
        <v>1.18</v>
      </c>
      <c r="I176">
        <f>G176*440 + (1-G176)*0</f>
        <v>10340</v>
      </c>
      <c r="J176">
        <v>14.04021</v>
      </c>
      <c r="K176">
        <v>288.14999999999998</v>
      </c>
      <c r="L176">
        <v>85</v>
      </c>
      <c r="M176" s="6">
        <v>8260</v>
      </c>
      <c r="AA176">
        <f t="shared" si="127"/>
        <v>0.32022471910112354</v>
      </c>
      <c r="AB176">
        <f t="shared" si="127"/>
        <v>0.51282051282051266</v>
      </c>
      <c r="AD176">
        <f>(J176-J$173)/J$173</f>
        <v>-1.8853249475891013E-2</v>
      </c>
      <c r="AE176">
        <f t="shared" si="128"/>
        <v>0</v>
      </c>
      <c r="AF176">
        <f t="shared" si="128"/>
        <v>0</v>
      </c>
      <c r="AG176">
        <v>0.17999999999999994</v>
      </c>
      <c r="AJ176">
        <v>0.1100000000000001</v>
      </c>
    </row>
    <row r="177" spans="1:36" x14ac:dyDescent="0.2">
      <c r="A177" t="s">
        <v>65</v>
      </c>
      <c r="B177" t="s">
        <v>66</v>
      </c>
      <c r="C177" t="s">
        <v>110</v>
      </c>
      <c r="D177" t="s">
        <v>55</v>
      </c>
      <c r="E177">
        <v>1</v>
      </c>
      <c r="F177" s="1" t="s">
        <v>50</v>
      </c>
      <c r="G177">
        <v>17.8</v>
      </c>
      <c r="H177">
        <v>0.78</v>
      </c>
      <c r="I177">
        <v>440</v>
      </c>
      <c r="J177">
        <v>14.31</v>
      </c>
      <c r="K177">
        <v>288.14999999999998</v>
      </c>
      <c r="L177">
        <v>100</v>
      </c>
      <c r="M177" s="6">
        <v>10520</v>
      </c>
      <c r="AJ177">
        <v>0</v>
      </c>
    </row>
    <row r="178" spans="1:36" x14ac:dyDescent="0.2">
      <c r="A178" t="s">
        <v>65</v>
      </c>
      <c r="B178" t="s">
        <v>66</v>
      </c>
      <c r="C178" t="s">
        <v>110</v>
      </c>
      <c r="D178" t="s">
        <v>55</v>
      </c>
      <c r="E178">
        <v>1</v>
      </c>
      <c r="F178" s="1" t="s">
        <v>67</v>
      </c>
      <c r="G178">
        <v>21.4</v>
      </c>
      <c r="H178">
        <v>1.01</v>
      </c>
      <c r="I178">
        <f>G178*440 + (1-G178)*0</f>
        <v>9416</v>
      </c>
      <c r="J178">
        <v>14.137960000000001</v>
      </c>
      <c r="K178">
        <v>288.14999999999998</v>
      </c>
      <c r="L178">
        <v>100</v>
      </c>
      <c r="M178" s="6">
        <v>10520</v>
      </c>
      <c r="AA178">
        <f t="shared" ref="AA178:AB181" si="129">(G178-G$177)/G$177</f>
        <v>0.20224719101123584</v>
      </c>
      <c r="AB178">
        <f t="shared" si="129"/>
        <v>0.29487179487179482</v>
      </c>
      <c r="AD178">
        <f>(J178-J$177)/J$177</f>
        <v>-1.202236198462607E-2</v>
      </c>
      <c r="AE178">
        <f t="shared" ref="AE178:AF178" si="130">(L178-L$177)/L$177</f>
        <v>0</v>
      </c>
      <c r="AF178">
        <f t="shared" si="130"/>
        <v>0</v>
      </c>
      <c r="AG178">
        <v>3.0000000000000027E-2</v>
      </c>
      <c r="AJ178">
        <v>2.0000000000000018E-2</v>
      </c>
    </row>
    <row r="179" spans="1:36" x14ac:dyDescent="0.2">
      <c r="A179" t="s">
        <v>65</v>
      </c>
      <c r="B179" t="s">
        <v>66</v>
      </c>
      <c r="C179" t="s">
        <v>110</v>
      </c>
      <c r="D179" t="s">
        <v>55</v>
      </c>
      <c r="E179">
        <v>1</v>
      </c>
      <c r="F179" s="1" t="s">
        <v>67</v>
      </c>
      <c r="G179">
        <v>22</v>
      </c>
      <c r="H179">
        <v>1.0900000000000001</v>
      </c>
      <c r="I179">
        <f>G179*440 + (1-G179)*0</f>
        <v>9680</v>
      </c>
      <c r="J179">
        <v>14.11059</v>
      </c>
      <c r="K179">
        <v>288.14999999999998</v>
      </c>
      <c r="L179">
        <v>100</v>
      </c>
      <c r="M179" s="6">
        <v>10520</v>
      </c>
      <c r="AA179">
        <f t="shared" si="129"/>
        <v>0.23595505617977522</v>
      </c>
      <c r="AB179">
        <f t="shared" si="129"/>
        <v>0.39743589743589747</v>
      </c>
      <c r="AD179">
        <f>(J179-J$177)/J$177</f>
        <v>-1.3935010482180314E-2</v>
      </c>
      <c r="AE179">
        <f t="shared" ref="AE179:AE181" si="131">(L179-L$177)/L$177</f>
        <v>0</v>
      </c>
      <c r="AF179">
        <f t="shared" ref="AF179:AF181" si="132">(M179-M$177)/M$177</f>
        <v>0</v>
      </c>
      <c r="AG179">
        <v>6.0000000000000053E-2</v>
      </c>
      <c r="AJ179">
        <v>3.0000000000000027E-2</v>
      </c>
    </row>
    <row r="180" spans="1:36" x14ac:dyDescent="0.2">
      <c r="A180" t="s">
        <v>65</v>
      </c>
      <c r="B180" t="s">
        <v>66</v>
      </c>
      <c r="C180" t="s">
        <v>110</v>
      </c>
      <c r="D180" t="s">
        <v>55</v>
      </c>
      <c r="E180">
        <v>1</v>
      </c>
      <c r="F180" s="1" t="s">
        <v>67</v>
      </c>
      <c r="G180">
        <v>23.5</v>
      </c>
      <c r="H180">
        <v>1.19</v>
      </c>
      <c r="I180">
        <f>G180*440 + (1-G180)*0</f>
        <v>10340</v>
      </c>
      <c r="J180">
        <v>14.04021</v>
      </c>
      <c r="K180">
        <v>288.14999999999998</v>
      </c>
      <c r="L180">
        <v>100</v>
      </c>
      <c r="M180" s="6">
        <v>10520</v>
      </c>
      <c r="AA180">
        <f t="shared" si="129"/>
        <v>0.32022471910112354</v>
      </c>
      <c r="AB180">
        <f t="shared" si="129"/>
        <v>0.52564102564102555</v>
      </c>
      <c r="AD180">
        <f>(J180-J$177)/J$177</f>
        <v>-1.8853249475891013E-2</v>
      </c>
      <c r="AE180">
        <f t="shared" si="131"/>
        <v>0</v>
      </c>
      <c r="AF180">
        <f t="shared" si="132"/>
        <v>0</v>
      </c>
      <c r="AG180">
        <v>0.1100000000000001</v>
      </c>
      <c r="AJ180">
        <v>5.0000000000000044E-2</v>
      </c>
    </row>
    <row r="181" spans="1:36" x14ac:dyDescent="0.2">
      <c r="A181" t="s">
        <v>65</v>
      </c>
      <c r="B181" t="s">
        <v>66</v>
      </c>
      <c r="C181" t="s">
        <v>110</v>
      </c>
      <c r="D181" t="s">
        <v>55</v>
      </c>
      <c r="E181">
        <v>1</v>
      </c>
      <c r="F181" s="1" t="s">
        <v>67</v>
      </c>
      <c r="G181">
        <v>23.5</v>
      </c>
      <c r="H181">
        <v>1.19</v>
      </c>
      <c r="I181">
        <f>G181*440 + (1-G181)*0</f>
        <v>10340</v>
      </c>
      <c r="J181">
        <v>14.04021</v>
      </c>
      <c r="K181">
        <v>288.14999999999998</v>
      </c>
      <c r="L181">
        <v>100</v>
      </c>
      <c r="M181" s="6">
        <v>10520</v>
      </c>
      <c r="AA181">
        <f t="shared" si="129"/>
        <v>0.32022471910112354</v>
      </c>
      <c r="AB181">
        <f t="shared" si="129"/>
        <v>0.52564102564102555</v>
      </c>
      <c r="AD181">
        <f>(J181-J$177)/J$177</f>
        <v>-1.8853249475891013E-2</v>
      </c>
      <c r="AE181">
        <f t="shared" si="131"/>
        <v>0</v>
      </c>
      <c r="AF181">
        <f t="shared" si="132"/>
        <v>0</v>
      </c>
      <c r="AG181">
        <v>0.12000000000000011</v>
      </c>
      <c r="AJ181">
        <v>6.0000000000000053E-2</v>
      </c>
    </row>
    <row r="182" spans="1:36" x14ac:dyDescent="0.2">
      <c r="A182" t="s">
        <v>65</v>
      </c>
      <c r="B182" t="s">
        <v>66</v>
      </c>
      <c r="C182" t="s">
        <v>110</v>
      </c>
      <c r="D182" t="s">
        <v>55</v>
      </c>
      <c r="E182">
        <v>1</v>
      </c>
      <c r="F182" s="1" t="s">
        <v>50</v>
      </c>
      <c r="G182">
        <v>17.8</v>
      </c>
      <c r="H182">
        <v>0.78</v>
      </c>
      <c r="I182">
        <v>440</v>
      </c>
      <c r="J182">
        <v>14.31</v>
      </c>
      <c r="K182">
        <v>288.14999999999998</v>
      </c>
      <c r="L182">
        <v>30</v>
      </c>
      <c r="M182" s="6">
        <v>2800</v>
      </c>
      <c r="AG182">
        <v>0</v>
      </c>
      <c r="AJ182">
        <v>0</v>
      </c>
    </row>
    <row r="183" spans="1:36" x14ac:dyDescent="0.2">
      <c r="A183" t="s">
        <v>65</v>
      </c>
      <c r="B183" t="s">
        <v>66</v>
      </c>
      <c r="C183" t="s">
        <v>110</v>
      </c>
      <c r="D183" t="s">
        <v>55</v>
      </c>
      <c r="E183">
        <v>1</v>
      </c>
      <c r="F183" s="1" t="s">
        <v>67</v>
      </c>
      <c r="G183">
        <v>21</v>
      </c>
      <c r="H183">
        <v>0.8</v>
      </c>
      <c r="I183">
        <f>G183*440 + (1-G183)*0</f>
        <v>9240</v>
      </c>
      <c r="J183">
        <v>14.184810000000001</v>
      </c>
      <c r="K183">
        <v>288.14999999999998</v>
      </c>
      <c r="L183">
        <v>30</v>
      </c>
      <c r="M183" s="6">
        <v>2800</v>
      </c>
      <c r="AA183">
        <f t="shared" ref="AA183:AB185" si="133">(G183-G$182)/G$182</f>
        <v>0.17977528089887634</v>
      </c>
      <c r="AB183">
        <f t="shared" si="133"/>
        <v>2.5641025641025664E-2</v>
      </c>
      <c r="AD183">
        <f>(J183-J$182)/J$182</f>
        <v>-8.7484276729559683E-3</v>
      </c>
      <c r="AE183">
        <f t="shared" ref="AE183:AF183" si="134">(L183-L$182)/L$182</f>
        <v>0</v>
      </c>
      <c r="AF183">
        <f t="shared" si="134"/>
        <v>0</v>
      </c>
      <c r="AG183">
        <v>0.1100000000000001</v>
      </c>
      <c r="AJ183">
        <v>0.15999999999999992</v>
      </c>
    </row>
    <row r="184" spans="1:36" x14ac:dyDescent="0.2">
      <c r="A184" t="s">
        <v>65</v>
      </c>
      <c r="B184" t="s">
        <v>66</v>
      </c>
      <c r="C184" t="s">
        <v>110</v>
      </c>
      <c r="D184" t="s">
        <v>55</v>
      </c>
      <c r="E184">
        <v>1</v>
      </c>
      <c r="F184" s="1" t="s">
        <v>67</v>
      </c>
      <c r="G184">
        <v>22.1</v>
      </c>
      <c r="H184">
        <v>0.79</v>
      </c>
      <c r="I184">
        <f>G184*440 + (1-G184)*0</f>
        <v>9724</v>
      </c>
      <c r="J184">
        <v>14.143080000000001</v>
      </c>
      <c r="K184">
        <v>288.14999999999998</v>
      </c>
      <c r="L184">
        <v>30</v>
      </c>
      <c r="M184" s="6">
        <v>2800</v>
      </c>
      <c r="AA184">
        <f t="shared" si="133"/>
        <v>0.2415730337078652</v>
      </c>
      <c r="AB184">
        <f t="shared" si="133"/>
        <v>1.2820512820512832E-2</v>
      </c>
      <c r="AD184">
        <f>(J184-J$182)/J$182</f>
        <v>-1.1664570230607917E-2</v>
      </c>
      <c r="AE184">
        <f t="shared" ref="AE184:AE185" si="135">(L184-L$182)/L$182</f>
        <v>0</v>
      </c>
      <c r="AF184">
        <f t="shared" ref="AF184:AF185" si="136">(M184-M$182)/M$182</f>
        <v>0</v>
      </c>
      <c r="AG184">
        <v>0.21999999999999997</v>
      </c>
      <c r="AJ184">
        <v>0.26</v>
      </c>
    </row>
    <row r="185" spans="1:36" x14ac:dyDescent="0.2">
      <c r="A185" t="s">
        <v>65</v>
      </c>
      <c r="B185" t="s">
        <v>66</v>
      </c>
      <c r="C185" t="s">
        <v>110</v>
      </c>
      <c r="D185" t="s">
        <v>55</v>
      </c>
      <c r="E185">
        <v>1</v>
      </c>
      <c r="F185" s="1" t="s">
        <v>67</v>
      </c>
      <c r="G185">
        <v>23.6</v>
      </c>
      <c r="H185">
        <v>0.78</v>
      </c>
      <c r="I185">
        <f>G185*440 + (1-G185)*0</f>
        <v>10384</v>
      </c>
      <c r="J185">
        <v>14.082090000000001</v>
      </c>
      <c r="K185">
        <v>288.14999999999998</v>
      </c>
      <c r="L185">
        <v>30</v>
      </c>
      <c r="M185" s="6">
        <v>2800</v>
      </c>
      <c r="AA185">
        <f t="shared" si="133"/>
        <v>0.3258426966292135</v>
      </c>
      <c r="AB185">
        <f t="shared" si="133"/>
        <v>0</v>
      </c>
      <c r="AD185">
        <f>(J185-J$182)/J$182</f>
        <v>-1.5926624737945465E-2</v>
      </c>
      <c r="AE185">
        <f t="shared" si="135"/>
        <v>0</v>
      </c>
      <c r="AF185">
        <f t="shared" si="136"/>
        <v>0</v>
      </c>
      <c r="AG185">
        <v>0.37000000000000011</v>
      </c>
      <c r="AJ185">
        <v>0.3600000000000001</v>
      </c>
    </row>
    <row r="186" spans="1:36" x14ac:dyDescent="0.2">
      <c r="A186" t="s">
        <v>65</v>
      </c>
      <c r="B186" t="s">
        <v>66</v>
      </c>
      <c r="C186" t="s">
        <v>110</v>
      </c>
      <c r="D186" t="s">
        <v>55</v>
      </c>
      <c r="E186">
        <v>1</v>
      </c>
      <c r="F186" s="1" t="s">
        <v>50</v>
      </c>
      <c r="G186">
        <v>17.8</v>
      </c>
      <c r="H186">
        <v>0.78</v>
      </c>
      <c r="I186">
        <v>440</v>
      </c>
      <c r="J186">
        <v>14.31</v>
      </c>
      <c r="K186">
        <v>288.14999999999998</v>
      </c>
      <c r="L186">
        <v>65</v>
      </c>
      <c r="M186" s="6">
        <v>6350</v>
      </c>
      <c r="AG186">
        <v>0</v>
      </c>
      <c r="AJ186">
        <v>0</v>
      </c>
    </row>
    <row r="187" spans="1:36" x14ac:dyDescent="0.2">
      <c r="A187" t="s">
        <v>65</v>
      </c>
      <c r="B187" t="s">
        <v>66</v>
      </c>
      <c r="C187" t="s">
        <v>110</v>
      </c>
      <c r="D187" t="s">
        <v>55</v>
      </c>
      <c r="E187">
        <v>1</v>
      </c>
      <c r="F187" s="1" t="s">
        <v>68</v>
      </c>
      <c r="G187">
        <v>21.1</v>
      </c>
      <c r="H187">
        <v>0.8</v>
      </c>
      <c r="I187">
        <f>G187*440 + (1-G187)*0</f>
        <v>9284</v>
      </c>
      <c r="J187">
        <v>14.181600000000001</v>
      </c>
      <c r="K187">
        <v>288.14999999999998</v>
      </c>
      <c r="L187">
        <v>65</v>
      </c>
      <c r="M187" s="6">
        <v>6350</v>
      </c>
      <c r="AA187">
        <f t="shared" ref="AA187:AB189" si="137">(G187-G$186)/G$186</f>
        <v>0.18539325842696633</v>
      </c>
      <c r="AB187">
        <f t="shared" si="137"/>
        <v>2.5641025641025664E-2</v>
      </c>
      <c r="AD187">
        <f>(J187-J$186)/J$186</f>
        <v>-8.9727463312368402E-3</v>
      </c>
      <c r="AE187">
        <f t="shared" ref="AE187:AF187" si="138">(L187-L$186)/L$186</f>
        <v>0</v>
      </c>
      <c r="AF187">
        <f t="shared" si="138"/>
        <v>0</v>
      </c>
      <c r="AG187">
        <v>0.12999999999999989</v>
      </c>
      <c r="AJ187">
        <v>8.0000000000000071E-2</v>
      </c>
    </row>
    <row r="188" spans="1:36" x14ac:dyDescent="0.2">
      <c r="A188" t="s">
        <v>65</v>
      </c>
      <c r="B188" t="s">
        <v>66</v>
      </c>
      <c r="C188" t="s">
        <v>110</v>
      </c>
      <c r="D188" t="s">
        <v>55</v>
      </c>
      <c r="E188">
        <v>1</v>
      </c>
      <c r="F188" s="1" t="s">
        <v>68</v>
      </c>
      <c r="G188">
        <v>22.4</v>
      </c>
      <c r="H188">
        <v>0.78</v>
      </c>
      <c r="I188">
        <f>G188*440 + (1-G188)*0</f>
        <v>9856</v>
      </c>
      <c r="J188">
        <v>14.12382</v>
      </c>
      <c r="K188">
        <v>288.14999999999998</v>
      </c>
      <c r="L188">
        <v>65</v>
      </c>
      <c r="M188" s="6">
        <v>6350</v>
      </c>
      <c r="AA188">
        <f t="shared" si="137"/>
        <v>0.25842696629213469</v>
      </c>
      <c r="AB188">
        <f t="shared" si="137"/>
        <v>0</v>
      </c>
      <c r="AD188">
        <f>(J188-J$186)/J$186</f>
        <v>-1.3010482180293517E-2</v>
      </c>
      <c r="AE188">
        <f t="shared" ref="AE188:AE189" si="139">(L188-L$186)/L$186</f>
        <v>0</v>
      </c>
      <c r="AF188">
        <f t="shared" ref="AF188:AF189" si="140">(M188-M$186)/M$186</f>
        <v>0</v>
      </c>
      <c r="AG188">
        <v>0.17999999999999994</v>
      </c>
      <c r="AJ188">
        <v>0.12000000000000011</v>
      </c>
    </row>
    <row r="189" spans="1:36" x14ac:dyDescent="0.2">
      <c r="A189" t="s">
        <v>65</v>
      </c>
      <c r="B189" t="s">
        <v>66</v>
      </c>
      <c r="C189" t="s">
        <v>110</v>
      </c>
      <c r="D189" t="s">
        <v>55</v>
      </c>
      <c r="E189">
        <v>1</v>
      </c>
      <c r="F189" s="1" t="s">
        <v>68</v>
      </c>
      <c r="G189">
        <v>23.6</v>
      </c>
      <c r="H189">
        <v>0.79</v>
      </c>
      <c r="I189">
        <f>G189*440 + (1-G189)*0</f>
        <v>10384</v>
      </c>
      <c r="J189">
        <v>14.082090000000001</v>
      </c>
      <c r="K189">
        <v>288.14999999999998</v>
      </c>
      <c r="L189">
        <v>65</v>
      </c>
      <c r="M189" s="6">
        <v>6350</v>
      </c>
      <c r="AA189">
        <f t="shared" si="137"/>
        <v>0.3258426966292135</v>
      </c>
      <c r="AB189">
        <f t="shared" si="137"/>
        <v>1.2820512820512832E-2</v>
      </c>
      <c r="AD189">
        <f>(J189-J$186)/J$186</f>
        <v>-1.5926624737945465E-2</v>
      </c>
      <c r="AE189">
        <f t="shared" si="139"/>
        <v>0</v>
      </c>
      <c r="AF189">
        <f t="shared" si="140"/>
        <v>0</v>
      </c>
      <c r="AG189">
        <v>0.27</v>
      </c>
      <c r="AJ189">
        <v>0.16999999999999993</v>
      </c>
    </row>
    <row r="190" spans="1:36" x14ac:dyDescent="0.2">
      <c r="A190" t="s">
        <v>65</v>
      </c>
      <c r="B190" t="s">
        <v>66</v>
      </c>
      <c r="C190" t="s">
        <v>110</v>
      </c>
      <c r="D190" t="s">
        <v>55</v>
      </c>
      <c r="E190">
        <v>1</v>
      </c>
      <c r="F190" s="1" t="s">
        <v>50</v>
      </c>
      <c r="G190">
        <v>17.8</v>
      </c>
      <c r="H190">
        <v>0.78</v>
      </c>
      <c r="I190">
        <v>440</v>
      </c>
      <c r="J190">
        <v>14.31</v>
      </c>
      <c r="K190">
        <v>288.14999999999998</v>
      </c>
      <c r="L190">
        <v>85</v>
      </c>
      <c r="M190" s="6">
        <v>8260</v>
      </c>
      <c r="AG190">
        <v>0</v>
      </c>
      <c r="AJ190">
        <v>0</v>
      </c>
    </row>
    <row r="191" spans="1:36" x14ac:dyDescent="0.2">
      <c r="A191" t="s">
        <v>65</v>
      </c>
      <c r="B191" t="s">
        <v>66</v>
      </c>
      <c r="C191" t="s">
        <v>110</v>
      </c>
      <c r="D191" t="s">
        <v>55</v>
      </c>
      <c r="E191">
        <v>1</v>
      </c>
      <c r="F191" s="1" t="s">
        <v>68</v>
      </c>
      <c r="G191">
        <v>21.1</v>
      </c>
      <c r="H191">
        <v>0.79</v>
      </c>
      <c r="I191">
        <f>G191*440 + (1-G191)*0</f>
        <v>9284</v>
      </c>
      <c r="J191">
        <v>14.181600000000001</v>
      </c>
      <c r="K191">
        <v>288.14999999999998</v>
      </c>
      <c r="L191">
        <v>85</v>
      </c>
      <c r="M191" s="6">
        <v>8260</v>
      </c>
      <c r="AA191">
        <f t="shared" ref="AA191:AB193" si="141">(G191-G$190)/G$190</f>
        <v>0.18539325842696633</v>
      </c>
      <c r="AB191">
        <f t="shared" si="141"/>
        <v>1.2820512820512832E-2</v>
      </c>
      <c r="AD191">
        <f>(J191-J$190)/J$190</f>
        <v>-8.9727463312368402E-3</v>
      </c>
      <c r="AE191">
        <f t="shared" ref="AE191:AF191" si="142">(L191-L$190)/L$190</f>
        <v>0</v>
      </c>
      <c r="AF191">
        <f t="shared" si="142"/>
        <v>0</v>
      </c>
      <c r="AG191">
        <v>7.0000000000000062E-2</v>
      </c>
      <c r="AJ191">
        <v>4.0000000000000036E-2</v>
      </c>
    </row>
    <row r="192" spans="1:36" x14ac:dyDescent="0.2">
      <c r="A192" t="s">
        <v>65</v>
      </c>
      <c r="B192" t="s">
        <v>66</v>
      </c>
      <c r="C192" t="s">
        <v>110</v>
      </c>
      <c r="D192" t="s">
        <v>55</v>
      </c>
      <c r="E192">
        <v>1</v>
      </c>
      <c r="F192" s="1" t="s">
        <v>68</v>
      </c>
      <c r="G192">
        <v>22.3</v>
      </c>
      <c r="H192">
        <v>0.78</v>
      </c>
      <c r="I192">
        <f>G192*440 + (1-G192)*0</f>
        <v>9812</v>
      </c>
      <c r="J192">
        <v>14.13345</v>
      </c>
      <c r="K192">
        <v>288.14999999999998</v>
      </c>
      <c r="L192">
        <v>85</v>
      </c>
      <c r="M192" s="6">
        <v>8260</v>
      </c>
      <c r="AA192">
        <f t="shared" si="141"/>
        <v>0.25280898876404495</v>
      </c>
      <c r="AB192">
        <f t="shared" si="141"/>
        <v>0</v>
      </c>
      <c r="AD192">
        <f>(J192-J$190)/J$190</f>
        <v>-1.2337526205450779E-2</v>
      </c>
      <c r="AE192">
        <f t="shared" ref="AE192:AE193" si="143">(L192-L$190)/L$190</f>
        <v>0</v>
      </c>
      <c r="AF192">
        <f t="shared" ref="AF192:AF193" si="144">(M192-M$190)/M$190</f>
        <v>0</v>
      </c>
      <c r="AG192">
        <v>0.12000000000000011</v>
      </c>
      <c r="AJ192">
        <v>6.0000000000000053E-2</v>
      </c>
    </row>
    <row r="193" spans="1:36" x14ac:dyDescent="0.2">
      <c r="A193" t="s">
        <v>65</v>
      </c>
      <c r="B193" t="s">
        <v>66</v>
      </c>
      <c r="C193" t="s">
        <v>110</v>
      </c>
      <c r="D193" t="s">
        <v>55</v>
      </c>
      <c r="E193">
        <v>1</v>
      </c>
      <c r="F193" s="1" t="s">
        <v>68</v>
      </c>
      <c r="G193">
        <v>23.5</v>
      </c>
      <c r="H193">
        <v>0.76</v>
      </c>
      <c r="I193">
        <f>G193*440 + (1-G193)*0</f>
        <v>10340</v>
      </c>
      <c r="J193">
        <v>14.088510000000001</v>
      </c>
      <c r="K193">
        <v>288.14999999999998</v>
      </c>
      <c r="L193">
        <v>85</v>
      </c>
      <c r="M193" s="6">
        <v>8260</v>
      </c>
      <c r="AA193">
        <f t="shared" si="141"/>
        <v>0.32022471910112354</v>
      </c>
      <c r="AB193">
        <f t="shared" si="141"/>
        <v>-2.5641025641025664E-2</v>
      </c>
      <c r="AD193">
        <f>(J193-J$190)/J$190</f>
        <v>-1.5477987421383598E-2</v>
      </c>
      <c r="AE193">
        <f t="shared" si="143"/>
        <v>0</v>
      </c>
      <c r="AF193">
        <f t="shared" si="144"/>
        <v>0</v>
      </c>
      <c r="AG193">
        <v>0.1399999999999999</v>
      </c>
      <c r="AJ193">
        <v>8.0000000000000071E-2</v>
      </c>
    </row>
    <row r="194" spans="1:36" x14ac:dyDescent="0.2">
      <c r="A194" t="s">
        <v>65</v>
      </c>
      <c r="B194" t="s">
        <v>66</v>
      </c>
      <c r="C194" t="s">
        <v>110</v>
      </c>
      <c r="D194" t="s">
        <v>55</v>
      </c>
      <c r="E194">
        <v>1</v>
      </c>
      <c r="F194" s="1" t="s">
        <v>50</v>
      </c>
      <c r="G194">
        <v>17.8</v>
      </c>
      <c r="H194">
        <v>0.78</v>
      </c>
      <c r="I194">
        <v>440</v>
      </c>
      <c r="J194">
        <v>14.31</v>
      </c>
      <c r="K194">
        <v>288.14999999999998</v>
      </c>
      <c r="L194">
        <v>100</v>
      </c>
      <c r="M194" s="6">
        <v>10520</v>
      </c>
      <c r="AG194">
        <v>0</v>
      </c>
      <c r="AJ194">
        <v>0</v>
      </c>
    </row>
    <row r="195" spans="1:36" x14ac:dyDescent="0.2">
      <c r="A195" t="s">
        <v>65</v>
      </c>
      <c r="B195" t="s">
        <v>66</v>
      </c>
      <c r="C195" t="s">
        <v>110</v>
      </c>
      <c r="D195" t="s">
        <v>55</v>
      </c>
      <c r="E195">
        <v>1</v>
      </c>
      <c r="F195" s="1" t="s">
        <v>68</v>
      </c>
      <c r="G195">
        <v>21.1</v>
      </c>
      <c r="H195">
        <v>0.79</v>
      </c>
      <c r="I195">
        <f>G195*440 + (1-G195)*0</f>
        <v>9284</v>
      </c>
      <c r="J195">
        <v>14.181600000000001</v>
      </c>
      <c r="K195">
        <v>288.14999999999998</v>
      </c>
      <c r="L195">
        <v>100</v>
      </c>
      <c r="M195" s="6">
        <v>10520</v>
      </c>
      <c r="AA195">
        <f t="shared" ref="AA195:AB197" si="145">(G195-G$194)/G$194</f>
        <v>0.18539325842696633</v>
      </c>
      <c r="AB195">
        <f t="shared" si="145"/>
        <v>1.2820512820512832E-2</v>
      </c>
      <c r="AD195">
        <f>(J195-J$194)/J$194</f>
        <v>-8.9727463312368402E-3</v>
      </c>
      <c r="AE195">
        <f t="shared" ref="AE195:AF197" si="146">(L195-L$194)/L$194</f>
        <v>0</v>
      </c>
      <c r="AF195">
        <f t="shared" si="146"/>
        <v>0</v>
      </c>
      <c r="AG195">
        <v>6.0000000000000053E-2</v>
      </c>
      <c r="AJ195">
        <v>5.0000000000000044E-2</v>
      </c>
    </row>
    <row r="196" spans="1:36" x14ac:dyDescent="0.2">
      <c r="A196" t="s">
        <v>65</v>
      </c>
      <c r="B196" t="s">
        <v>66</v>
      </c>
      <c r="C196" t="s">
        <v>110</v>
      </c>
      <c r="D196" t="s">
        <v>55</v>
      </c>
      <c r="E196">
        <v>1</v>
      </c>
      <c r="F196" s="1" t="s">
        <v>68</v>
      </c>
      <c r="G196">
        <v>22.6</v>
      </c>
      <c r="H196">
        <v>0.78</v>
      </c>
      <c r="I196">
        <f>G196*440 + (1-G196)*0</f>
        <v>9944</v>
      </c>
      <c r="J196">
        <v>14.12382</v>
      </c>
      <c r="K196">
        <v>288.14999999999998</v>
      </c>
      <c r="L196">
        <v>100</v>
      </c>
      <c r="M196" s="6">
        <v>10520</v>
      </c>
      <c r="AA196">
        <f t="shared" si="145"/>
        <v>0.26966292134831465</v>
      </c>
      <c r="AB196">
        <f t="shared" si="145"/>
        <v>0</v>
      </c>
      <c r="AD196">
        <f>(J196-J$194)/J$194</f>
        <v>-1.3010482180293517E-2</v>
      </c>
      <c r="AE196">
        <f t="shared" si="146"/>
        <v>0</v>
      </c>
      <c r="AF196">
        <f t="shared" si="146"/>
        <v>0</v>
      </c>
      <c r="AG196">
        <v>0.10000000000000009</v>
      </c>
      <c r="AJ196">
        <v>5.0000000000000044E-2</v>
      </c>
    </row>
    <row r="197" spans="1:36" x14ac:dyDescent="0.2">
      <c r="A197" t="s">
        <v>65</v>
      </c>
      <c r="B197" t="s">
        <v>66</v>
      </c>
      <c r="C197" t="s">
        <v>110</v>
      </c>
      <c r="D197" t="s">
        <v>55</v>
      </c>
      <c r="E197">
        <v>1</v>
      </c>
      <c r="F197" s="1" t="s">
        <v>68</v>
      </c>
      <c r="G197">
        <v>23.5</v>
      </c>
      <c r="H197">
        <v>0.77</v>
      </c>
      <c r="I197">
        <f>G197*440 + (1-G197)*0</f>
        <v>10340</v>
      </c>
      <c r="J197">
        <v>14.088510000000001</v>
      </c>
      <c r="K197">
        <v>288.14999999999998</v>
      </c>
      <c r="L197" s="12">
        <v>100</v>
      </c>
      <c r="M197" s="6">
        <v>10520</v>
      </c>
      <c r="AA197">
        <f t="shared" si="145"/>
        <v>0.32022471910112354</v>
      </c>
      <c r="AB197">
        <f t="shared" si="145"/>
        <v>-1.2820512820512832E-2</v>
      </c>
      <c r="AD197">
        <f>(J197-J$194)/J$194</f>
        <v>-1.5477987421383598E-2</v>
      </c>
      <c r="AE197">
        <f t="shared" si="146"/>
        <v>0</v>
      </c>
      <c r="AF197">
        <f t="shared" si="146"/>
        <v>0</v>
      </c>
      <c r="AG197">
        <v>0.12000000000000011</v>
      </c>
      <c r="AJ197">
        <v>6.0000000000000053E-2</v>
      </c>
    </row>
    <row r="198" spans="1:36" x14ac:dyDescent="0.2">
      <c r="A198" t="s">
        <v>77</v>
      </c>
      <c r="B198" t="s">
        <v>78</v>
      </c>
      <c r="C198" t="s">
        <v>110</v>
      </c>
      <c r="D198" t="s">
        <v>55</v>
      </c>
      <c r="E198">
        <v>1</v>
      </c>
      <c r="F198" t="s">
        <v>79</v>
      </c>
      <c r="G198" s="8">
        <v>18.100000000000001</v>
      </c>
      <c r="H198">
        <v>0.79</v>
      </c>
      <c r="J198">
        <v>13.68</v>
      </c>
      <c r="K198">
        <v>282.89999999999998</v>
      </c>
      <c r="L198">
        <v>3</v>
      </c>
      <c r="M198" s="9">
        <v>316.536</v>
      </c>
      <c r="N198" s="4">
        <v>2048340000000000</v>
      </c>
    </row>
    <row r="199" spans="1:36" x14ac:dyDescent="0.2">
      <c r="A199" t="s">
        <v>77</v>
      </c>
      <c r="B199" t="s">
        <v>78</v>
      </c>
      <c r="C199" t="s">
        <v>110</v>
      </c>
      <c r="D199" t="s">
        <v>55</v>
      </c>
      <c r="E199">
        <v>1</v>
      </c>
      <c r="F199" t="s">
        <v>79</v>
      </c>
      <c r="G199" s="8">
        <v>18.100000000000001</v>
      </c>
      <c r="H199">
        <v>0.79</v>
      </c>
      <c r="J199">
        <v>13.68</v>
      </c>
      <c r="K199">
        <v>282.89999999999998</v>
      </c>
      <c r="L199">
        <v>7</v>
      </c>
      <c r="M199" s="10">
        <f>0.12518*60*60</f>
        <v>450.64800000000002</v>
      </c>
      <c r="N199" s="4">
        <v>301922000000000</v>
      </c>
      <c r="AA199">
        <f t="shared" ref="AA199:AA211" si="147">(G199-G$198)/G$198</f>
        <v>0</v>
      </c>
      <c r="AB199">
        <f t="shared" ref="AB199:AB211" si="148">(H199-H$198)/H$198</f>
        <v>0</v>
      </c>
      <c r="AC199" t="e">
        <f t="shared" ref="AC199:AC211" si="149">(I199-I$198)/I$198</f>
        <v>#DIV/0!</v>
      </c>
      <c r="AD199">
        <f t="shared" ref="AD199:AD211" si="150">(J199-J$198)/J$198</f>
        <v>0</v>
      </c>
      <c r="AE199">
        <f t="shared" ref="AE199:AF211" si="151">(L199-L$198)/L$198</f>
        <v>1.3333333333333333</v>
      </c>
      <c r="AF199">
        <f t="shared" si="151"/>
        <v>0.42368640533778157</v>
      </c>
      <c r="AG199">
        <f>(N199-N$198)/N$198</f>
        <v>-0.85260161887186703</v>
      </c>
      <c r="AH199" t="e">
        <f>(O199-O$198)/O$198</f>
        <v>#DIV/0!</v>
      </c>
    </row>
    <row r="200" spans="1:36" x14ac:dyDescent="0.2">
      <c r="A200" t="s">
        <v>77</v>
      </c>
      <c r="B200" t="s">
        <v>78</v>
      </c>
      <c r="C200" t="s">
        <v>110</v>
      </c>
      <c r="D200" t="s">
        <v>55</v>
      </c>
      <c r="E200">
        <v>1</v>
      </c>
      <c r="F200" t="s">
        <v>79</v>
      </c>
      <c r="G200" s="8">
        <v>18.100000000000001</v>
      </c>
      <c r="H200">
        <v>0.79</v>
      </c>
      <c r="J200">
        <v>13.68</v>
      </c>
      <c r="K200">
        <v>282.89999999999998</v>
      </c>
      <c r="L200">
        <v>30</v>
      </c>
      <c r="M200" s="10">
        <f>0.33939*60*60</f>
        <v>1221.8040000000001</v>
      </c>
      <c r="N200" s="4">
        <v>458823000000000</v>
      </c>
      <c r="AA200">
        <f t="shared" si="147"/>
        <v>0</v>
      </c>
      <c r="AB200">
        <f t="shared" si="148"/>
        <v>0</v>
      </c>
      <c r="AC200" t="e">
        <f t="shared" si="149"/>
        <v>#DIV/0!</v>
      </c>
      <c r="AD200">
        <f t="shared" si="150"/>
        <v>0</v>
      </c>
      <c r="AE200">
        <f t="shared" si="151"/>
        <v>9</v>
      </c>
      <c r="AF200">
        <f t="shared" si="151"/>
        <v>2.8599211464098873</v>
      </c>
      <c r="AG200">
        <f t="shared" ref="AG200:AH211" si="152">(N200-N$198)/N$198</f>
        <v>-0.77600251911303786</v>
      </c>
      <c r="AH200" t="e">
        <f t="shared" si="152"/>
        <v>#DIV/0!</v>
      </c>
    </row>
    <row r="201" spans="1:36" x14ac:dyDescent="0.2">
      <c r="A201" t="s">
        <v>77</v>
      </c>
      <c r="B201" t="s">
        <v>78</v>
      </c>
      <c r="C201" t="s">
        <v>110</v>
      </c>
      <c r="D201" t="s">
        <v>55</v>
      </c>
      <c r="E201">
        <v>1</v>
      </c>
      <c r="F201" t="s">
        <v>79</v>
      </c>
      <c r="G201" s="8">
        <v>18.100000000000001</v>
      </c>
      <c r="H201">
        <v>0.79</v>
      </c>
      <c r="J201">
        <v>13.68</v>
      </c>
      <c r="K201">
        <v>282.89999999999998</v>
      </c>
      <c r="L201">
        <v>50</v>
      </c>
      <c r="M201" s="9">
        <v>2096.518</v>
      </c>
      <c r="N201" s="4">
        <v>700478000000000</v>
      </c>
      <c r="AA201">
        <f t="shared" si="147"/>
        <v>0</v>
      </c>
      <c r="AB201">
        <f t="shared" si="148"/>
        <v>0</v>
      </c>
      <c r="AC201" t="e">
        <f t="shared" si="149"/>
        <v>#DIV/0!</v>
      </c>
      <c r="AD201">
        <f t="shared" si="150"/>
        <v>0</v>
      </c>
      <c r="AE201">
        <f t="shared" si="151"/>
        <v>15.666666666666666</v>
      </c>
      <c r="AF201">
        <f t="shared" si="151"/>
        <v>5.6233161472944628</v>
      </c>
      <c r="AG201">
        <f t="shared" si="152"/>
        <v>-0.65802649950691783</v>
      </c>
      <c r="AH201" t="e">
        <f t="shared" si="152"/>
        <v>#DIV/0!</v>
      </c>
    </row>
    <row r="202" spans="1:36" x14ac:dyDescent="0.2">
      <c r="A202" t="s">
        <v>77</v>
      </c>
      <c r="B202" t="s">
        <v>78</v>
      </c>
      <c r="C202" t="s">
        <v>110</v>
      </c>
      <c r="D202" t="s">
        <v>55</v>
      </c>
      <c r="E202">
        <v>1</v>
      </c>
      <c r="F202" t="s">
        <v>79</v>
      </c>
      <c r="G202" s="8">
        <v>18.100000000000001</v>
      </c>
      <c r="H202">
        <v>0.79</v>
      </c>
      <c r="J202">
        <v>13.68</v>
      </c>
      <c r="K202">
        <v>282.89999999999998</v>
      </c>
      <c r="L202">
        <v>65</v>
      </c>
      <c r="M202" s="9">
        <v>2752.5540000000001</v>
      </c>
      <c r="N202" s="4">
        <v>1590330000000000</v>
      </c>
      <c r="AA202">
        <f t="shared" si="147"/>
        <v>0</v>
      </c>
      <c r="AB202">
        <f t="shared" si="148"/>
        <v>0</v>
      </c>
      <c r="AC202" t="e">
        <f t="shared" si="149"/>
        <v>#DIV/0!</v>
      </c>
      <c r="AD202">
        <f t="shared" si="150"/>
        <v>0</v>
      </c>
      <c r="AE202">
        <f t="shared" si="151"/>
        <v>20.666666666666668</v>
      </c>
      <c r="AF202">
        <f t="shared" si="151"/>
        <v>7.695863977557055</v>
      </c>
      <c r="AG202">
        <f t="shared" si="152"/>
        <v>-0.22360057412343654</v>
      </c>
      <c r="AH202" t="e">
        <f t="shared" si="152"/>
        <v>#DIV/0!</v>
      </c>
    </row>
    <row r="203" spans="1:36" x14ac:dyDescent="0.2">
      <c r="A203" t="s">
        <v>77</v>
      </c>
      <c r="B203" t="s">
        <v>78</v>
      </c>
      <c r="C203" t="s">
        <v>110</v>
      </c>
      <c r="D203" t="s">
        <v>55</v>
      </c>
      <c r="E203">
        <v>1</v>
      </c>
      <c r="F203" t="s">
        <v>79</v>
      </c>
      <c r="G203" s="8">
        <v>18.100000000000001</v>
      </c>
      <c r="H203">
        <v>0.79</v>
      </c>
      <c r="J203">
        <v>13.68</v>
      </c>
      <c r="K203">
        <v>282.89999999999998</v>
      </c>
      <c r="L203">
        <v>85</v>
      </c>
      <c r="M203" s="10">
        <f>1.00756*60*60</f>
        <v>3627.2159999999999</v>
      </c>
      <c r="N203" s="4">
        <v>1500590000000000</v>
      </c>
      <c r="AA203">
        <f t="shared" si="147"/>
        <v>0</v>
      </c>
      <c r="AB203">
        <f t="shared" si="148"/>
        <v>0</v>
      </c>
      <c r="AC203" t="e">
        <f t="shared" si="149"/>
        <v>#DIV/0!</v>
      </c>
      <c r="AD203">
        <f t="shared" si="150"/>
        <v>0</v>
      </c>
      <c r="AE203">
        <f t="shared" si="151"/>
        <v>27.333333333333332</v>
      </c>
      <c r="AF203">
        <f t="shared" si="151"/>
        <v>10.459094700128894</v>
      </c>
      <c r="AG203">
        <f t="shared" si="152"/>
        <v>-0.26741166017360402</v>
      </c>
      <c r="AH203" t="e">
        <f t="shared" si="152"/>
        <v>#DIV/0!</v>
      </c>
    </row>
    <row r="204" spans="1:36" x14ac:dyDescent="0.2">
      <c r="A204" t="s">
        <v>77</v>
      </c>
      <c r="B204" t="s">
        <v>78</v>
      </c>
      <c r="C204" t="s">
        <v>110</v>
      </c>
      <c r="D204" t="s">
        <v>55</v>
      </c>
      <c r="E204">
        <v>1</v>
      </c>
      <c r="F204" t="s">
        <v>79</v>
      </c>
      <c r="G204" s="8">
        <v>18.100000000000001</v>
      </c>
      <c r="H204">
        <v>0.79</v>
      </c>
      <c r="J204">
        <v>13.68</v>
      </c>
      <c r="K204">
        <v>282.89999999999998</v>
      </c>
      <c r="L204">
        <v>100</v>
      </c>
      <c r="M204" s="10">
        <f>1.23901*60*60</f>
        <v>4460.4359999999997</v>
      </c>
      <c r="N204" s="4">
        <v>1233600000000000</v>
      </c>
      <c r="AA204">
        <f t="shared" si="147"/>
        <v>0</v>
      </c>
      <c r="AB204">
        <f t="shared" si="148"/>
        <v>0</v>
      </c>
      <c r="AC204" t="e">
        <f t="shared" si="149"/>
        <v>#DIV/0!</v>
      </c>
      <c r="AD204">
        <f t="shared" si="150"/>
        <v>0</v>
      </c>
      <c r="AE204">
        <f t="shared" si="151"/>
        <v>32.333333333333336</v>
      </c>
      <c r="AF204">
        <f t="shared" si="151"/>
        <v>13.091401925847295</v>
      </c>
      <c r="AG204">
        <f t="shared" si="152"/>
        <v>-0.39775623187556752</v>
      </c>
      <c r="AH204" t="e">
        <f t="shared" si="152"/>
        <v>#DIV/0!</v>
      </c>
    </row>
    <row r="205" spans="1:36" x14ac:dyDescent="0.2">
      <c r="A205" t="s">
        <v>77</v>
      </c>
      <c r="B205" t="s">
        <v>78</v>
      </c>
      <c r="C205" t="s">
        <v>110</v>
      </c>
      <c r="D205" t="s">
        <v>55</v>
      </c>
      <c r="E205">
        <v>1</v>
      </c>
      <c r="F205" t="s">
        <v>80</v>
      </c>
      <c r="G205" s="8">
        <v>11.3</v>
      </c>
      <c r="H205">
        <v>0.53</v>
      </c>
      <c r="J205">
        <f t="shared" ref="J205:J211" si="153">14.25</f>
        <v>14.25</v>
      </c>
      <c r="K205">
        <v>282.89999999999998</v>
      </c>
      <c r="L205">
        <v>3</v>
      </c>
      <c r="M205" s="9">
        <v>316.536</v>
      </c>
      <c r="N205" s="4">
        <v>772116000000000</v>
      </c>
      <c r="AA205">
        <f t="shared" si="147"/>
        <v>-0.37569060773480661</v>
      </c>
      <c r="AB205">
        <f t="shared" si="148"/>
        <v>-0.32911392405063289</v>
      </c>
      <c r="AC205" t="e">
        <f t="shared" si="149"/>
        <v>#DIV/0!</v>
      </c>
      <c r="AD205">
        <f t="shared" si="150"/>
        <v>4.1666666666666685E-2</v>
      </c>
      <c r="AE205">
        <f t="shared" si="151"/>
        <v>0</v>
      </c>
      <c r="AF205">
        <f t="shared" si="151"/>
        <v>0</v>
      </c>
      <c r="AG205">
        <f t="shared" si="152"/>
        <v>-0.62305281349775921</v>
      </c>
      <c r="AH205" t="e">
        <f t="shared" si="152"/>
        <v>#DIV/0!</v>
      </c>
    </row>
    <row r="206" spans="1:36" x14ac:dyDescent="0.2">
      <c r="A206" t="s">
        <v>77</v>
      </c>
      <c r="B206" t="s">
        <v>78</v>
      </c>
      <c r="C206" t="s">
        <v>110</v>
      </c>
      <c r="D206" t="s">
        <v>55</v>
      </c>
      <c r="E206">
        <v>1</v>
      </c>
      <c r="F206" t="s">
        <v>80</v>
      </c>
      <c r="G206" s="8">
        <v>11.3</v>
      </c>
      <c r="H206">
        <v>0.53</v>
      </c>
      <c r="J206">
        <f t="shared" si="153"/>
        <v>14.25</v>
      </c>
      <c r="K206">
        <v>282.89999999999998</v>
      </c>
      <c r="L206">
        <v>7</v>
      </c>
      <c r="M206" s="10">
        <f>0.12518*60*60</f>
        <v>450.64800000000002</v>
      </c>
      <c r="N206" s="4">
        <v>120377000000000</v>
      </c>
      <c r="AA206">
        <f t="shared" si="147"/>
        <v>-0.37569060773480661</v>
      </c>
      <c r="AB206">
        <f t="shared" si="148"/>
        <v>-0.32911392405063289</v>
      </c>
      <c r="AC206" t="e">
        <f t="shared" si="149"/>
        <v>#DIV/0!</v>
      </c>
      <c r="AD206">
        <f t="shared" si="150"/>
        <v>4.1666666666666685E-2</v>
      </c>
      <c r="AE206">
        <f t="shared" si="151"/>
        <v>1.3333333333333333</v>
      </c>
      <c r="AF206">
        <f t="shared" si="151"/>
        <v>0.42368640533778157</v>
      </c>
      <c r="AG206">
        <f t="shared" si="152"/>
        <v>-0.94123192438755288</v>
      </c>
      <c r="AH206" t="e">
        <f t="shared" si="152"/>
        <v>#DIV/0!</v>
      </c>
    </row>
    <row r="207" spans="1:36" x14ac:dyDescent="0.2">
      <c r="A207" t="s">
        <v>77</v>
      </c>
      <c r="B207" t="s">
        <v>78</v>
      </c>
      <c r="C207" t="s">
        <v>110</v>
      </c>
      <c r="D207" t="s">
        <v>55</v>
      </c>
      <c r="E207">
        <v>1</v>
      </c>
      <c r="F207" t="s">
        <v>80</v>
      </c>
      <c r="G207" s="8">
        <v>11.3</v>
      </c>
      <c r="H207">
        <v>0.53</v>
      </c>
      <c r="J207">
        <f t="shared" si="153"/>
        <v>14.25</v>
      </c>
      <c r="K207">
        <v>282.89999999999998</v>
      </c>
      <c r="L207">
        <v>30</v>
      </c>
      <c r="M207" s="10">
        <f>0.33939*60*60</f>
        <v>1221.8040000000001</v>
      </c>
      <c r="N207" s="4">
        <v>311177000000000</v>
      </c>
      <c r="AA207">
        <f t="shared" si="147"/>
        <v>-0.37569060773480661</v>
      </c>
      <c r="AB207">
        <f t="shared" si="148"/>
        <v>-0.32911392405063289</v>
      </c>
      <c r="AC207" t="e">
        <f t="shared" si="149"/>
        <v>#DIV/0!</v>
      </c>
      <c r="AD207">
        <f t="shared" si="150"/>
        <v>4.1666666666666685E-2</v>
      </c>
      <c r="AE207">
        <f t="shared" si="151"/>
        <v>9</v>
      </c>
      <c r="AF207">
        <f t="shared" si="151"/>
        <v>2.8599211464098873</v>
      </c>
      <c r="AG207">
        <f t="shared" si="152"/>
        <v>-0.84808332601033032</v>
      </c>
      <c r="AH207" t="e">
        <f t="shared" si="152"/>
        <v>#DIV/0!</v>
      </c>
    </row>
    <row r="208" spans="1:36" x14ac:dyDescent="0.2">
      <c r="A208" t="s">
        <v>77</v>
      </c>
      <c r="B208" t="s">
        <v>78</v>
      </c>
      <c r="C208" t="s">
        <v>110</v>
      </c>
      <c r="D208" t="s">
        <v>55</v>
      </c>
      <c r="E208">
        <v>1</v>
      </c>
      <c r="F208" t="s">
        <v>80</v>
      </c>
      <c r="G208" s="8">
        <v>11.3</v>
      </c>
      <c r="H208">
        <v>0.53</v>
      </c>
      <c r="J208">
        <f t="shared" si="153"/>
        <v>14.25</v>
      </c>
      <c r="K208">
        <v>282.89999999999998</v>
      </c>
      <c r="L208">
        <v>50</v>
      </c>
      <c r="M208" s="9">
        <v>2096.518</v>
      </c>
      <c r="N208" s="4">
        <v>557079000000000</v>
      </c>
      <c r="AA208">
        <f t="shared" si="147"/>
        <v>-0.37569060773480661</v>
      </c>
      <c r="AB208">
        <f t="shared" si="148"/>
        <v>-0.32911392405063289</v>
      </c>
      <c r="AC208" t="e">
        <f t="shared" si="149"/>
        <v>#DIV/0!</v>
      </c>
      <c r="AD208">
        <f t="shared" si="150"/>
        <v>4.1666666666666685E-2</v>
      </c>
      <c r="AE208">
        <f t="shared" si="151"/>
        <v>15.666666666666666</v>
      </c>
      <c r="AF208">
        <f t="shared" si="151"/>
        <v>5.6233161472944628</v>
      </c>
      <c r="AG208">
        <f t="shared" si="152"/>
        <v>-0.72803392014997514</v>
      </c>
      <c r="AH208" t="e">
        <f t="shared" si="152"/>
        <v>#DIV/0!</v>
      </c>
    </row>
    <row r="209" spans="1:34" x14ac:dyDescent="0.2">
      <c r="A209" t="s">
        <v>77</v>
      </c>
      <c r="B209" t="s">
        <v>78</v>
      </c>
      <c r="C209" t="s">
        <v>110</v>
      </c>
      <c r="D209" t="s">
        <v>55</v>
      </c>
      <c r="E209">
        <v>1</v>
      </c>
      <c r="F209" t="s">
        <v>80</v>
      </c>
      <c r="G209" s="8">
        <v>11.3</v>
      </c>
      <c r="H209">
        <v>0.53</v>
      </c>
      <c r="J209">
        <f t="shared" si="153"/>
        <v>14.25</v>
      </c>
      <c r="K209">
        <v>282.89999999999998</v>
      </c>
      <c r="L209">
        <v>65</v>
      </c>
      <c r="M209" s="9">
        <v>2752.5540000000001</v>
      </c>
      <c r="N209" s="4">
        <v>1398980000000000</v>
      </c>
      <c r="AA209">
        <f t="shared" si="147"/>
        <v>-0.37569060773480661</v>
      </c>
      <c r="AB209">
        <f t="shared" si="148"/>
        <v>-0.32911392405063289</v>
      </c>
      <c r="AC209" t="e">
        <f t="shared" si="149"/>
        <v>#DIV/0!</v>
      </c>
      <c r="AD209">
        <f t="shared" si="150"/>
        <v>4.1666666666666685E-2</v>
      </c>
      <c r="AE209">
        <f t="shared" si="151"/>
        <v>20.666666666666668</v>
      </c>
      <c r="AF209">
        <f t="shared" si="151"/>
        <v>7.695863977557055</v>
      </c>
      <c r="AG209">
        <f t="shared" si="152"/>
        <v>-0.31701768261128521</v>
      </c>
      <c r="AH209" t="e">
        <f t="shared" si="152"/>
        <v>#DIV/0!</v>
      </c>
    </row>
    <row r="210" spans="1:34" x14ac:dyDescent="0.2">
      <c r="A210" t="s">
        <v>77</v>
      </c>
      <c r="B210" t="s">
        <v>78</v>
      </c>
      <c r="C210" t="s">
        <v>110</v>
      </c>
      <c r="D210" t="s">
        <v>55</v>
      </c>
      <c r="E210">
        <v>1</v>
      </c>
      <c r="F210" t="s">
        <v>80</v>
      </c>
      <c r="G210" s="8">
        <v>11.3</v>
      </c>
      <c r="H210">
        <v>0.53</v>
      </c>
      <c r="J210">
        <f t="shared" si="153"/>
        <v>14.25</v>
      </c>
      <c r="K210">
        <v>282.89999999999998</v>
      </c>
      <c r="L210">
        <v>85</v>
      </c>
      <c r="M210" s="10">
        <f>1.00756*60*60</f>
        <v>3627.2159999999999</v>
      </c>
      <c r="N210" s="4">
        <v>1344380000000000</v>
      </c>
      <c r="AA210">
        <f t="shared" si="147"/>
        <v>-0.37569060773480661</v>
      </c>
      <c r="AB210">
        <f t="shared" si="148"/>
        <v>-0.32911392405063289</v>
      </c>
      <c r="AC210" t="e">
        <f t="shared" si="149"/>
        <v>#DIV/0!</v>
      </c>
      <c r="AD210">
        <f t="shared" si="150"/>
        <v>4.1666666666666685E-2</v>
      </c>
      <c r="AE210">
        <f t="shared" si="151"/>
        <v>27.333333333333332</v>
      </c>
      <c r="AF210">
        <f t="shared" si="151"/>
        <v>10.459094700128894</v>
      </c>
      <c r="AG210">
        <f t="shared" si="152"/>
        <v>-0.34367341359344639</v>
      </c>
      <c r="AH210" t="e">
        <f t="shared" si="152"/>
        <v>#DIV/0!</v>
      </c>
    </row>
    <row r="211" spans="1:34" x14ac:dyDescent="0.2">
      <c r="A211" t="s">
        <v>77</v>
      </c>
      <c r="B211" t="s">
        <v>78</v>
      </c>
      <c r="C211" t="s">
        <v>110</v>
      </c>
      <c r="D211" t="s">
        <v>55</v>
      </c>
      <c r="E211">
        <v>1</v>
      </c>
      <c r="F211" t="s">
        <v>80</v>
      </c>
      <c r="G211" s="8">
        <v>11.3</v>
      </c>
      <c r="H211">
        <v>0.53</v>
      </c>
      <c r="J211">
        <f t="shared" si="153"/>
        <v>14.25</v>
      </c>
      <c r="K211">
        <v>282.89999999999998</v>
      </c>
      <c r="L211">
        <v>100</v>
      </c>
      <c r="M211">
        <f>1.23901*60*60</f>
        <v>4460.4359999999997</v>
      </c>
      <c r="N211" s="4">
        <v>1149430000000000</v>
      </c>
      <c r="AA211">
        <f t="shared" si="147"/>
        <v>-0.37569060773480661</v>
      </c>
      <c r="AB211">
        <f t="shared" si="148"/>
        <v>-0.32911392405063289</v>
      </c>
      <c r="AC211" t="e">
        <f t="shared" si="149"/>
        <v>#DIV/0!</v>
      </c>
      <c r="AD211">
        <f t="shared" si="150"/>
        <v>4.1666666666666685E-2</v>
      </c>
      <c r="AE211">
        <f t="shared" si="151"/>
        <v>32.333333333333336</v>
      </c>
      <c r="AF211">
        <f t="shared" si="151"/>
        <v>13.091401925847295</v>
      </c>
      <c r="AG211">
        <f t="shared" si="152"/>
        <v>-0.43884804280539363</v>
      </c>
      <c r="AH211" t="e">
        <f t="shared" si="152"/>
        <v>#DIV/0!</v>
      </c>
    </row>
    <row r="212" spans="1:34" x14ac:dyDescent="0.2">
      <c r="A212" t="s">
        <v>82</v>
      </c>
      <c r="B212" t="s">
        <v>83</v>
      </c>
      <c r="C212" t="s">
        <v>110</v>
      </c>
      <c r="D212" t="s">
        <v>86</v>
      </c>
      <c r="E212">
        <v>1</v>
      </c>
      <c r="F212" t="s">
        <v>87</v>
      </c>
      <c r="G212">
        <v>18.2</v>
      </c>
      <c r="H212">
        <v>2.2599999999999998</v>
      </c>
      <c r="I212">
        <v>315</v>
      </c>
      <c r="J212">
        <v>13.65</v>
      </c>
      <c r="L212">
        <v>7</v>
      </c>
      <c r="N212" s="4"/>
    </row>
    <row r="213" spans="1:34" x14ac:dyDescent="0.2">
      <c r="A213" t="s">
        <v>82</v>
      </c>
      <c r="B213" t="s">
        <v>83</v>
      </c>
      <c r="C213" t="s">
        <v>110</v>
      </c>
      <c r="D213" t="s">
        <v>86</v>
      </c>
      <c r="E213">
        <v>1</v>
      </c>
      <c r="F213" t="s">
        <v>88</v>
      </c>
      <c r="G213">
        <v>16.899999999999999</v>
      </c>
      <c r="H213">
        <f>2.03</f>
        <v>2.0299999999999998</v>
      </c>
      <c r="I213">
        <v>281</v>
      </c>
      <c r="J213">
        <f>13.65*0.1 + 15.46*0.9</f>
        <v>15.279000000000002</v>
      </c>
      <c r="L213">
        <v>7</v>
      </c>
      <c r="AA213" t="e">
        <f t="shared" ref="AA213:AA221" si="154">(K213-K$212)/K$212</f>
        <v>#DIV/0!</v>
      </c>
      <c r="AB213">
        <f t="shared" ref="AB213:AB221" si="155">(G213-G$212)/G$212</f>
        <v>-7.1428571428571466E-2</v>
      </c>
      <c r="AC213">
        <f t="shared" ref="AC213:AC221" si="156">(H213-H$212)/H$212</f>
        <v>-0.10176991150442478</v>
      </c>
      <c r="AD213">
        <f t="shared" ref="AD213:AD221" si="157">(I213-I$212)/I$212</f>
        <v>-0.10793650793650794</v>
      </c>
      <c r="AE213">
        <f t="shared" ref="AE213:AE221" si="158">(J213-J$212)/J$212</f>
        <v>0.11934065934065943</v>
      </c>
      <c r="AF213">
        <f>(L213-L$212)/L$212</f>
        <v>0</v>
      </c>
      <c r="AG213">
        <f>1.1-1</f>
        <v>0.10000000000000009</v>
      </c>
      <c r="AH213">
        <f>1.1-1</f>
        <v>0.10000000000000009</v>
      </c>
    </row>
    <row r="214" spans="1:34" x14ac:dyDescent="0.2">
      <c r="A214" t="s">
        <v>82</v>
      </c>
      <c r="B214" t="s">
        <v>83</v>
      </c>
      <c r="C214" t="s">
        <v>110</v>
      </c>
      <c r="D214" t="s">
        <v>86</v>
      </c>
      <c r="E214">
        <v>1</v>
      </c>
      <c r="F214" t="s">
        <v>89</v>
      </c>
      <c r="G214">
        <v>14.2</v>
      </c>
      <c r="H214">
        <f>1.68</f>
        <v>1.68</v>
      </c>
      <c r="I214">
        <v>263</v>
      </c>
      <c r="J214">
        <f>13.65*0.2 + 15.46*0.8</f>
        <v>15.098000000000003</v>
      </c>
      <c r="L214">
        <v>7</v>
      </c>
      <c r="N214" s="3"/>
      <c r="AA214" t="e">
        <f t="shared" si="154"/>
        <v>#DIV/0!</v>
      </c>
      <c r="AB214">
        <f t="shared" si="155"/>
        <v>-0.21978021978021978</v>
      </c>
      <c r="AC214">
        <f t="shared" si="156"/>
        <v>-0.25663716814159288</v>
      </c>
      <c r="AD214">
        <f t="shared" si="157"/>
        <v>-0.16507936507936508</v>
      </c>
      <c r="AE214">
        <f t="shared" si="158"/>
        <v>0.10608058608058624</v>
      </c>
      <c r="AF214">
        <f t="shared" ref="AF214:AF221" si="159">(L214-L$212)/L$212</f>
        <v>0</v>
      </c>
      <c r="AG214">
        <f>0.64-1</f>
        <v>-0.36</v>
      </c>
      <c r="AH214">
        <f>0.64-1</f>
        <v>-0.36</v>
      </c>
    </row>
    <row r="215" spans="1:34" x14ac:dyDescent="0.2">
      <c r="A215" t="s">
        <v>82</v>
      </c>
      <c r="B215" t="s">
        <v>83</v>
      </c>
      <c r="C215" t="s">
        <v>110</v>
      </c>
      <c r="D215" t="s">
        <v>86</v>
      </c>
      <c r="E215">
        <v>1</v>
      </c>
      <c r="F215" t="s">
        <v>90</v>
      </c>
      <c r="G215">
        <v>12</v>
      </c>
      <c r="H215">
        <v>1.5</v>
      </c>
      <c r="I215">
        <v>231</v>
      </c>
      <c r="J215">
        <f>13.65*0.3 + 15.46*0.7</f>
        <v>14.916999999999998</v>
      </c>
      <c r="L215">
        <v>7</v>
      </c>
      <c r="N215" s="3"/>
      <c r="AA215" t="e">
        <f t="shared" si="154"/>
        <v>#DIV/0!</v>
      </c>
      <c r="AB215">
        <f t="shared" si="155"/>
        <v>-0.34065934065934061</v>
      </c>
      <c r="AC215">
        <f t="shared" si="156"/>
        <v>-0.33628318584070788</v>
      </c>
      <c r="AD215">
        <f t="shared" si="157"/>
        <v>-0.26666666666666666</v>
      </c>
      <c r="AE215">
        <f t="shared" si="158"/>
        <v>9.2820512820512652E-2</v>
      </c>
      <c r="AF215">
        <f t="shared" si="159"/>
        <v>0</v>
      </c>
      <c r="AG215">
        <f>0.58-1</f>
        <v>-0.42000000000000004</v>
      </c>
      <c r="AH215">
        <f>0.58-1</f>
        <v>-0.42000000000000004</v>
      </c>
    </row>
    <row r="216" spans="1:34" x14ac:dyDescent="0.2">
      <c r="A216" t="s">
        <v>82</v>
      </c>
      <c r="B216" t="s">
        <v>83</v>
      </c>
      <c r="C216" t="s">
        <v>110</v>
      </c>
      <c r="D216" t="s">
        <v>86</v>
      </c>
      <c r="E216">
        <v>1</v>
      </c>
      <c r="F216" t="s">
        <v>91</v>
      </c>
      <c r="G216">
        <v>8.3000000000000007</v>
      </c>
      <c r="H216">
        <f>1.26</f>
        <v>1.26</v>
      </c>
      <c r="I216">
        <v>170</v>
      </c>
      <c r="J216">
        <f>13.65*0.5 + 15.46*0.5</f>
        <v>14.555</v>
      </c>
      <c r="L216">
        <v>7</v>
      </c>
      <c r="N216" s="3"/>
      <c r="AA216" t="e">
        <f t="shared" si="154"/>
        <v>#DIV/0!</v>
      </c>
      <c r="AB216">
        <f t="shared" si="155"/>
        <v>-0.54395604395604391</v>
      </c>
      <c r="AC216">
        <f t="shared" si="156"/>
        <v>-0.44247787610619466</v>
      </c>
      <c r="AD216">
        <f t="shared" si="157"/>
        <v>-0.46031746031746029</v>
      </c>
      <c r="AE216">
        <f t="shared" si="158"/>
        <v>6.6300366300366245E-2</v>
      </c>
      <c r="AF216">
        <f t="shared" si="159"/>
        <v>0</v>
      </c>
      <c r="AG216">
        <f>0.37-1</f>
        <v>-0.63</v>
      </c>
      <c r="AH216">
        <f>0.37-1</f>
        <v>-0.63</v>
      </c>
    </row>
    <row r="217" spans="1:34" x14ac:dyDescent="0.2">
      <c r="A217" t="s">
        <v>82</v>
      </c>
      <c r="B217" t="s">
        <v>83</v>
      </c>
      <c r="C217" t="s">
        <v>110</v>
      </c>
      <c r="D217" t="s">
        <v>86</v>
      </c>
      <c r="E217">
        <v>1</v>
      </c>
      <c r="F217" t="s">
        <v>92</v>
      </c>
      <c r="G217">
        <v>20.399999999999999</v>
      </c>
      <c r="H217">
        <v>0.03</v>
      </c>
      <c r="I217">
        <v>100</v>
      </c>
      <c r="J217">
        <f>13.65</f>
        <v>13.65</v>
      </c>
      <c r="L217">
        <v>7</v>
      </c>
      <c r="N217" s="2"/>
      <c r="AA217" t="e">
        <f t="shared" si="154"/>
        <v>#DIV/0!</v>
      </c>
      <c r="AB217">
        <f t="shared" si="155"/>
        <v>0.12087912087912084</v>
      </c>
      <c r="AC217">
        <f t="shared" si="156"/>
        <v>-0.98672566371681425</v>
      </c>
      <c r="AD217">
        <f t="shared" si="157"/>
        <v>-0.68253968253968256</v>
      </c>
      <c r="AE217">
        <f t="shared" si="158"/>
        <v>0</v>
      </c>
      <c r="AF217">
        <f t="shared" si="159"/>
        <v>0</v>
      </c>
      <c r="AG217">
        <f>1.49-1</f>
        <v>0.49</v>
      </c>
      <c r="AH217">
        <f>1.49-1</f>
        <v>0.49</v>
      </c>
    </row>
    <row r="218" spans="1:34" x14ac:dyDescent="0.2">
      <c r="A218" t="s">
        <v>82</v>
      </c>
      <c r="B218" t="s">
        <v>83</v>
      </c>
      <c r="C218" t="s">
        <v>110</v>
      </c>
      <c r="D218" t="s">
        <v>86</v>
      </c>
      <c r="E218">
        <v>1</v>
      </c>
      <c r="F218" t="s">
        <v>93</v>
      </c>
      <c r="G218">
        <v>18.899999999999999</v>
      </c>
      <c r="H218">
        <v>0.44</v>
      </c>
      <c r="I218">
        <v>100</v>
      </c>
      <c r="J218">
        <f t="shared" ref="J218" si="160">13.65*0.1 + 15.46*0.9</f>
        <v>15.279000000000002</v>
      </c>
      <c r="L218">
        <v>7</v>
      </c>
      <c r="N218" s="3"/>
      <c r="AA218" t="e">
        <f t="shared" si="154"/>
        <v>#DIV/0!</v>
      </c>
      <c r="AB218">
        <f t="shared" si="155"/>
        <v>3.8461538461538422E-2</v>
      </c>
      <c r="AC218">
        <f t="shared" si="156"/>
        <v>-0.80530973451327437</v>
      </c>
      <c r="AD218">
        <f t="shared" si="157"/>
        <v>-0.68253968253968256</v>
      </c>
      <c r="AE218">
        <f t="shared" si="158"/>
        <v>0.11934065934065943</v>
      </c>
      <c r="AF218">
        <f t="shared" si="159"/>
        <v>0</v>
      </c>
      <c r="AG218">
        <f>1.14-1</f>
        <v>0.1399999999999999</v>
      </c>
      <c r="AH218">
        <f>1.14-1</f>
        <v>0.1399999999999999</v>
      </c>
    </row>
    <row r="219" spans="1:34" x14ac:dyDescent="0.2">
      <c r="A219" t="s">
        <v>82</v>
      </c>
      <c r="B219" t="s">
        <v>83</v>
      </c>
      <c r="C219" t="s">
        <v>110</v>
      </c>
      <c r="D219" t="s">
        <v>86</v>
      </c>
      <c r="E219">
        <v>1</v>
      </c>
      <c r="F219" t="s">
        <v>94</v>
      </c>
      <c r="G219">
        <v>15.7</v>
      </c>
      <c r="H219">
        <v>0.4</v>
      </c>
      <c r="I219">
        <v>100</v>
      </c>
      <c r="J219">
        <f>13.46*0.2 + 15.46*0.8</f>
        <v>15.060000000000002</v>
      </c>
      <c r="L219">
        <v>7</v>
      </c>
      <c r="N219" s="3"/>
      <c r="AA219" t="e">
        <f t="shared" si="154"/>
        <v>#DIV/0!</v>
      </c>
      <c r="AB219">
        <f t="shared" si="155"/>
        <v>-0.13736263736263737</v>
      </c>
      <c r="AC219">
        <f t="shared" si="156"/>
        <v>-0.82300884955752218</v>
      </c>
      <c r="AD219">
        <f t="shared" si="157"/>
        <v>-0.68253968253968256</v>
      </c>
      <c r="AE219">
        <f t="shared" si="158"/>
        <v>0.10329670329670343</v>
      </c>
      <c r="AF219">
        <f t="shared" si="159"/>
        <v>0</v>
      </c>
      <c r="AG219">
        <f>0.91-1</f>
        <v>-8.9999999999999969E-2</v>
      </c>
      <c r="AH219">
        <f>0.91-1</f>
        <v>-8.9999999999999969E-2</v>
      </c>
    </row>
    <row r="220" spans="1:34" x14ac:dyDescent="0.2">
      <c r="A220" t="s">
        <v>82</v>
      </c>
      <c r="B220" t="s">
        <v>83</v>
      </c>
      <c r="C220" t="s">
        <v>110</v>
      </c>
      <c r="D220" t="s">
        <v>86</v>
      </c>
      <c r="E220">
        <v>1</v>
      </c>
      <c r="F220" t="s">
        <v>95</v>
      </c>
      <c r="G220">
        <v>14.3</v>
      </c>
      <c r="H220">
        <v>0.35</v>
      </c>
      <c r="I220">
        <v>100</v>
      </c>
      <c r="J220">
        <f>13.46*0.3 + 15.46*0.7</f>
        <v>14.86</v>
      </c>
      <c r="L220">
        <v>7</v>
      </c>
      <c r="N220" s="3"/>
      <c r="AA220" t="e">
        <f t="shared" si="154"/>
        <v>#DIV/0!</v>
      </c>
      <c r="AB220">
        <f t="shared" si="155"/>
        <v>-0.21428571428571422</v>
      </c>
      <c r="AC220">
        <f t="shared" si="156"/>
        <v>-0.84513274336283184</v>
      </c>
      <c r="AD220">
        <f t="shared" si="157"/>
        <v>-0.68253968253968256</v>
      </c>
      <c r="AE220">
        <f t="shared" si="158"/>
        <v>8.864468864468858E-2</v>
      </c>
      <c r="AF220">
        <f t="shared" si="159"/>
        <v>0</v>
      </c>
      <c r="AG220">
        <f>0.73-1</f>
        <v>-0.27</v>
      </c>
      <c r="AH220">
        <f>0.73-1</f>
        <v>-0.27</v>
      </c>
    </row>
    <row r="221" spans="1:34" x14ac:dyDescent="0.2">
      <c r="A221" t="s">
        <v>82</v>
      </c>
      <c r="B221" t="s">
        <v>83</v>
      </c>
      <c r="C221" t="s">
        <v>110</v>
      </c>
      <c r="D221" t="s">
        <v>86</v>
      </c>
      <c r="E221">
        <v>1</v>
      </c>
      <c r="F221" t="s">
        <v>96</v>
      </c>
      <c r="G221">
        <v>8.5</v>
      </c>
      <c r="H221">
        <v>0.27</v>
      </c>
      <c r="I221">
        <v>100</v>
      </c>
      <c r="J221">
        <f>13.46*0.5 + 15.46*0.5</f>
        <v>14.46</v>
      </c>
      <c r="L221">
        <v>7</v>
      </c>
      <c r="N221" s="3"/>
      <c r="AA221" t="e">
        <f t="shared" si="154"/>
        <v>#DIV/0!</v>
      </c>
      <c r="AB221">
        <f t="shared" si="155"/>
        <v>-0.53296703296703296</v>
      </c>
      <c r="AC221">
        <f t="shared" si="156"/>
        <v>-0.88053097345132747</v>
      </c>
      <c r="AD221">
        <f t="shared" si="157"/>
        <v>-0.68253968253968256</v>
      </c>
      <c r="AE221">
        <f t="shared" si="158"/>
        <v>5.9340659340659373E-2</v>
      </c>
      <c r="AF221">
        <f t="shared" si="159"/>
        <v>0</v>
      </c>
      <c r="AG221">
        <f>0.33-1</f>
        <v>-0.66999999999999993</v>
      </c>
      <c r="AH221">
        <f>0.33-1</f>
        <v>-0.66999999999999993</v>
      </c>
    </row>
    <row r="222" spans="1:34" x14ac:dyDescent="0.2">
      <c r="A222" t="s">
        <v>82</v>
      </c>
      <c r="B222" t="s">
        <v>83</v>
      </c>
      <c r="C222" t="s">
        <v>110</v>
      </c>
      <c r="D222" t="s">
        <v>86</v>
      </c>
      <c r="E222">
        <v>1</v>
      </c>
      <c r="F222" t="s">
        <v>87</v>
      </c>
      <c r="G222">
        <v>18.2</v>
      </c>
      <c r="H222">
        <v>2.2599999999999998</v>
      </c>
      <c r="I222">
        <v>315</v>
      </c>
      <c r="J222">
        <v>13.65</v>
      </c>
      <c r="L222">
        <v>85</v>
      </c>
      <c r="N222" s="3"/>
    </row>
    <row r="223" spans="1:34" x14ac:dyDescent="0.2">
      <c r="A223" t="s">
        <v>82</v>
      </c>
      <c r="B223" t="s">
        <v>83</v>
      </c>
      <c r="C223" t="s">
        <v>110</v>
      </c>
      <c r="D223" t="s">
        <v>86</v>
      </c>
      <c r="E223">
        <v>1</v>
      </c>
      <c r="F223" t="s">
        <v>88</v>
      </c>
      <c r="G223">
        <v>16.899999999999999</v>
      </c>
      <c r="H223">
        <f>2.03</f>
        <v>2.0299999999999998</v>
      </c>
      <c r="I223">
        <v>281</v>
      </c>
      <c r="J223">
        <f>13.65*0.1 + 15.46*0.9</f>
        <v>15.279000000000002</v>
      </c>
      <c r="L223">
        <v>85</v>
      </c>
      <c r="AA223" t="e">
        <f t="shared" ref="AA223:AA231" si="161">(K223-K$222)/K$222</f>
        <v>#DIV/0!</v>
      </c>
      <c r="AB223">
        <f t="shared" ref="AB223:AB231" si="162">(G223-G$222)/G$222</f>
        <v>-7.1428571428571466E-2</v>
      </c>
      <c r="AC223">
        <f t="shared" ref="AC223:AC231" si="163">(H223-H$222)/H$222</f>
        <v>-0.10176991150442478</v>
      </c>
      <c r="AD223">
        <f t="shared" ref="AD223:AD231" si="164">(I223-I$222)/I$222</f>
        <v>-0.10793650793650794</v>
      </c>
      <c r="AE223">
        <f t="shared" ref="AE223:AE231" si="165">(J223-J$222)/J$222</f>
        <v>0.11934065934065943</v>
      </c>
      <c r="AF223">
        <f>(L223-L$222)/L$222</f>
        <v>0</v>
      </c>
      <c r="AG223">
        <f>0.86-1</f>
        <v>-0.14000000000000001</v>
      </c>
      <c r="AH223">
        <f>0.86-1</f>
        <v>-0.14000000000000001</v>
      </c>
    </row>
    <row r="224" spans="1:34" x14ac:dyDescent="0.2">
      <c r="A224" t="s">
        <v>82</v>
      </c>
      <c r="B224" t="s">
        <v>83</v>
      </c>
      <c r="C224" t="s">
        <v>110</v>
      </c>
      <c r="D224" t="s">
        <v>86</v>
      </c>
      <c r="E224">
        <v>1</v>
      </c>
      <c r="F224" t="s">
        <v>89</v>
      </c>
      <c r="G224">
        <v>14.2</v>
      </c>
      <c r="H224">
        <f>1.68</f>
        <v>1.68</v>
      </c>
      <c r="I224">
        <v>263</v>
      </c>
      <c r="J224">
        <f>13.65*0.2 + 15.46*0.8</f>
        <v>15.098000000000003</v>
      </c>
      <c r="L224">
        <v>85</v>
      </c>
      <c r="AA224" t="e">
        <f t="shared" si="161"/>
        <v>#DIV/0!</v>
      </c>
      <c r="AB224">
        <f t="shared" si="162"/>
        <v>-0.21978021978021978</v>
      </c>
      <c r="AC224">
        <f t="shared" si="163"/>
        <v>-0.25663716814159288</v>
      </c>
      <c r="AD224">
        <f t="shared" si="164"/>
        <v>-0.16507936507936508</v>
      </c>
      <c r="AE224">
        <f t="shared" si="165"/>
        <v>0.10608058608058624</v>
      </c>
      <c r="AF224">
        <f t="shared" ref="AF224:AF231" si="166">(L224-L$222)/L$222</f>
        <v>0</v>
      </c>
      <c r="AG224">
        <f>0.71-1</f>
        <v>-0.29000000000000004</v>
      </c>
      <c r="AH224">
        <f>0.71-1</f>
        <v>-0.29000000000000004</v>
      </c>
    </row>
    <row r="225" spans="1:34" x14ac:dyDescent="0.2">
      <c r="A225" t="s">
        <v>82</v>
      </c>
      <c r="B225" t="s">
        <v>83</v>
      </c>
      <c r="C225" t="s">
        <v>110</v>
      </c>
      <c r="D225" t="s">
        <v>86</v>
      </c>
      <c r="E225">
        <v>1</v>
      </c>
      <c r="F225" t="s">
        <v>90</v>
      </c>
      <c r="G225">
        <v>12</v>
      </c>
      <c r="H225">
        <v>1.5</v>
      </c>
      <c r="I225">
        <v>231</v>
      </c>
      <c r="J225">
        <f>13.65*0.3 + 15.46*0.7</f>
        <v>14.916999999999998</v>
      </c>
      <c r="L225">
        <v>85</v>
      </c>
      <c r="N225" s="3"/>
      <c r="AA225" t="e">
        <f t="shared" si="161"/>
        <v>#DIV/0!</v>
      </c>
      <c r="AB225">
        <f t="shared" si="162"/>
        <v>-0.34065934065934061</v>
      </c>
      <c r="AC225">
        <f t="shared" si="163"/>
        <v>-0.33628318584070788</v>
      </c>
      <c r="AD225">
        <f t="shared" si="164"/>
        <v>-0.26666666666666666</v>
      </c>
      <c r="AE225">
        <f t="shared" si="165"/>
        <v>9.2820512820512652E-2</v>
      </c>
      <c r="AF225">
        <f t="shared" si="166"/>
        <v>0</v>
      </c>
      <c r="AG225">
        <f>0.71-1</f>
        <v>-0.29000000000000004</v>
      </c>
      <c r="AH225">
        <f>0.71-1</f>
        <v>-0.29000000000000004</v>
      </c>
    </row>
    <row r="226" spans="1:34" x14ac:dyDescent="0.2">
      <c r="A226" t="s">
        <v>82</v>
      </c>
      <c r="B226" t="s">
        <v>83</v>
      </c>
      <c r="C226" t="s">
        <v>110</v>
      </c>
      <c r="D226" t="s">
        <v>86</v>
      </c>
      <c r="E226">
        <v>1</v>
      </c>
      <c r="F226" t="s">
        <v>91</v>
      </c>
      <c r="G226">
        <v>8.3000000000000007</v>
      </c>
      <c r="H226">
        <f>1.26</f>
        <v>1.26</v>
      </c>
      <c r="I226">
        <v>170</v>
      </c>
      <c r="J226">
        <f>13.65*0.5 + 15.46*0.5</f>
        <v>14.555</v>
      </c>
      <c r="L226">
        <v>85</v>
      </c>
      <c r="N226" s="3"/>
      <c r="AA226" t="e">
        <f t="shared" si="161"/>
        <v>#DIV/0!</v>
      </c>
      <c r="AB226">
        <f t="shared" si="162"/>
        <v>-0.54395604395604391</v>
      </c>
      <c r="AC226">
        <f t="shared" si="163"/>
        <v>-0.44247787610619466</v>
      </c>
      <c r="AD226">
        <f t="shared" si="164"/>
        <v>-0.46031746031746029</v>
      </c>
      <c r="AE226">
        <f t="shared" si="165"/>
        <v>6.6300366300366245E-2</v>
      </c>
      <c r="AF226">
        <f t="shared" si="166"/>
        <v>0</v>
      </c>
      <c r="AG226">
        <f>0.54-1</f>
        <v>-0.45999999999999996</v>
      </c>
      <c r="AH226">
        <f>0.54-1</f>
        <v>-0.45999999999999996</v>
      </c>
    </row>
    <row r="227" spans="1:34" x14ac:dyDescent="0.2">
      <c r="A227" t="s">
        <v>82</v>
      </c>
      <c r="B227" t="s">
        <v>83</v>
      </c>
      <c r="C227" t="s">
        <v>110</v>
      </c>
      <c r="D227" t="s">
        <v>86</v>
      </c>
      <c r="E227">
        <v>1</v>
      </c>
      <c r="F227" t="s">
        <v>92</v>
      </c>
      <c r="G227">
        <v>20.399999999999999</v>
      </c>
      <c r="H227">
        <v>0.03</v>
      </c>
      <c r="I227">
        <v>100</v>
      </c>
      <c r="J227">
        <f>13.65</f>
        <v>13.65</v>
      </c>
      <c r="L227">
        <v>85</v>
      </c>
      <c r="N227" s="3"/>
      <c r="AA227" t="e">
        <f t="shared" si="161"/>
        <v>#DIV/0!</v>
      </c>
      <c r="AB227">
        <f t="shared" si="162"/>
        <v>0.12087912087912084</v>
      </c>
      <c r="AC227">
        <f t="shared" si="163"/>
        <v>-0.98672566371681425</v>
      </c>
      <c r="AD227">
        <f t="shared" si="164"/>
        <v>-0.68253968253968256</v>
      </c>
      <c r="AE227">
        <f t="shared" si="165"/>
        <v>0</v>
      </c>
      <c r="AF227">
        <f t="shared" si="166"/>
        <v>0</v>
      </c>
      <c r="AG227">
        <f>1.04-1</f>
        <v>4.0000000000000036E-2</v>
      </c>
      <c r="AH227">
        <f>1.04-1</f>
        <v>4.0000000000000036E-2</v>
      </c>
    </row>
    <row r="228" spans="1:34" x14ac:dyDescent="0.2">
      <c r="A228" t="s">
        <v>82</v>
      </c>
      <c r="B228" t="s">
        <v>83</v>
      </c>
      <c r="C228" t="s">
        <v>110</v>
      </c>
      <c r="D228" t="s">
        <v>86</v>
      </c>
      <c r="E228">
        <v>1</v>
      </c>
      <c r="F228" t="s">
        <v>93</v>
      </c>
      <c r="G228">
        <v>18.899999999999999</v>
      </c>
      <c r="H228">
        <v>0.44</v>
      </c>
      <c r="I228">
        <v>100</v>
      </c>
      <c r="J228">
        <f t="shared" ref="J228" si="167">13.65*0.1 + 15.46*0.9</f>
        <v>15.279000000000002</v>
      </c>
      <c r="L228">
        <v>85</v>
      </c>
      <c r="N228" s="2"/>
      <c r="AA228" t="e">
        <f t="shared" si="161"/>
        <v>#DIV/0!</v>
      </c>
      <c r="AB228">
        <f t="shared" si="162"/>
        <v>3.8461538461538422E-2</v>
      </c>
      <c r="AC228">
        <f t="shared" si="163"/>
        <v>-0.80530973451327437</v>
      </c>
      <c r="AD228">
        <f t="shared" si="164"/>
        <v>-0.68253968253968256</v>
      </c>
      <c r="AE228">
        <f t="shared" si="165"/>
        <v>0.11934065934065943</v>
      </c>
      <c r="AF228">
        <f t="shared" si="166"/>
        <v>0</v>
      </c>
      <c r="AG228">
        <f>1.08-1</f>
        <v>8.0000000000000071E-2</v>
      </c>
      <c r="AH228">
        <f>1.08-1</f>
        <v>8.0000000000000071E-2</v>
      </c>
    </row>
    <row r="229" spans="1:34" x14ac:dyDescent="0.2">
      <c r="A229" t="s">
        <v>82</v>
      </c>
      <c r="B229" t="s">
        <v>83</v>
      </c>
      <c r="C229" t="s">
        <v>110</v>
      </c>
      <c r="D229" t="s">
        <v>86</v>
      </c>
      <c r="E229">
        <v>1</v>
      </c>
      <c r="F229" t="s">
        <v>94</v>
      </c>
      <c r="G229">
        <v>15.7</v>
      </c>
      <c r="H229">
        <v>0.4</v>
      </c>
      <c r="I229">
        <v>100</v>
      </c>
      <c r="J229">
        <f>13.46*0.2 + 15.46*0.8</f>
        <v>15.060000000000002</v>
      </c>
      <c r="L229">
        <v>85</v>
      </c>
      <c r="N229" s="2"/>
      <c r="AA229" t="e">
        <f t="shared" si="161"/>
        <v>#DIV/0!</v>
      </c>
      <c r="AB229">
        <f t="shared" si="162"/>
        <v>-0.13736263736263737</v>
      </c>
      <c r="AC229">
        <f t="shared" si="163"/>
        <v>-0.82300884955752218</v>
      </c>
      <c r="AD229">
        <f t="shared" si="164"/>
        <v>-0.68253968253968256</v>
      </c>
      <c r="AE229">
        <f t="shared" si="165"/>
        <v>0.10329670329670343</v>
      </c>
      <c r="AF229">
        <f t="shared" si="166"/>
        <v>0</v>
      </c>
      <c r="AG229">
        <f>0.72-1</f>
        <v>-0.28000000000000003</v>
      </c>
      <c r="AH229">
        <f>0.72-1</f>
        <v>-0.28000000000000003</v>
      </c>
    </row>
    <row r="230" spans="1:34" x14ac:dyDescent="0.2">
      <c r="A230" t="s">
        <v>82</v>
      </c>
      <c r="B230" t="s">
        <v>83</v>
      </c>
      <c r="C230" t="s">
        <v>110</v>
      </c>
      <c r="D230" t="s">
        <v>86</v>
      </c>
      <c r="E230">
        <v>1</v>
      </c>
      <c r="F230" t="s">
        <v>95</v>
      </c>
      <c r="G230">
        <v>14.3</v>
      </c>
      <c r="H230">
        <v>0.35</v>
      </c>
      <c r="I230">
        <v>100</v>
      </c>
      <c r="J230">
        <f>13.46*0.3 + 15.46*0.7</f>
        <v>14.86</v>
      </c>
      <c r="L230">
        <v>85</v>
      </c>
      <c r="N230" s="2"/>
      <c r="AA230" t="e">
        <f t="shared" si="161"/>
        <v>#DIV/0!</v>
      </c>
      <c r="AB230">
        <f t="shared" si="162"/>
        <v>-0.21428571428571422</v>
      </c>
      <c r="AC230">
        <f t="shared" si="163"/>
        <v>-0.84513274336283184</v>
      </c>
      <c r="AD230">
        <f t="shared" si="164"/>
        <v>-0.68253968253968256</v>
      </c>
      <c r="AE230">
        <f t="shared" si="165"/>
        <v>8.864468864468858E-2</v>
      </c>
      <c r="AF230">
        <f t="shared" si="166"/>
        <v>0</v>
      </c>
      <c r="AG230">
        <f>0.87-1</f>
        <v>-0.13</v>
      </c>
      <c r="AH230">
        <f>0.87-1</f>
        <v>-0.13</v>
      </c>
    </row>
    <row r="231" spans="1:34" x14ac:dyDescent="0.2">
      <c r="A231" t="s">
        <v>82</v>
      </c>
      <c r="B231" t="s">
        <v>83</v>
      </c>
      <c r="C231" t="s">
        <v>110</v>
      </c>
      <c r="D231" t="s">
        <v>86</v>
      </c>
      <c r="E231">
        <v>1</v>
      </c>
      <c r="F231" t="s">
        <v>96</v>
      </c>
      <c r="G231">
        <v>8.5</v>
      </c>
      <c r="H231">
        <v>0.27</v>
      </c>
      <c r="I231">
        <v>100</v>
      </c>
      <c r="J231">
        <f>13.46*0.5 + 15.46*0.5</f>
        <v>14.46</v>
      </c>
      <c r="L231">
        <v>85</v>
      </c>
      <c r="AA231" t="e">
        <f t="shared" si="161"/>
        <v>#DIV/0!</v>
      </c>
      <c r="AB231">
        <f t="shared" si="162"/>
        <v>-0.53296703296703296</v>
      </c>
      <c r="AC231">
        <f t="shared" si="163"/>
        <v>-0.88053097345132747</v>
      </c>
      <c r="AD231">
        <f t="shared" si="164"/>
        <v>-0.68253968253968256</v>
      </c>
      <c r="AE231">
        <f t="shared" si="165"/>
        <v>5.9340659340659373E-2</v>
      </c>
      <c r="AF231">
        <f t="shared" si="166"/>
        <v>0</v>
      </c>
      <c r="AG231">
        <f>0.53-1</f>
        <v>-0.47</v>
      </c>
      <c r="AH231">
        <f>0.53-1</f>
        <v>-0.47</v>
      </c>
    </row>
    <row r="232" spans="1:34" x14ac:dyDescent="0.2">
      <c r="A232" t="s">
        <v>84</v>
      </c>
      <c r="B232" t="s">
        <v>85</v>
      </c>
      <c r="C232" t="s">
        <v>110</v>
      </c>
      <c r="D232" t="s">
        <v>81</v>
      </c>
      <c r="E232">
        <v>1</v>
      </c>
      <c r="F232" t="s">
        <v>50</v>
      </c>
      <c r="G232">
        <v>18.3</v>
      </c>
      <c r="H232" s="7"/>
      <c r="I232">
        <v>190</v>
      </c>
      <c r="J232">
        <v>13.7</v>
      </c>
      <c r="L232">
        <v>7</v>
      </c>
      <c r="N232" s="2">
        <f>7.14*10^15</f>
        <v>7140000000000000</v>
      </c>
    </row>
    <row r="233" spans="1:34" x14ac:dyDescent="0.2">
      <c r="A233" t="s">
        <v>84</v>
      </c>
      <c r="B233" t="s">
        <v>85</v>
      </c>
      <c r="C233" t="s">
        <v>110</v>
      </c>
      <c r="D233" t="s">
        <v>81</v>
      </c>
      <c r="E233">
        <v>1</v>
      </c>
      <c r="F233" t="s">
        <v>97</v>
      </c>
      <c r="G233">
        <v>17</v>
      </c>
      <c r="I233">
        <v>20</v>
      </c>
      <c r="J233">
        <v>13.9</v>
      </c>
      <c r="L233">
        <v>7</v>
      </c>
      <c r="N233" s="2">
        <f>5.68*10^15</f>
        <v>5680000000000000</v>
      </c>
      <c r="AA233">
        <f t="shared" ref="AA233:AD235" si="168">(G233-G$232)/G$232</f>
        <v>-7.1038251366120256E-2</v>
      </c>
      <c r="AB233" t="e">
        <f t="shared" si="168"/>
        <v>#DIV/0!</v>
      </c>
      <c r="AC233">
        <f t="shared" si="168"/>
        <v>-0.89473684210526316</v>
      </c>
      <c r="AD233">
        <f t="shared" si="168"/>
        <v>1.4598540145985481E-2</v>
      </c>
      <c r="AE233">
        <f t="shared" ref="AE233:AE235" si="169">(L233-L$232)/L$232</f>
        <v>0</v>
      </c>
      <c r="AF233">
        <v>0</v>
      </c>
      <c r="AG233">
        <f>(N233-N$232)/N$232</f>
        <v>-0.20448179271708683</v>
      </c>
      <c r="AH233" t="e">
        <f>(O233-O$232)/O$232</f>
        <v>#DIV/0!</v>
      </c>
    </row>
    <row r="234" spans="1:34" x14ac:dyDescent="0.2">
      <c r="A234" t="s">
        <v>84</v>
      </c>
      <c r="B234" t="s">
        <v>85</v>
      </c>
      <c r="C234" t="s">
        <v>110</v>
      </c>
      <c r="D234" t="s">
        <v>81</v>
      </c>
      <c r="E234">
        <v>1</v>
      </c>
      <c r="F234" t="s">
        <v>98</v>
      </c>
      <c r="G234">
        <v>10.4</v>
      </c>
      <c r="H234" s="7"/>
      <c r="I234">
        <v>0</v>
      </c>
      <c r="J234">
        <v>15.3</v>
      </c>
      <c r="L234">
        <v>7</v>
      </c>
      <c r="N234" s="2">
        <f>2.88*10^15</f>
        <v>2880000000000000</v>
      </c>
      <c r="AA234">
        <f t="shared" si="168"/>
        <v>-0.43169398907103823</v>
      </c>
      <c r="AB234" t="e">
        <f t="shared" si="168"/>
        <v>#DIV/0!</v>
      </c>
      <c r="AC234">
        <f t="shared" si="168"/>
        <v>-1</v>
      </c>
      <c r="AD234">
        <f t="shared" si="168"/>
        <v>0.11678832116788332</v>
      </c>
      <c r="AE234">
        <f t="shared" si="169"/>
        <v>0</v>
      </c>
      <c r="AF234">
        <v>0</v>
      </c>
      <c r="AG234">
        <f t="shared" ref="AG234:AH235" si="170">(N234-N$232)/N$232</f>
        <v>-0.59663865546218486</v>
      </c>
      <c r="AH234" t="e">
        <f t="shared" si="170"/>
        <v>#DIV/0!</v>
      </c>
    </row>
    <row r="235" spans="1:34" x14ac:dyDescent="0.2">
      <c r="A235" t="s">
        <v>84</v>
      </c>
      <c r="B235" t="s">
        <v>85</v>
      </c>
      <c r="C235" t="s">
        <v>110</v>
      </c>
      <c r="D235" t="s">
        <v>81</v>
      </c>
      <c r="E235">
        <v>1</v>
      </c>
      <c r="F235" t="s">
        <v>99</v>
      </c>
      <c r="G235">
        <v>0.5</v>
      </c>
      <c r="H235" s="7"/>
      <c r="I235">
        <v>244</v>
      </c>
      <c r="J235">
        <v>14.6</v>
      </c>
      <c r="L235">
        <v>7</v>
      </c>
      <c r="N235" s="2">
        <f>0.3*10^15</f>
        <v>300000000000000</v>
      </c>
      <c r="AA235">
        <f t="shared" si="168"/>
        <v>-0.97267759562841527</v>
      </c>
      <c r="AB235" t="e">
        <f t="shared" si="168"/>
        <v>#DIV/0!</v>
      </c>
      <c r="AC235">
        <f t="shared" si="168"/>
        <v>0.28421052631578947</v>
      </c>
      <c r="AD235">
        <f t="shared" si="168"/>
        <v>6.5693430656934337E-2</v>
      </c>
      <c r="AE235">
        <f t="shared" si="169"/>
        <v>0</v>
      </c>
      <c r="AF235">
        <v>0</v>
      </c>
      <c r="AG235">
        <f t="shared" si="170"/>
        <v>-0.95798319327731096</v>
      </c>
      <c r="AH235" t="e">
        <f t="shared" si="170"/>
        <v>#DIV/0!</v>
      </c>
    </row>
    <row r="236" spans="1:34" x14ac:dyDescent="0.2">
      <c r="A236" t="s">
        <v>84</v>
      </c>
      <c r="B236" t="s">
        <v>85</v>
      </c>
      <c r="C236" t="s">
        <v>110</v>
      </c>
      <c r="D236" t="s">
        <v>81</v>
      </c>
      <c r="E236">
        <v>1</v>
      </c>
      <c r="F236" t="s">
        <v>50</v>
      </c>
      <c r="G236">
        <v>18.3</v>
      </c>
      <c r="H236" s="7"/>
      <c r="I236">
        <v>190</v>
      </c>
      <c r="J236">
        <v>13.7</v>
      </c>
      <c r="L236">
        <v>80</v>
      </c>
      <c r="N236" s="2">
        <f>7.9*10^15</f>
        <v>7900000000000000</v>
      </c>
    </row>
    <row r="237" spans="1:34" x14ac:dyDescent="0.2">
      <c r="A237" t="s">
        <v>84</v>
      </c>
      <c r="B237" t="s">
        <v>85</v>
      </c>
      <c r="C237" t="s">
        <v>110</v>
      </c>
      <c r="D237" t="s">
        <v>81</v>
      </c>
      <c r="E237">
        <v>1</v>
      </c>
      <c r="F237" t="s">
        <v>97</v>
      </c>
      <c r="G237">
        <v>17</v>
      </c>
      <c r="I237">
        <v>20</v>
      </c>
      <c r="J237">
        <v>13.9</v>
      </c>
      <c r="L237">
        <v>80</v>
      </c>
      <c r="N237" s="2">
        <f>5.94*10^15</f>
        <v>5940000000000000</v>
      </c>
      <c r="AA237">
        <f t="shared" ref="AA237:AD239" si="171">(G237-G$236)/G$236</f>
        <v>-7.1038251366120256E-2</v>
      </c>
      <c r="AB237" t="e">
        <f t="shared" si="171"/>
        <v>#DIV/0!</v>
      </c>
      <c r="AC237">
        <f t="shared" si="171"/>
        <v>-0.89473684210526316</v>
      </c>
      <c r="AD237">
        <f t="shared" si="171"/>
        <v>1.4598540145985481E-2</v>
      </c>
      <c r="AE237">
        <f t="shared" ref="AE237:AE239" si="172">(L237-L$236)/L$236</f>
        <v>0</v>
      </c>
      <c r="AF237">
        <v>0</v>
      </c>
      <c r="AG237">
        <f>(N237-N$236)/N$236</f>
        <v>-0.2481012658227848</v>
      </c>
      <c r="AH237" t="e">
        <f>(O237-O$236)/O$236</f>
        <v>#DIV/0!</v>
      </c>
    </row>
    <row r="238" spans="1:34" x14ac:dyDescent="0.2">
      <c r="A238" t="s">
        <v>84</v>
      </c>
      <c r="B238" t="s">
        <v>85</v>
      </c>
      <c r="C238" t="s">
        <v>110</v>
      </c>
      <c r="D238" t="s">
        <v>81</v>
      </c>
      <c r="E238">
        <v>1</v>
      </c>
      <c r="F238" t="s">
        <v>98</v>
      </c>
      <c r="G238">
        <v>10.4</v>
      </c>
      <c r="H238" s="7"/>
      <c r="I238">
        <v>0</v>
      </c>
      <c r="J238">
        <v>15.3</v>
      </c>
      <c r="L238">
        <v>80</v>
      </c>
      <c r="N238" s="2">
        <f>3.49*10^15</f>
        <v>3490000000000000</v>
      </c>
      <c r="AA238">
        <f t="shared" si="171"/>
        <v>-0.43169398907103823</v>
      </c>
      <c r="AB238" t="e">
        <f t="shared" si="171"/>
        <v>#DIV/0!</v>
      </c>
      <c r="AC238">
        <f t="shared" si="171"/>
        <v>-1</v>
      </c>
      <c r="AD238">
        <f t="shared" si="171"/>
        <v>0.11678832116788332</v>
      </c>
      <c r="AE238">
        <f t="shared" si="172"/>
        <v>0</v>
      </c>
      <c r="AF238">
        <v>0</v>
      </c>
      <c r="AG238">
        <f t="shared" ref="AG238:AH239" si="173">(N238-N$236)/N$236</f>
        <v>-0.5582278481012658</v>
      </c>
      <c r="AH238" t="e">
        <f t="shared" si="173"/>
        <v>#DIV/0!</v>
      </c>
    </row>
    <row r="239" spans="1:34" x14ac:dyDescent="0.2">
      <c r="A239" t="s">
        <v>84</v>
      </c>
      <c r="B239" t="s">
        <v>85</v>
      </c>
      <c r="C239" t="s">
        <v>110</v>
      </c>
      <c r="D239" t="s">
        <v>81</v>
      </c>
      <c r="E239">
        <v>1</v>
      </c>
      <c r="F239" t="s">
        <v>99</v>
      </c>
      <c r="G239">
        <v>0.5</v>
      </c>
      <c r="H239" s="7"/>
      <c r="I239">
        <v>244</v>
      </c>
      <c r="J239">
        <v>14.6</v>
      </c>
      <c r="L239">
        <v>80</v>
      </c>
      <c r="N239" s="2">
        <f>0.56*10^15</f>
        <v>560000000000000.06</v>
      </c>
      <c r="AA239">
        <f t="shared" si="171"/>
        <v>-0.97267759562841527</v>
      </c>
      <c r="AB239" t="e">
        <f t="shared" si="171"/>
        <v>#DIV/0!</v>
      </c>
      <c r="AC239">
        <f t="shared" si="171"/>
        <v>0.28421052631578947</v>
      </c>
      <c r="AD239">
        <f t="shared" si="171"/>
        <v>6.5693430656934337E-2</v>
      </c>
      <c r="AE239">
        <f t="shared" si="172"/>
        <v>0</v>
      </c>
      <c r="AF239">
        <v>0</v>
      </c>
      <c r="AG239">
        <f t="shared" si="173"/>
        <v>-0.92911392405063287</v>
      </c>
      <c r="AH239" t="e">
        <f t="shared" si="173"/>
        <v>#DIV/0!</v>
      </c>
    </row>
    <row r="240" spans="1:34" x14ac:dyDescent="0.2">
      <c r="A240" t="s">
        <v>84</v>
      </c>
      <c r="B240" t="s">
        <v>85</v>
      </c>
      <c r="C240" t="s">
        <v>110</v>
      </c>
      <c r="D240" t="s">
        <v>81</v>
      </c>
      <c r="E240">
        <v>1</v>
      </c>
      <c r="F240" t="s">
        <v>50</v>
      </c>
      <c r="G240">
        <v>18.3</v>
      </c>
      <c r="H240" s="7"/>
      <c r="I240">
        <v>190</v>
      </c>
      <c r="J240">
        <v>13.7</v>
      </c>
      <c r="L240">
        <v>95</v>
      </c>
      <c r="N240" s="2">
        <f>9.9*10^15</f>
        <v>9900000000000000</v>
      </c>
    </row>
    <row r="241" spans="1:34" x14ac:dyDescent="0.2">
      <c r="A241" t="s">
        <v>84</v>
      </c>
      <c r="B241" t="s">
        <v>85</v>
      </c>
      <c r="C241" t="s">
        <v>110</v>
      </c>
      <c r="D241" t="s">
        <v>81</v>
      </c>
      <c r="E241">
        <v>1</v>
      </c>
      <c r="F241" t="s">
        <v>97</v>
      </c>
      <c r="G241">
        <v>17</v>
      </c>
      <c r="I241">
        <v>20</v>
      </c>
      <c r="J241">
        <v>13.9</v>
      </c>
      <c r="L241">
        <v>95</v>
      </c>
      <c r="N241" s="2">
        <f>9.2*10^15</f>
        <v>9200000000000000</v>
      </c>
      <c r="AA241">
        <f t="shared" ref="AA241:AD243" si="174">(G241-G$240)/G$240</f>
        <v>-7.1038251366120256E-2</v>
      </c>
      <c r="AB241" t="e">
        <f t="shared" si="174"/>
        <v>#DIV/0!</v>
      </c>
      <c r="AC241">
        <f t="shared" si="174"/>
        <v>-0.89473684210526316</v>
      </c>
      <c r="AD241">
        <f t="shared" si="174"/>
        <v>1.4598540145985481E-2</v>
      </c>
      <c r="AE241">
        <f t="shared" ref="AE241:AE243" si="175">(L241-L$240)/L$240</f>
        <v>0</v>
      </c>
      <c r="AF241">
        <v>0</v>
      </c>
      <c r="AG241">
        <f>(N241-N$240)/N$240</f>
        <v>-7.0707070707070704E-2</v>
      </c>
      <c r="AH241" t="e">
        <f>(O241-O$240)/O$240</f>
        <v>#DIV/0!</v>
      </c>
    </row>
    <row r="242" spans="1:34" x14ac:dyDescent="0.2">
      <c r="A242" t="s">
        <v>84</v>
      </c>
      <c r="B242" t="s">
        <v>85</v>
      </c>
      <c r="C242" t="s">
        <v>110</v>
      </c>
      <c r="D242" t="s">
        <v>81</v>
      </c>
      <c r="E242">
        <v>1</v>
      </c>
      <c r="F242" t="s">
        <v>98</v>
      </c>
      <c r="G242">
        <v>10.4</v>
      </c>
      <c r="H242" s="7"/>
      <c r="I242">
        <v>0</v>
      </c>
      <c r="J242">
        <v>15.3</v>
      </c>
      <c r="L242">
        <v>95</v>
      </c>
      <c r="N242" s="2">
        <f>6.14*10^15</f>
        <v>6140000000000000</v>
      </c>
      <c r="AA242">
        <f t="shared" si="174"/>
        <v>-0.43169398907103823</v>
      </c>
      <c r="AB242" t="e">
        <f t="shared" si="174"/>
        <v>#DIV/0!</v>
      </c>
      <c r="AC242">
        <f t="shared" si="174"/>
        <v>-1</v>
      </c>
      <c r="AD242">
        <f t="shared" si="174"/>
        <v>0.11678832116788332</v>
      </c>
      <c r="AE242">
        <f t="shared" si="175"/>
        <v>0</v>
      </c>
      <c r="AF242">
        <v>0</v>
      </c>
      <c r="AG242">
        <f t="shared" ref="AG242:AH243" si="176">(N242-N$240)/N$240</f>
        <v>-0.3797979797979798</v>
      </c>
      <c r="AH242" t="e">
        <f t="shared" si="176"/>
        <v>#DIV/0!</v>
      </c>
    </row>
    <row r="243" spans="1:34" x14ac:dyDescent="0.2">
      <c r="A243" t="s">
        <v>84</v>
      </c>
      <c r="B243" t="s">
        <v>85</v>
      </c>
      <c r="C243" t="s">
        <v>110</v>
      </c>
      <c r="D243" t="s">
        <v>81</v>
      </c>
      <c r="E243">
        <v>1</v>
      </c>
      <c r="F243" t="s">
        <v>99</v>
      </c>
      <c r="G243">
        <v>0.5</v>
      </c>
      <c r="H243" s="7"/>
      <c r="I243">
        <v>244</v>
      </c>
      <c r="J243">
        <v>14.6</v>
      </c>
      <c r="L243">
        <v>95</v>
      </c>
      <c r="N243" s="2">
        <f>2.8*10^15</f>
        <v>2800000000000000</v>
      </c>
      <c r="AA243">
        <f t="shared" si="174"/>
        <v>-0.97267759562841527</v>
      </c>
      <c r="AB243" t="e">
        <f t="shared" si="174"/>
        <v>#DIV/0!</v>
      </c>
      <c r="AC243">
        <f t="shared" si="174"/>
        <v>0.28421052631578947</v>
      </c>
      <c r="AD243">
        <f t="shared" si="174"/>
        <v>6.5693430656934337E-2</v>
      </c>
      <c r="AE243">
        <f t="shared" si="175"/>
        <v>0</v>
      </c>
      <c r="AF243">
        <v>0</v>
      </c>
      <c r="AG243">
        <f t="shared" si="176"/>
        <v>-0.71717171717171713</v>
      </c>
      <c r="AH243" t="e">
        <f t="shared" si="176"/>
        <v>#DIV/0!</v>
      </c>
    </row>
    <row r="244" spans="1:34" x14ac:dyDescent="0.2">
      <c r="A244" t="s">
        <v>100</v>
      </c>
      <c r="C244" t="s">
        <v>110</v>
      </c>
      <c r="D244" t="s">
        <v>101</v>
      </c>
      <c r="E244">
        <v>1</v>
      </c>
      <c r="F244" t="s">
        <v>50</v>
      </c>
      <c r="G244">
        <v>18.5</v>
      </c>
      <c r="I244">
        <v>700</v>
      </c>
      <c r="J244">
        <v>13.65</v>
      </c>
      <c r="M244">
        <f>109*60*60</f>
        <v>392400</v>
      </c>
      <c r="N244">
        <f>1.9*10^16</f>
        <v>1.9E+16</v>
      </c>
      <c r="X244">
        <f>(0.6)*10^16</f>
        <v>6000000000000000</v>
      </c>
    </row>
    <row r="245" spans="1:34" x14ac:dyDescent="0.2">
      <c r="A245" t="s">
        <v>100</v>
      </c>
      <c r="C245" t="s">
        <v>110</v>
      </c>
      <c r="D245" t="s">
        <v>101</v>
      </c>
      <c r="E245">
        <v>1</v>
      </c>
      <c r="F245" t="s">
        <v>102</v>
      </c>
      <c r="G245">
        <v>10.9</v>
      </c>
      <c r="I245">
        <v>100</v>
      </c>
      <c r="J245">
        <v>15.13</v>
      </c>
      <c r="M245">
        <f t="shared" ref="M245:M247" si="177">109*60*60</f>
        <v>392400</v>
      </c>
      <c r="N245">
        <f>1.9*10^16</f>
        <v>1.9E+16</v>
      </c>
      <c r="X245">
        <f>(0.7)*10^16</f>
        <v>7000000000000000</v>
      </c>
      <c r="AA245">
        <f t="shared" ref="AA245:AD247" si="178">(G245-G$244)/G$244</f>
        <v>-0.41081081081081078</v>
      </c>
      <c r="AB245" t="e">
        <f t="shared" si="178"/>
        <v>#DIV/0!</v>
      </c>
      <c r="AC245">
        <f t="shared" si="178"/>
        <v>-0.8571428571428571</v>
      </c>
      <c r="AD245">
        <f t="shared" si="178"/>
        <v>0.10842490842490846</v>
      </c>
      <c r="AE245">
        <v>0</v>
      </c>
      <c r="AF245">
        <f>(M245-M$244)/M$244</f>
        <v>0</v>
      </c>
      <c r="AG245">
        <f>(N245-N$244)/N$244</f>
        <v>0</v>
      </c>
      <c r="AH245" t="e">
        <f>(O245-O$244)/O$244</f>
        <v>#DIV/0!</v>
      </c>
    </row>
    <row r="246" spans="1:34" x14ac:dyDescent="0.2">
      <c r="A246" t="s">
        <v>100</v>
      </c>
      <c r="C246" t="s">
        <v>110</v>
      </c>
      <c r="D246" t="s">
        <v>101</v>
      </c>
      <c r="E246">
        <v>1</v>
      </c>
      <c r="F246" t="s">
        <v>103</v>
      </c>
      <c r="G246">
        <v>0</v>
      </c>
      <c r="I246">
        <v>5</v>
      </c>
      <c r="J246">
        <v>15.5</v>
      </c>
      <c r="M246">
        <f t="shared" si="177"/>
        <v>392400</v>
      </c>
      <c r="N246">
        <f>0.3*10^16</f>
        <v>3000000000000000</v>
      </c>
      <c r="X246">
        <f>(0.1)*10^16</f>
        <v>1000000000000000</v>
      </c>
      <c r="AA246">
        <f t="shared" si="178"/>
        <v>-1</v>
      </c>
      <c r="AB246" t="e">
        <f t="shared" si="178"/>
        <v>#DIV/0!</v>
      </c>
      <c r="AC246">
        <f t="shared" si="178"/>
        <v>-0.99285714285714288</v>
      </c>
      <c r="AD246">
        <f t="shared" si="178"/>
        <v>0.13553113553113549</v>
      </c>
      <c r="AE246">
        <v>0</v>
      </c>
      <c r="AF246">
        <f t="shared" ref="AF246:AF247" si="179">(M246-M$244)/M$244</f>
        <v>0</v>
      </c>
      <c r="AG246">
        <f t="shared" ref="AG246:AH247" si="180">(N246-N$244)/N$244</f>
        <v>-0.84210526315789469</v>
      </c>
      <c r="AH246" t="e">
        <f t="shared" si="180"/>
        <v>#DIV/0!</v>
      </c>
    </row>
    <row r="247" spans="1:34" x14ac:dyDescent="0.2">
      <c r="A247" t="s">
        <v>100</v>
      </c>
      <c r="C247" t="s">
        <v>110</v>
      </c>
      <c r="D247" t="s">
        <v>101</v>
      </c>
      <c r="E247">
        <v>1</v>
      </c>
      <c r="F247" s="11" t="s">
        <v>104</v>
      </c>
      <c r="G247">
        <v>9.1999999999999993</v>
      </c>
      <c r="I247">
        <v>352.5</v>
      </c>
      <c r="J247">
        <v>14.59</v>
      </c>
      <c r="M247">
        <f t="shared" si="177"/>
        <v>392400</v>
      </c>
      <c r="N247">
        <f>1.5*10^16</f>
        <v>1.5E+16</v>
      </c>
      <c r="X247">
        <f>(0.5)*10^16</f>
        <v>5000000000000000</v>
      </c>
      <c r="AA247">
        <f t="shared" si="178"/>
        <v>-0.50270270270270279</v>
      </c>
      <c r="AB247" t="e">
        <f t="shared" si="178"/>
        <v>#DIV/0!</v>
      </c>
      <c r="AC247">
        <f t="shared" si="178"/>
        <v>-0.49642857142857144</v>
      </c>
      <c r="AD247">
        <f t="shared" si="178"/>
        <v>6.8864468864468828E-2</v>
      </c>
      <c r="AE247">
        <v>0</v>
      </c>
      <c r="AF247">
        <f t="shared" si="179"/>
        <v>0</v>
      </c>
      <c r="AG247">
        <f t="shared" si="180"/>
        <v>-0.21052631578947367</v>
      </c>
      <c r="AH247" t="e">
        <f t="shared" si="180"/>
        <v>#DIV/0!</v>
      </c>
    </row>
    <row r="248" spans="1:34" x14ac:dyDescent="0.2">
      <c r="A248" t="s">
        <v>100</v>
      </c>
      <c r="C248" t="s">
        <v>110</v>
      </c>
      <c r="D248" t="s">
        <v>101</v>
      </c>
      <c r="E248">
        <v>1</v>
      </c>
      <c r="F248" t="s">
        <v>50</v>
      </c>
      <c r="G248">
        <v>18.5</v>
      </c>
      <c r="I248">
        <v>700</v>
      </c>
      <c r="J248">
        <v>13.65</v>
      </c>
      <c r="M248">
        <f t="shared" ref="M248:M251" si="181">57*60*60</f>
        <v>205200</v>
      </c>
      <c r="N248">
        <f>1.2*10^16</f>
        <v>1.2E+16</v>
      </c>
      <c r="X248">
        <f>(0.4)*10^16</f>
        <v>4000000000000000</v>
      </c>
      <c r="AA248">
        <f t="shared" ref="AA248:AD251" si="182">(G248-G$248)/G$248</f>
        <v>0</v>
      </c>
      <c r="AB248" t="e">
        <f t="shared" si="182"/>
        <v>#DIV/0!</v>
      </c>
      <c r="AC248">
        <f t="shared" si="182"/>
        <v>0</v>
      </c>
      <c r="AD248">
        <f t="shared" si="182"/>
        <v>0</v>
      </c>
      <c r="AE248">
        <v>0</v>
      </c>
      <c r="AF248">
        <f t="shared" ref="AF248:AF251" si="183">(M248-M$248)/M$248</f>
        <v>0</v>
      </c>
      <c r="AG248">
        <f>(N248-N$248)/N$248</f>
        <v>0</v>
      </c>
      <c r="AH248" t="e">
        <f>(O248-O$248)/O$248</f>
        <v>#DIV/0!</v>
      </c>
    </row>
    <row r="249" spans="1:34" x14ac:dyDescent="0.2">
      <c r="A249" t="s">
        <v>100</v>
      </c>
      <c r="C249" t="s">
        <v>110</v>
      </c>
      <c r="D249" t="s">
        <v>101</v>
      </c>
      <c r="E249">
        <v>1</v>
      </c>
      <c r="F249" t="s">
        <v>102</v>
      </c>
      <c r="G249">
        <v>10.9</v>
      </c>
      <c r="I249">
        <v>100</v>
      </c>
      <c r="J249">
        <v>15.13</v>
      </c>
      <c r="M249">
        <f t="shared" si="181"/>
        <v>205200</v>
      </c>
      <c r="N249">
        <f>0.7*10^16</f>
        <v>7000000000000000</v>
      </c>
      <c r="X249">
        <f>(0.2)*10^16</f>
        <v>2000000000000000</v>
      </c>
      <c r="AA249">
        <f t="shared" si="182"/>
        <v>-0.41081081081081078</v>
      </c>
      <c r="AB249" t="e">
        <f t="shared" si="182"/>
        <v>#DIV/0!</v>
      </c>
      <c r="AC249">
        <f t="shared" si="182"/>
        <v>-0.8571428571428571</v>
      </c>
      <c r="AD249">
        <f t="shared" si="182"/>
        <v>0.10842490842490846</v>
      </c>
      <c r="AE249">
        <v>0</v>
      </c>
      <c r="AF249">
        <f t="shared" si="183"/>
        <v>0</v>
      </c>
      <c r="AG249">
        <f t="shared" ref="AG249:AH250" si="184">(N249-N$248)/N$248</f>
        <v>-0.41666666666666669</v>
      </c>
      <c r="AH249" t="e">
        <f t="shared" si="184"/>
        <v>#DIV/0!</v>
      </c>
    </row>
    <row r="250" spans="1:34" x14ac:dyDescent="0.2">
      <c r="A250" t="s">
        <v>100</v>
      </c>
      <c r="C250" t="s">
        <v>110</v>
      </c>
      <c r="D250" t="s">
        <v>101</v>
      </c>
      <c r="E250">
        <v>1</v>
      </c>
      <c r="F250" t="s">
        <v>103</v>
      </c>
      <c r="G250">
        <v>0</v>
      </c>
      <c r="I250">
        <v>5</v>
      </c>
      <c r="J250">
        <v>15.5</v>
      </c>
      <c r="M250">
        <f t="shared" si="181"/>
        <v>205200</v>
      </c>
      <c r="N250">
        <f>0.02*10^16</f>
        <v>200000000000000</v>
      </c>
      <c r="X250">
        <f>(0.007)*10^16</f>
        <v>70000000000000</v>
      </c>
      <c r="AA250">
        <f t="shared" si="182"/>
        <v>-1</v>
      </c>
      <c r="AB250" t="e">
        <f t="shared" si="182"/>
        <v>#DIV/0!</v>
      </c>
      <c r="AC250">
        <f t="shared" si="182"/>
        <v>-0.99285714285714288</v>
      </c>
      <c r="AD250">
        <f t="shared" si="182"/>
        <v>0.13553113553113549</v>
      </c>
      <c r="AE250">
        <v>0</v>
      </c>
      <c r="AF250">
        <f t="shared" si="183"/>
        <v>0</v>
      </c>
      <c r="AG250">
        <f t="shared" si="184"/>
        <v>-0.98333333333333328</v>
      </c>
      <c r="AH250" t="e">
        <f t="shared" si="184"/>
        <v>#DIV/0!</v>
      </c>
    </row>
    <row r="251" spans="1:34" x14ac:dyDescent="0.2">
      <c r="A251" t="s">
        <v>100</v>
      </c>
      <c r="C251" t="s">
        <v>110</v>
      </c>
      <c r="D251" t="s">
        <v>101</v>
      </c>
      <c r="E251">
        <v>1</v>
      </c>
      <c r="F251" s="11" t="s">
        <v>104</v>
      </c>
      <c r="G251">
        <v>9.1999999999999993</v>
      </c>
      <c r="I251">
        <v>352.5</v>
      </c>
      <c r="J251">
        <v>14.59</v>
      </c>
      <c r="M251">
        <f t="shared" si="181"/>
        <v>205200</v>
      </c>
      <c r="N251">
        <f>0.5*10^16</f>
        <v>5000000000000000</v>
      </c>
      <c r="X251">
        <f>(0.2)*10^16</f>
        <v>2000000000000000</v>
      </c>
      <c r="AA251">
        <f t="shared" si="182"/>
        <v>-0.50270270270270279</v>
      </c>
      <c r="AB251" t="e">
        <f t="shared" si="182"/>
        <v>#DIV/0!</v>
      </c>
      <c r="AC251">
        <f t="shared" si="182"/>
        <v>-0.49642857142857144</v>
      </c>
      <c r="AD251">
        <f t="shared" si="182"/>
        <v>6.8864468864468828E-2</v>
      </c>
      <c r="AE251">
        <v>0</v>
      </c>
      <c r="AF251">
        <f t="shared" si="183"/>
        <v>0</v>
      </c>
      <c r="AG251">
        <f>(N251-N$248)/N$248</f>
        <v>-0.58333333333333337</v>
      </c>
      <c r="AH251" t="e">
        <f>(O251-O$248)/O$248</f>
        <v>#DIV/0!</v>
      </c>
    </row>
    <row r="252" spans="1:34" x14ac:dyDescent="0.2">
      <c r="A252" t="s">
        <v>119</v>
      </c>
      <c r="B252" t="s">
        <v>123</v>
      </c>
      <c r="C252" t="s">
        <v>36</v>
      </c>
      <c r="D252" t="s">
        <v>112</v>
      </c>
      <c r="E252">
        <v>90</v>
      </c>
      <c r="F252" t="s">
        <v>120</v>
      </c>
      <c r="G252">
        <v>21.1</v>
      </c>
      <c r="H252">
        <v>0.68</v>
      </c>
      <c r="I252">
        <v>416</v>
      </c>
      <c r="J252">
        <v>13.6</v>
      </c>
      <c r="K252">
        <v>223</v>
      </c>
      <c r="L252">
        <v>21.676901589340183</v>
      </c>
      <c r="M252" s="6">
        <f>(0.28+0.02)*60*60</f>
        <v>1080.0000000000002</v>
      </c>
      <c r="N252">
        <f>2.63*10^14</f>
        <v>263000000000000</v>
      </c>
      <c r="O252">
        <f>3.86*10^14</f>
        <v>386000000000000</v>
      </c>
      <c r="V252">
        <v>27</v>
      </c>
    </row>
    <row r="253" spans="1:34" x14ac:dyDescent="0.2">
      <c r="A253" t="s">
        <v>119</v>
      </c>
      <c r="B253" t="s">
        <v>123</v>
      </c>
      <c r="C253" t="s">
        <v>36</v>
      </c>
      <c r="D253" t="s">
        <v>112</v>
      </c>
      <c r="E253">
        <v>90</v>
      </c>
      <c r="F253" t="s">
        <v>121</v>
      </c>
      <c r="G253">
        <v>21.4</v>
      </c>
      <c r="H253">
        <v>0.68</v>
      </c>
      <c r="I253">
        <v>22</v>
      </c>
      <c r="J253">
        <v>13.8</v>
      </c>
      <c r="K253">
        <v>223</v>
      </c>
      <c r="L253">
        <v>21.676901589340183</v>
      </c>
      <c r="M253" s="6">
        <f>(0.28+0.02)*60*60</f>
        <v>1080.0000000000002</v>
      </c>
      <c r="N253">
        <f>3.43*10^14</f>
        <v>343000000000000</v>
      </c>
      <c r="O253">
        <f>3.52*10^14</f>
        <v>352000000000000</v>
      </c>
      <c r="AA253">
        <f t="shared" ref="AA253:AA267" si="185">(G253-G$252)/G$252</f>
        <v>1.421800947867285E-2</v>
      </c>
      <c r="AB253">
        <f t="shared" ref="AB253:AB267" si="186">(H253-H$252)/H$252</f>
        <v>0</v>
      </c>
      <c r="AC253">
        <f t="shared" ref="AC253:AC267" si="187">(I253-I$252)/I$252</f>
        <v>-0.94711538461538458</v>
      </c>
      <c r="AD253">
        <f t="shared" ref="AD253:AD267" si="188">(J253-J$252)/J$252</f>
        <v>1.4705882352941256E-2</v>
      </c>
      <c r="AE253">
        <f>(L253-L$252)/L$252</f>
        <v>0</v>
      </c>
      <c r="AF253">
        <f t="shared" ref="AF253" si="189">(M253-M$252)/M$252</f>
        <v>0</v>
      </c>
      <c r="AG253">
        <f t="shared" ref="AG253:AH253" si="190">(N253-N$252)/N$252</f>
        <v>0.30418250950570341</v>
      </c>
      <c r="AH253">
        <f t="shared" si="190"/>
        <v>-8.8082901554404139E-2</v>
      </c>
    </row>
    <row r="254" spans="1:34" x14ac:dyDescent="0.2">
      <c r="A254" t="s">
        <v>119</v>
      </c>
      <c r="B254" t="s">
        <v>123</v>
      </c>
      <c r="C254" t="s">
        <v>36</v>
      </c>
      <c r="D254" t="s">
        <v>112</v>
      </c>
      <c r="E254">
        <v>90</v>
      </c>
      <c r="F254" t="s">
        <v>122</v>
      </c>
      <c r="G254">
        <v>12.9</v>
      </c>
      <c r="H254">
        <v>0.4</v>
      </c>
      <c r="I254">
        <v>11</v>
      </c>
      <c r="J254">
        <v>14.7</v>
      </c>
      <c r="K254">
        <v>223</v>
      </c>
      <c r="L254">
        <v>21.676901589340183</v>
      </c>
      <c r="M254" s="6">
        <f>(0.28+0.02)*60*60</f>
        <v>1080.0000000000002</v>
      </c>
      <c r="N254">
        <f>1.46*10^14</f>
        <v>146000000000000</v>
      </c>
      <c r="O254">
        <f>1.86*10^14</f>
        <v>186000000000000</v>
      </c>
      <c r="V254">
        <v>26.3</v>
      </c>
      <c r="AA254">
        <f t="shared" si="185"/>
        <v>-0.38862559241706163</v>
      </c>
      <c r="AB254">
        <f t="shared" si="186"/>
        <v>-0.41176470588235298</v>
      </c>
      <c r="AC254">
        <f t="shared" si="187"/>
        <v>-0.97355769230769229</v>
      </c>
      <c r="AD254">
        <f t="shared" si="188"/>
        <v>8.0882352941176447E-2</v>
      </c>
      <c r="AE254">
        <f t="shared" ref="AE254:AE267" si="191">(L254-L$252)/L$252</f>
        <v>0</v>
      </c>
      <c r="AF254">
        <f t="shared" ref="AF254:AF267" si="192">(M254-M$252)/M$252</f>
        <v>0</v>
      </c>
      <c r="AG254">
        <f t="shared" ref="AG254:AH267" si="193">(N254-N$252)/N$252</f>
        <v>-0.44486692015209123</v>
      </c>
      <c r="AH254">
        <f t="shared" si="193"/>
        <v>-0.51813471502590669</v>
      </c>
    </row>
    <row r="255" spans="1:34" x14ac:dyDescent="0.2">
      <c r="A255" t="s">
        <v>119</v>
      </c>
      <c r="B255" t="s">
        <v>123</v>
      </c>
      <c r="C255" t="s">
        <v>36</v>
      </c>
      <c r="D255" t="s">
        <v>112</v>
      </c>
      <c r="E255">
        <v>90</v>
      </c>
      <c r="F255" t="s">
        <v>120</v>
      </c>
      <c r="G255">
        <v>21.1</v>
      </c>
      <c r="H255">
        <v>0.68</v>
      </c>
      <c r="I255">
        <v>416</v>
      </c>
      <c r="J255">
        <v>13.6</v>
      </c>
      <c r="K255">
        <v>223</v>
      </c>
      <c r="L255">
        <v>32.043711671215284</v>
      </c>
      <c r="M255" s="6">
        <f t="shared" ref="M255:M260" si="194">(0.373+0.025)*60*60</f>
        <v>1432.8000000000002</v>
      </c>
      <c r="N255">
        <f>6.59*10^14</f>
        <v>659000000000000</v>
      </c>
      <c r="O255">
        <f>7.58*10^14</f>
        <v>758000000000000</v>
      </c>
      <c r="V255">
        <v>35.299999999999997</v>
      </c>
      <c r="AA255">
        <f t="shared" si="185"/>
        <v>0</v>
      </c>
      <c r="AB255">
        <f t="shared" si="186"/>
        <v>0</v>
      </c>
      <c r="AC255">
        <f t="shared" si="187"/>
        <v>0</v>
      </c>
      <c r="AD255">
        <f t="shared" si="188"/>
        <v>0</v>
      </c>
      <c r="AE255">
        <f t="shared" si="191"/>
        <v>0.47824224505282048</v>
      </c>
      <c r="AF255">
        <f t="shared" si="192"/>
        <v>0.32666666666666655</v>
      </c>
      <c r="AG255">
        <f t="shared" si="193"/>
        <v>1.5057034220532319</v>
      </c>
      <c r="AH255">
        <f t="shared" si="193"/>
        <v>0.96373056994818651</v>
      </c>
    </row>
    <row r="256" spans="1:34" x14ac:dyDescent="0.2">
      <c r="A256" t="s">
        <v>119</v>
      </c>
      <c r="B256" t="s">
        <v>123</v>
      </c>
      <c r="C256" t="s">
        <v>36</v>
      </c>
      <c r="D256" t="s">
        <v>112</v>
      </c>
      <c r="E256">
        <v>90</v>
      </c>
      <c r="F256" t="s">
        <v>121</v>
      </c>
      <c r="G256">
        <v>21.4</v>
      </c>
      <c r="H256">
        <v>0.68</v>
      </c>
      <c r="I256">
        <v>22</v>
      </c>
      <c r="J256">
        <v>13.8</v>
      </c>
      <c r="K256">
        <v>223</v>
      </c>
      <c r="L256">
        <v>32.043711671215284</v>
      </c>
      <c r="M256" s="6">
        <f t="shared" si="194"/>
        <v>1432.8000000000002</v>
      </c>
      <c r="N256">
        <f>9.17*10^14</f>
        <v>917000000000000</v>
      </c>
      <c r="O256">
        <f>6.53*10^14</f>
        <v>653000000000000</v>
      </c>
      <c r="AA256">
        <f t="shared" si="185"/>
        <v>1.421800947867285E-2</v>
      </c>
      <c r="AB256">
        <f t="shared" si="186"/>
        <v>0</v>
      </c>
      <c r="AC256">
        <f t="shared" si="187"/>
        <v>-0.94711538461538458</v>
      </c>
      <c r="AD256">
        <f t="shared" si="188"/>
        <v>1.4705882352941256E-2</v>
      </c>
      <c r="AE256">
        <f t="shared" si="191"/>
        <v>0.47824224505282048</v>
      </c>
      <c r="AF256">
        <f t="shared" si="192"/>
        <v>0.32666666666666655</v>
      </c>
      <c r="AG256">
        <f t="shared" si="193"/>
        <v>2.4866920152091256</v>
      </c>
      <c r="AH256">
        <f t="shared" si="193"/>
        <v>0.69170984455958551</v>
      </c>
    </row>
    <row r="257" spans="1:34" x14ac:dyDescent="0.2">
      <c r="A257" t="s">
        <v>119</v>
      </c>
      <c r="B257" t="s">
        <v>123</v>
      </c>
      <c r="C257" t="s">
        <v>36</v>
      </c>
      <c r="D257" t="s">
        <v>112</v>
      </c>
      <c r="E257">
        <v>90</v>
      </c>
      <c r="F257" t="s">
        <v>122</v>
      </c>
      <c r="G257">
        <v>12.9</v>
      </c>
      <c r="H257">
        <v>0.4</v>
      </c>
      <c r="I257">
        <v>11</v>
      </c>
      <c r="J257">
        <v>14.7</v>
      </c>
      <c r="K257">
        <v>223</v>
      </c>
      <c r="L257">
        <v>32.043711671215284</v>
      </c>
      <c r="M257" s="6">
        <f t="shared" si="194"/>
        <v>1432.8000000000002</v>
      </c>
      <c r="N257">
        <f>5.03*10^14</f>
        <v>503000000000000</v>
      </c>
      <c r="O257">
        <f>5.06*10^14</f>
        <v>505999999999999.94</v>
      </c>
      <c r="V257">
        <v>28.7</v>
      </c>
      <c r="AA257">
        <f t="shared" si="185"/>
        <v>-0.38862559241706163</v>
      </c>
      <c r="AB257">
        <f t="shared" si="186"/>
        <v>-0.41176470588235298</v>
      </c>
      <c r="AC257">
        <f t="shared" si="187"/>
        <v>-0.97355769230769229</v>
      </c>
      <c r="AD257">
        <f t="shared" si="188"/>
        <v>8.0882352941176447E-2</v>
      </c>
      <c r="AE257">
        <f t="shared" si="191"/>
        <v>0.47824224505282048</v>
      </c>
      <c r="AF257">
        <f t="shared" si="192"/>
        <v>0.32666666666666655</v>
      </c>
      <c r="AG257">
        <f t="shared" si="193"/>
        <v>0.9125475285171103</v>
      </c>
      <c r="AH257">
        <f t="shared" si="193"/>
        <v>0.31088082901554387</v>
      </c>
    </row>
    <row r="258" spans="1:34" x14ac:dyDescent="0.2">
      <c r="A258" t="s">
        <v>119</v>
      </c>
      <c r="B258" t="s">
        <v>123</v>
      </c>
      <c r="C258" t="s">
        <v>36</v>
      </c>
      <c r="D258" t="s">
        <v>112</v>
      </c>
      <c r="E258">
        <v>90</v>
      </c>
      <c r="F258" t="s">
        <v>120</v>
      </c>
      <c r="G258">
        <v>21.1</v>
      </c>
      <c r="H258">
        <v>0.68</v>
      </c>
      <c r="I258">
        <v>416</v>
      </c>
      <c r="J258">
        <v>13.6</v>
      </c>
      <c r="K258">
        <v>223</v>
      </c>
      <c r="L258">
        <v>32.043711671215284</v>
      </c>
      <c r="M258" s="6">
        <f t="shared" si="194"/>
        <v>1432.8000000000002</v>
      </c>
      <c r="N258">
        <f>4.86*10^14</f>
        <v>486000000000000.06</v>
      </c>
      <c r="O258">
        <f>5.81*10^14</f>
        <v>581000000000000</v>
      </c>
      <c r="V258">
        <v>32.5</v>
      </c>
      <c r="AA258">
        <f t="shared" si="185"/>
        <v>0</v>
      </c>
      <c r="AB258">
        <f t="shared" si="186"/>
        <v>0</v>
      </c>
      <c r="AC258">
        <f t="shared" si="187"/>
        <v>0</v>
      </c>
      <c r="AD258">
        <f t="shared" si="188"/>
        <v>0</v>
      </c>
      <c r="AE258">
        <f t="shared" si="191"/>
        <v>0.47824224505282048</v>
      </c>
      <c r="AF258">
        <f t="shared" si="192"/>
        <v>0.32666666666666655</v>
      </c>
      <c r="AG258">
        <f t="shared" si="193"/>
        <v>0.84790874524714854</v>
      </c>
      <c r="AH258">
        <f t="shared" si="193"/>
        <v>0.50518134715025909</v>
      </c>
    </row>
    <row r="259" spans="1:34" x14ac:dyDescent="0.2">
      <c r="A259" t="s">
        <v>119</v>
      </c>
      <c r="B259" t="s">
        <v>123</v>
      </c>
      <c r="C259" t="s">
        <v>36</v>
      </c>
      <c r="D259" t="s">
        <v>112</v>
      </c>
      <c r="E259">
        <v>90</v>
      </c>
      <c r="F259" t="s">
        <v>121</v>
      </c>
      <c r="G259">
        <v>21.4</v>
      </c>
      <c r="H259">
        <v>0.68</v>
      </c>
      <c r="I259">
        <v>22</v>
      </c>
      <c r="J259">
        <v>13.8</v>
      </c>
      <c r="K259">
        <v>223</v>
      </c>
      <c r="L259">
        <v>32.043711671215284</v>
      </c>
      <c r="M259" s="6">
        <f t="shared" si="194"/>
        <v>1432.8000000000002</v>
      </c>
      <c r="N259">
        <f>8.43*10^14</f>
        <v>843000000000000</v>
      </c>
      <c r="O259">
        <f>4.97*10^14</f>
        <v>497000000000000</v>
      </c>
      <c r="AA259">
        <f t="shared" si="185"/>
        <v>1.421800947867285E-2</v>
      </c>
      <c r="AB259">
        <f t="shared" si="186"/>
        <v>0</v>
      </c>
      <c r="AC259">
        <f t="shared" si="187"/>
        <v>-0.94711538461538458</v>
      </c>
      <c r="AD259">
        <f t="shared" si="188"/>
        <v>1.4705882352941256E-2</v>
      </c>
      <c r="AE259">
        <f t="shared" si="191"/>
        <v>0.47824224505282048</v>
      </c>
      <c r="AF259">
        <f t="shared" si="192"/>
        <v>0.32666666666666655</v>
      </c>
      <c r="AG259">
        <f t="shared" si="193"/>
        <v>2.20532319391635</v>
      </c>
      <c r="AH259">
        <f t="shared" si="193"/>
        <v>0.28756476683937826</v>
      </c>
    </row>
    <row r="260" spans="1:34" x14ac:dyDescent="0.2">
      <c r="A260" t="s">
        <v>119</v>
      </c>
      <c r="B260" t="s">
        <v>123</v>
      </c>
      <c r="C260" t="s">
        <v>36</v>
      </c>
      <c r="D260" t="s">
        <v>112</v>
      </c>
      <c r="E260">
        <v>90</v>
      </c>
      <c r="F260" t="s">
        <v>122</v>
      </c>
      <c r="G260">
        <v>12.9</v>
      </c>
      <c r="H260">
        <v>0.4</v>
      </c>
      <c r="I260">
        <v>11</v>
      </c>
      <c r="J260">
        <v>14.7</v>
      </c>
      <c r="K260">
        <v>223</v>
      </c>
      <c r="L260">
        <v>32.043711671215284</v>
      </c>
      <c r="M260" s="6">
        <f t="shared" si="194"/>
        <v>1432.8000000000002</v>
      </c>
      <c r="N260">
        <f>3.81*10^14</f>
        <v>381000000000000</v>
      </c>
      <c r="O260">
        <f>3.98*10^14</f>
        <v>398000000000000</v>
      </c>
      <c r="V260">
        <v>28</v>
      </c>
      <c r="AA260">
        <f t="shared" si="185"/>
        <v>-0.38862559241706163</v>
      </c>
      <c r="AB260">
        <f t="shared" si="186"/>
        <v>-0.41176470588235298</v>
      </c>
      <c r="AC260">
        <f t="shared" si="187"/>
        <v>-0.97355769230769229</v>
      </c>
      <c r="AD260">
        <f t="shared" si="188"/>
        <v>8.0882352941176447E-2</v>
      </c>
      <c r="AE260">
        <f t="shared" si="191"/>
        <v>0.47824224505282048</v>
      </c>
      <c r="AF260">
        <f t="shared" si="192"/>
        <v>0.32666666666666655</v>
      </c>
      <c r="AG260">
        <f t="shared" si="193"/>
        <v>0.44866920152091255</v>
      </c>
      <c r="AH260">
        <f t="shared" si="193"/>
        <v>3.1088082901554404E-2</v>
      </c>
    </row>
    <row r="261" spans="1:34" x14ac:dyDescent="0.2">
      <c r="A261" t="s">
        <v>119</v>
      </c>
      <c r="B261" t="s">
        <v>123</v>
      </c>
      <c r="C261" t="s">
        <v>36</v>
      </c>
      <c r="D261" t="s">
        <v>112</v>
      </c>
      <c r="E261">
        <v>90</v>
      </c>
      <c r="F261" t="s">
        <v>120</v>
      </c>
      <c r="G261">
        <v>21.1</v>
      </c>
      <c r="H261">
        <v>0.68</v>
      </c>
      <c r="I261">
        <v>416</v>
      </c>
      <c r="J261">
        <v>13.6</v>
      </c>
      <c r="K261">
        <v>223</v>
      </c>
      <c r="L261">
        <v>21.676901589340183</v>
      </c>
      <c r="M261" s="6">
        <f>(0.28+0.02)*60*60</f>
        <v>1080.0000000000002</v>
      </c>
      <c r="N261">
        <f>4.28*10^14</f>
        <v>428000000000000</v>
      </c>
      <c r="O261">
        <f>5.65*10^14</f>
        <v>565000000000000</v>
      </c>
      <c r="V261">
        <v>29.7</v>
      </c>
      <c r="AA261">
        <f t="shared" si="185"/>
        <v>0</v>
      </c>
      <c r="AB261">
        <f t="shared" si="186"/>
        <v>0</v>
      </c>
      <c r="AC261">
        <f t="shared" si="187"/>
        <v>0</v>
      </c>
      <c r="AD261">
        <f t="shared" si="188"/>
        <v>0</v>
      </c>
      <c r="AE261">
        <f t="shared" si="191"/>
        <v>0</v>
      </c>
      <c r="AF261">
        <f t="shared" si="192"/>
        <v>0</v>
      </c>
      <c r="AG261">
        <f t="shared" si="193"/>
        <v>0.62737642585551334</v>
      </c>
      <c r="AH261">
        <f t="shared" si="193"/>
        <v>0.46373056994818651</v>
      </c>
    </row>
    <row r="262" spans="1:34" x14ac:dyDescent="0.2">
      <c r="A262" t="s">
        <v>119</v>
      </c>
      <c r="B262" t="s">
        <v>123</v>
      </c>
      <c r="C262" t="s">
        <v>36</v>
      </c>
      <c r="D262" t="s">
        <v>112</v>
      </c>
      <c r="E262">
        <v>90</v>
      </c>
      <c r="F262" t="s">
        <v>121</v>
      </c>
      <c r="G262">
        <v>21.4</v>
      </c>
      <c r="H262">
        <v>0.68</v>
      </c>
      <c r="I262">
        <v>22</v>
      </c>
      <c r="J262">
        <v>13.8</v>
      </c>
      <c r="K262">
        <v>223</v>
      </c>
      <c r="L262">
        <v>21.676901589340183</v>
      </c>
      <c r="M262" s="6">
        <f>(0.28+0.02)*60*60</f>
        <v>1080.0000000000002</v>
      </c>
      <c r="N262">
        <f>6.13*10^14</f>
        <v>613000000000000</v>
      </c>
      <c r="O262">
        <f>4.96*10^14</f>
        <v>496000000000000</v>
      </c>
      <c r="AA262">
        <f t="shared" si="185"/>
        <v>1.421800947867285E-2</v>
      </c>
      <c r="AB262">
        <f t="shared" si="186"/>
        <v>0</v>
      </c>
      <c r="AC262">
        <f t="shared" si="187"/>
        <v>-0.94711538461538458</v>
      </c>
      <c r="AD262">
        <f t="shared" si="188"/>
        <v>1.4705882352941256E-2</v>
      </c>
      <c r="AE262">
        <f t="shared" si="191"/>
        <v>0</v>
      </c>
      <c r="AF262">
        <f t="shared" si="192"/>
        <v>0</v>
      </c>
      <c r="AG262">
        <f t="shared" si="193"/>
        <v>1.3307984790874525</v>
      </c>
      <c r="AH262">
        <f t="shared" si="193"/>
        <v>0.28497409326424872</v>
      </c>
    </row>
    <row r="263" spans="1:34" x14ac:dyDescent="0.2">
      <c r="A263" t="s">
        <v>119</v>
      </c>
      <c r="B263" t="s">
        <v>123</v>
      </c>
      <c r="C263" t="s">
        <v>36</v>
      </c>
      <c r="D263" t="s">
        <v>112</v>
      </c>
      <c r="E263">
        <v>90</v>
      </c>
      <c r="F263" t="s">
        <v>122</v>
      </c>
      <c r="G263">
        <v>12.9</v>
      </c>
      <c r="H263">
        <v>0.4</v>
      </c>
      <c r="I263">
        <v>11</v>
      </c>
      <c r="J263">
        <v>14.7</v>
      </c>
      <c r="K263">
        <v>223</v>
      </c>
      <c r="L263">
        <v>21.676901589340183</v>
      </c>
      <c r="M263" s="6">
        <f>(0.28+0.02)*60*60</f>
        <v>1080.0000000000002</v>
      </c>
      <c r="N263">
        <f>2.79*10^14</f>
        <v>279000000000000</v>
      </c>
      <c r="O263">
        <f>3.14*10^14</f>
        <v>314000000000000</v>
      </c>
      <c r="V263">
        <v>27.8</v>
      </c>
      <c r="AA263">
        <f t="shared" si="185"/>
        <v>-0.38862559241706163</v>
      </c>
      <c r="AB263">
        <f t="shared" si="186"/>
        <v>-0.41176470588235298</v>
      </c>
      <c r="AC263">
        <f t="shared" si="187"/>
        <v>-0.97355769230769229</v>
      </c>
      <c r="AD263">
        <f t="shared" si="188"/>
        <v>8.0882352941176447E-2</v>
      </c>
      <c r="AE263">
        <f t="shared" si="191"/>
        <v>0</v>
      </c>
      <c r="AF263">
        <f t="shared" si="192"/>
        <v>0</v>
      </c>
      <c r="AG263">
        <f t="shared" si="193"/>
        <v>6.0836501901140684E-2</v>
      </c>
      <c r="AH263">
        <f t="shared" si="193"/>
        <v>-0.18652849740932642</v>
      </c>
    </row>
    <row r="264" spans="1:34" x14ac:dyDescent="0.2">
      <c r="A264" t="s">
        <v>119</v>
      </c>
      <c r="B264" t="s">
        <v>123</v>
      </c>
      <c r="C264" t="s">
        <v>36</v>
      </c>
      <c r="D264" t="s">
        <v>112</v>
      </c>
      <c r="E264">
        <v>90</v>
      </c>
      <c r="F264" t="s">
        <v>120</v>
      </c>
      <c r="G264">
        <v>21.1</v>
      </c>
      <c r="H264">
        <v>0.68</v>
      </c>
      <c r="I264">
        <v>416</v>
      </c>
      <c r="J264">
        <v>13.6</v>
      </c>
      <c r="K264">
        <v>223</v>
      </c>
      <c r="L264">
        <v>16.214818858029648</v>
      </c>
      <c r="M264" s="6">
        <f>(0.231+0.017)*60*60</f>
        <v>892.8</v>
      </c>
      <c r="N264">
        <f>3.39*10^14</f>
        <v>339000000000000</v>
      </c>
      <c r="O264">
        <f>5.19*10^14</f>
        <v>519000000000000.06</v>
      </c>
      <c r="V264">
        <v>25.5</v>
      </c>
      <c r="AA264">
        <f t="shared" si="185"/>
        <v>0</v>
      </c>
      <c r="AB264">
        <f t="shared" si="186"/>
        <v>0</v>
      </c>
      <c r="AC264">
        <f t="shared" si="187"/>
        <v>0</v>
      </c>
      <c r="AD264">
        <f t="shared" si="188"/>
        <v>0</v>
      </c>
      <c r="AE264">
        <f t="shared" si="191"/>
        <v>-0.25197709685578701</v>
      </c>
      <c r="AF264">
        <f t="shared" si="192"/>
        <v>-0.17333333333333356</v>
      </c>
      <c r="AG264">
        <f t="shared" si="193"/>
        <v>0.28897338403041822</v>
      </c>
      <c r="AH264">
        <f t="shared" si="193"/>
        <v>0.34455958549222815</v>
      </c>
    </row>
    <row r="265" spans="1:34" x14ac:dyDescent="0.2">
      <c r="A265" t="s">
        <v>119</v>
      </c>
      <c r="B265" t="s">
        <v>123</v>
      </c>
      <c r="C265" t="s">
        <v>36</v>
      </c>
      <c r="D265" t="s">
        <v>112</v>
      </c>
      <c r="E265">
        <v>90</v>
      </c>
      <c r="F265" t="s">
        <v>122</v>
      </c>
      <c r="G265">
        <v>12.9</v>
      </c>
      <c r="H265">
        <v>0.4</v>
      </c>
      <c r="I265">
        <v>11</v>
      </c>
      <c r="J265">
        <v>14.7</v>
      </c>
      <c r="K265">
        <v>223</v>
      </c>
      <c r="L265">
        <v>16.214818858029648</v>
      </c>
      <c r="M265" s="6">
        <f>(0.231+0.017)*60*60</f>
        <v>892.8</v>
      </c>
      <c r="N265">
        <f>1.9*10^14</f>
        <v>190000000000000</v>
      </c>
      <c r="O265">
        <f>2.48*10^14</f>
        <v>248000000000000</v>
      </c>
      <c r="V265">
        <v>20.9</v>
      </c>
      <c r="AA265">
        <f t="shared" si="185"/>
        <v>-0.38862559241706163</v>
      </c>
      <c r="AB265">
        <f t="shared" si="186"/>
        <v>-0.41176470588235298</v>
      </c>
      <c r="AC265">
        <f t="shared" si="187"/>
        <v>-0.97355769230769229</v>
      </c>
      <c r="AD265">
        <f t="shared" si="188"/>
        <v>8.0882352941176447E-2</v>
      </c>
      <c r="AE265">
        <f t="shared" si="191"/>
        <v>-0.25197709685578701</v>
      </c>
      <c r="AF265">
        <f t="shared" si="192"/>
        <v>-0.17333333333333356</v>
      </c>
      <c r="AG265">
        <f t="shared" si="193"/>
        <v>-0.27756653992395436</v>
      </c>
      <c r="AH265">
        <f t="shared" si="193"/>
        <v>-0.35751295336787564</v>
      </c>
    </row>
    <row r="266" spans="1:34" x14ac:dyDescent="0.2">
      <c r="A266" t="s">
        <v>119</v>
      </c>
      <c r="B266" t="s">
        <v>123</v>
      </c>
      <c r="C266" t="s">
        <v>36</v>
      </c>
      <c r="D266" t="s">
        <v>112</v>
      </c>
      <c r="E266">
        <v>90</v>
      </c>
      <c r="F266" t="s">
        <v>120</v>
      </c>
      <c r="G266">
        <v>21.1</v>
      </c>
      <c r="H266">
        <v>0.68</v>
      </c>
      <c r="I266">
        <v>416</v>
      </c>
      <c r="J266">
        <v>13.6</v>
      </c>
      <c r="K266">
        <v>223</v>
      </c>
      <c r="L266">
        <v>16.214818858029648</v>
      </c>
      <c r="M266" s="6">
        <f>(0.231+0.017)*60*60</f>
        <v>892.8</v>
      </c>
      <c r="N266">
        <f>1.73*10^14</f>
        <v>173000000000000</v>
      </c>
      <c r="O266">
        <f>2.59*10^14</f>
        <v>259000000000000</v>
      </c>
      <c r="V266">
        <v>23.5</v>
      </c>
      <c r="AA266">
        <f t="shared" si="185"/>
        <v>0</v>
      </c>
      <c r="AB266">
        <f t="shared" si="186"/>
        <v>0</v>
      </c>
      <c r="AC266">
        <f t="shared" si="187"/>
        <v>0</v>
      </c>
      <c r="AD266">
        <f t="shared" si="188"/>
        <v>0</v>
      </c>
      <c r="AE266">
        <f t="shared" si="191"/>
        <v>-0.25197709685578701</v>
      </c>
      <c r="AF266">
        <f t="shared" si="192"/>
        <v>-0.17333333333333356</v>
      </c>
      <c r="AG266">
        <f t="shared" si="193"/>
        <v>-0.34220532319391633</v>
      </c>
      <c r="AH266">
        <f t="shared" si="193"/>
        <v>-0.32901554404145078</v>
      </c>
    </row>
    <row r="267" spans="1:34" x14ac:dyDescent="0.2">
      <c r="A267" t="s">
        <v>119</v>
      </c>
      <c r="B267" t="s">
        <v>123</v>
      </c>
      <c r="C267" t="s">
        <v>36</v>
      </c>
      <c r="D267" t="s">
        <v>112</v>
      </c>
      <c r="E267">
        <v>90</v>
      </c>
      <c r="F267" t="s">
        <v>122</v>
      </c>
      <c r="G267">
        <v>12.9</v>
      </c>
      <c r="H267">
        <v>0.4</v>
      </c>
      <c r="I267">
        <v>11</v>
      </c>
      <c r="J267">
        <v>14.7</v>
      </c>
      <c r="K267">
        <v>223</v>
      </c>
      <c r="L267">
        <v>16.214818858029648</v>
      </c>
      <c r="M267" s="6">
        <f>(0.231+0.017)*60*60</f>
        <v>892.8</v>
      </c>
      <c r="N267">
        <f>7.76*10^13</f>
        <v>77600000000000</v>
      </c>
      <c r="O267">
        <f>1.48*10^14</f>
        <v>148000000000000</v>
      </c>
      <c r="V267">
        <v>23.4</v>
      </c>
      <c r="AA267">
        <f t="shared" si="185"/>
        <v>-0.38862559241706163</v>
      </c>
      <c r="AB267">
        <f t="shared" si="186"/>
        <v>-0.41176470588235298</v>
      </c>
      <c r="AC267">
        <f t="shared" si="187"/>
        <v>-0.97355769230769229</v>
      </c>
      <c r="AD267">
        <f t="shared" si="188"/>
        <v>8.0882352941176447E-2</v>
      </c>
      <c r="AE267">
        <f t="shared" si="191"/>
        <v>-0.25197709685578701</v>
      </c>
      <c r="AF267">
        <f t="shared" si="192"/>
        <v>-0.17333333333333356</v>
      </c>
      <c r="AG267">
        <f t="shared" si="193"/>
        <v>-0.70494296577946769</v>
      </c>
      <c r="AH267">
        <f t="shared" si="193"/>
        <v>-0.61658031088082899</v>
      </c>
    </row>
  </sheetData>
  <autoFilter ref="A1:AP267" xr:uid="{F247A96D-53D8-4348-9BCC-6BA6DC2CB81D}"/>
  <phoneticPr fontId="3" type="noConversion"/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Individual data from NASA</vt:lpstr>
      <vt:lpstr>PM Emissions</vt:lpstr>
      <vt:lpstr>Sheet1</vt:lpstr>
      <vt:lpstr>NASA data 30 to 100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Housen</dc:creator>
  <cp:lastModifiedBy>Tara Housen</cp:lastModifiedBy>
  <dcterms:created xsi:type="dcterms:W3CDTF">2025-12-04T14:32:59Z</dcterms:created>
  <dcterms:modified xsi:type="dcterms:W3CDTF">2026-05-05T15:04:22Z</dcterms:modified>
</cp:coreProperties>
</file>